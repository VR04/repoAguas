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\Desktop\Proyecto\Aplicacion\Excel\"/>
    </mc:Choice>
  </mc:AlternateContent>
  <xr:revisionPtr revIDLastSave="0" documentId="13_ncr:1_{B5D64314-8E01-4F47-B52C-9E4CBC16838F}" xr6:coauthVersionLast="47" xr6:coauthVersionMax="47" xr10:uidLastSave="{00000000-0000-0000-0000-000000000000}"/>
  <bookViews>
    <workbookView xWindow="2340" yWindow="1395" windowWidth="15375" windowHeight="7875" tabRatio="795" activeTab="1" xr2:uid="{00000000-000D-0000-FFFF-FFFF00000000}"/>
  </bookViews>
  <sheets>
    <sheet name="Floculador Alabama" sheetId="10" r:id="rId1"/>
    <sheet name="Sedimentador alta tasa" sheetId="9" r:id="rId2"/>
    <sheet name="Filtro rápido" sheetId="6" r:id="rId3"/>
  </sheets>
  <definedNames>
    <definedName name="_xlnm.Print_Area" localSheetId="0">'Floculador Alabama'!$B$10:$K$191</definedName>
    <definedName name="Tipo">'Sedimentador alta tasa'!#REF!</definedName>
    <definedName name="Tipo_de_celda_o_módulo">'Sedimentador alta tasa'!#REF!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5" i="10" l="1"/>
  <c r="C54" i="10"/>
  <c r="C23" i="10"/>
  <c r="C41" i="10"/>
  <c r="C35" i="10"/>
  <c r="C48" i="10"/>
  <c r="AD4" i="10"/>
  <c r="C29" i="10"/>
  <c r="C19" i="10"/>
  <c r="B193" i="6" l="1"/>
  <c r="K38" i="9"/>
  <c r="C175" i="10"/>
  <c r="C174" i="10"/>
  <c r="C163" i="10"/>
  <c r="C162" i="10"/>
  <c r="C151" i="10"/>
  <c r="C150" i="10"/>
  <c r="C139" i="10"/>
  <c r="C138" i="10"/>
  <c r="C127" i="10"/>
  <c r="C126" i="10"/>
  <c r="C115" i="10"/>
  <c r="C114" i="10"/>
  <c r="C103" i="10"/>
  <c r="C102" i="10"/>
  <c r="C91" i="10"/>
  <c r="C90" i="10"/>
  <c r="C79" i="10"/>
  <c r="C78" i="10"/>
  <c r="C67" i="10"/>
  <c r="C66" i="10"/>
  <c r="B45" i="10"/>
  <c r="AD39" i="10"/>
  <c r="AD38" i="10"/>
  <c r="AD37" i="10"/>
  <c r="AD36" i="10"/>
  <c r="AD35" i="10"/>
  <c r="AD34" i="10"/>
  <c r="AD33" i="10"/>
  <c r="AD32" i="10"/>
  <c r="AD31" i="10"/>
  <c r="AD30" i="10"/>
  <c r="AD29" i="10"/>
  <c r="AD28" i="10"/>
  <c r="C28" i="10"/>
  <c r="AD27" i="10"/>
  <c r="C27" i="10"/>
  <c r="AD26" i="10"/>
  <c r="AD25" i="10"/>
  <c r="AD24" i="10"/>
  <c r="AD23" i="10"/>
  <c r="AD22" i="10"/>
  <c r="AD21" i="10"/>
  <c r="C21" i="10"/>
  <c r="AD20" i="10"/>
  <c r="AD19" i="10"/>
  <c r="AD18" i="10"/>
  <c r="AD17" i="10"/>
  <c r="C17" i="10"/>
  <c r="C18" i="10" s="1"/>
  <c r="AD16" i="10"/>
  <c r="C16" i="10"/>
  <c r="AD15" i="10"/>
  <c r="AD14" i="10"/>
  <c r="C14" i="10"/>
  <c r="C178" i="10" s="1"/>
  <c r="AD13" i="10"/>
  <c r="AD12" i="10"/>
  <c r="AD11" i="10"/>
  <c r="AD10" i="10"/>
  <c r="AD9" i="10"/>
  <c r="AD8" i="10"/>
  <c r="AD7" i="10"/>
  <c r="AD6" i="10"/>
  <c r="AD5" i="10"/>
  <c r="C39" i="10" l="1"/>
  <c r="C56" i="10"/>
  <c r="C94" i="10"/>
  <c r="C104" i="10"/>
  <c r="C142" i="10"/>
  <c r="C152" i="10"/>
  <c r="C154" i="10"/>
  <c r="C58" i="10"/>
  <c r="C68" i="10"/>
  <c r="C164" i="10"/>
  <c r="C37" i="10"/>
  <c r="C70" i="10"/>
  <c r="C80" i="10"/>
  <c r="C118" i="10"/>
  <c r="C128" i="10"/>
  <c r="C166" i="10"/>
  <c r="C176" i="10"/>
  <c r="C106" i="10"/>
  <c r="C116" i="10"/>
  <c r="C82" i="10"/>
  <c r="C92" i="10"/>
  <c r="C130" i="10"/>
  <c r="C140" i="10"/>
  <c r="C59" i="10" l="1"/>
  <c r="C155" i="10"/>
  <c r="C71" i="10"/>
  <c r="C131" i="10"/>
  <c r="C38" i="10"/>
  <c r="C177" i="10"/>
  <c r="C179" i="10" s="1"/>
  <c r="C129" i="10"/>
  <c r="C81" i="10"/>
  <c r="C83" i="10" s="1"/>
  <c r="C105" i="10"/>
  <c r="C107" i="10" s="1"/>
  <c r="C40" i="10"/>
  <c r="C42" i="10" s="1"/>
  <c r="C43" i="10" s="1"/>
  <c r="C165" i="10"/>
  <c r="C167" i="10" s="1"/>
  <c r="C117" i="10"/>
  <c r="C119" i="10" s="1"/>
  <c r="C69" i="10"/>
  <c r="C153" i="10"/>
  <c r="C57" i="10"/>
  <c r="C141" i="10"/>
  <c r="C143" i="10" s="1"/>
  <c r="C93" i="10"/>
  <c r="C95" i="10" s="1"/>
  <c r="C44" i="10" l="1"/>
  <c r="C47" i="10"/>
  <c r="C98" i="10"/>
  <c r="C96" i="10"/>
  <c r="C86" i="10"/>
  <c r="C84" i="10"/>
  <c r="C182" i="10"/>
  <c r="C180" i="10"/>
  <c r="C120" i="10"/>
  <c r="C122" i="10"/>
  <c r="C110" i="10"/>
  <c r="C108" i="10"/>
  <c r="C146" i="10"/>
  <c r="C144" i="10"/>
  <c r="C168" i="10"/>
  <c r="C170" i="10"/>
  <c r="C156" i="10"/>
  <c r="C158" i="10"/>
  <c r="C60" i="10"/>
  <c r="C62" i="10"/>
  <c r="C134" i="10"/>
  <c r="C132" i="10"/>
  <c r="C72" i="10"/>
  <c r="C74" i="10"/>
  <c r="E72" i="10" l="1"/>
  <c r="C73" i="10"/>
  <c r="C85" i="10"/>
  <c r="E84" i="10"/>
  <c r="E120" i="10"/>
  <c r="C121" i="10"/>
  <c r="D186" i="10"/>
  <c r="F186" i="10" s="1"/>
  <c r="C181" i="10"/>
  <c r="E180" i="10"/>
  <c r="E168" i="10"/>
  <c r="C169" i="10"/>
  <c r="C145" i="10"/>
  <c r="E144" i="10"/>
  <c r="C109" i="10"/>
  <c r="E108" i="10"/>
  <c r="C61" i="10"/>
  <c r="E60" i="10"/>
  <c r="C157" i="10"/>
  <c r="E156" i="10"/>
  <c r="C49" i="10"/>
  <c r="C50" i="10" s="1"/>
  <c r="C46" i="10"/>
  <c r="C45" i="10"/>
  <c r="D185" i="10"/>
  <c r="F185" i="10" s="1"/>
  <c r="C133" i="10"/>
  <c r="E132" i="10"/>
  <c r="C97" i="10"/>
  <c r="E96" i="10"/>
  <c r="G107" i="9" l="1"/>
  <c r="G109" i="9" s="1"/>
  <c r="G112" i="9" s="1"/>
  <c r="G114" i="9"/>
  <c r="E57" i="6"/>
  <c r="E56" i="6"/>
  <c r="G100" i="9"/>
  <c r="G74" i="9"/>
  <c r="G76" i="9" s="1"/>
  <c r="B69" i="9"/>
  <c r="B58" i="9"/>
  <c r="G53" i="9"/>
  <c r="G60" i="9" s="1"/>
  <c r="G52" i="9"/>
  <c r="G101" i="9" s="1"/>
  <c r="B48" i="9"/>
  <c r="B41" i="9"/>
  <c r="B56" i="9"/>
  <c r="B51" i="9"/>
  <c r="B52" i="9"/>
  <c r="B40" i="9"/>
  <c r="B39" i="9"/>
  <c r="T102" i="6"/>
  <c r="T103" i="6"/>
  <c r="G33" i="9"/>
  <c r="G32" i="9"/>
  <c r="W45" i="9"/>
  <c r="W44" i="9"/>
  <c r="W43" i="9"/>
  <c r="W42" i="9"/>
  <c r="W41" i="9"/>
  <c r="W40" i="9"/>
  <c r="W39" i="9"/>
  <c r="W38" i="9"/>
  <c r="W37" i="9"/>
  <c r="W36" i="9"/>
  <c r="W35" i="9"/>
  <c r="W34" i="9"/>
  <c r="W33" i="9"/>
  <c r="W32" i="9"/>
  <c r="W31" i="9"/>
  <c r="W30" i="9"/>
  <c r="G34" i="9" s="1"/>
  <c r="W29" i="9"/>
  <c r="W28" i="9"/>
  <c r="W27" i="9"/>
  <c r="W26" i="9"/>
  <c r="W25" i="9"/>
  <c r="W24" i="9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B42" i="9"/>
  <c r="G94" i="9" l="1"/>
  <c r="G96" i="9"/>
  <c r="G81" i="9"/>
  <c r="AF12" i="9"/>
  <c r="AH10" i="9"/>
  <c r="AE10" i="9"/>
  <c r="AE11" i="9"/>
  <c r="AE12" i="9"/>
  <c r="AF11" i="9"/>
  <c r="AG10" i="9"/>
  <c r="AF10" i="9"/>
  <c r="AJ7" i="9"/>
  <c r="AN7" i="9"/>
  <c r="AR7" i="9"/>
  <c r="G98" i="9" l="1"/>
  <c r="G41" i="9"/>
  <c r="G56" i="9" s="1"/>
  <c r="G47" i="9"/>
  <c r="B43" i="9"/>
  <c r="B34" i="9"/>
  <c r="B33" i="9"/>
  <c r="B32" i="9"/>
  <c r="AA12" i="9"/>
  <c r="G43" i="9" s="1"/>
  <c r="G12" i="9"/>
  <c r="G11" i="9"/>
  <c r="G44" i="9" s="1"/>
  <c r="G46" i="9" s="1"/>
  <c r="G58" i="9" l="1"/>
  <c r="G82" i="9" s="1"/>
  <c r="G54" i="9"/>
  <c r="M55" i="9" s="1"/>
  <c r="M59" i="9" l="1"/>
  <c r="I32" i="6"/>
  <c r="G69" i="9" l="1"/>
  <c r="M70" i="9" s="1"/>
  <c r="G67" i="9"/>
  <c r="M68" i="9" s="1"/>
  <c r="G62" i="9"/>
  <c r="I31" i="6"/>
  <c r="B33" i="6"/>
  <c r="B32" i="6"/>
  <c r="G64" i="9" l="1"/>
  <c r="M64" i="9" s="1"/>
  <c r="G65" i="9" l="1"/>
  <c r="M66" i="9" l="1"/>
  <c r="I384" i="6"/>
  <c r="I383" i="6"/>
  <c r="I307" i="6"/>
  <c r="I390" i="6" l="1"/>
  <c r="I391" i="6"/>
  <c r="BV79" i="6"/>
  <c r="CA79" i="6"/>
  <c r="CB79" i="6"/>
  <c r="BV80" i="6"/>
  <c r="CA80" i="6"/>
  <c r="CB80" i="6"/>
  <c r="BV81" i="6"/>
  <c r="CA81" i="6"/>
  <c r="CB81" i="6"/>
  <c r="BV82" i="6"/>
  <c r="CA82" i="6"/>
  <c r="CB82" i="6"/>
  <c r="BV83" i="6"/>
  <c r="CA83" i="6"/>
  <c r="CB83" i="6"/>
  <c r="BV84" i="6"/>
  <c r="CA84" i="6"/>
  <c r="CB84" i="6"/>
  <c r="BV85" i="6"/>
  <c r="CA85" i="6"/>
  <c r="CB85" i="6"/>
  <c r="BV86" i="6"/>
  <c r="CA86" i="6"/>
  <c r="CB86" i="6"/>
  <c r="BV87" i="6"/>
  <c r="CA87" i="6"/>
  <c r="CB87" i="6"/>
  <c r="U345" i="6"/>
  <c r="U332" i="6"/>
  <c r="U321" i="6"/>
  <c r="U307" i="6"/>
  <c r="T348" i="6"/>
  <c r="T347" i="6"/>
  <c r="T346" i="6"/>
  <c r="T345" i="6"/>
  <c r="T344" i="6"/>
  <c r="V322" i="6"/>
  <c r="U322" i="6"/>
  <c r="T319" i="6"/>
  <c r="U313" i="6"/>
  <c r="I192" i="6"/>
  <c r="G19" i="6"/>
  <c r="I156" i="6" s="1"/>
  <c r="I306" i="6" l="1"/>
  <c r="I308" i="6" s="1"/>
  <c r="I312" i="6"/>
  <c r="I80" i="6"/>
  <c r="I78" i="6"/>
  <c r="I79" i="6"/>
  <c r="E136" i="6" l="1"/>
  <c r="E137" i="6"/>
  <c r="E138" i="6"/>
  <c r="E139" i="6"/>
  <c r="E140" i="6"/>
  <c r="E141" i="6"/>
  <c r="E142" i="6"/>
  <c r="B136" i="6"/>
  <c r="B137" i="6"/>
  <c r="B138" i="6"/>
  <c r="B139" i="6"/>
  <c r="B140" i="6"/>
  <c r="B141" i="6"/>
  <c r="B142" i="6"/>
  <c r="B143" i="6"/>
  <c r="E135" i="6"/>
  <c r="B135" i="6"/>
  <c r="B117" i="6"/>
  <c r="C117" i="6" s="1"/>
  <c r="I226" i="6"/>
  <c r="BV74" i="6"/>
  <c r="CA74" i="6"/>
  <c r="CB74" i="6"/>
  <c r="BV75" i="6"/>
  <c r="CA75" i="6"/>
  <c r="CB75" i="6"/>
  <c r="BV76" i="6"/>
  <c r="CA76" i="6"/>
  <c r="CB76" i="6"/>
  <c r="BU77" i="6"/>
  <c r="G23" i="6"/>
  <c r="G22" i="6"/>
  <c r="G21" i="6"/>
  <c r="G20" i="6"/>
  <c r="I149" i="6"/>
  <c r="D142" i="6" l="1"/>
  <c r="C142" i="6"/>
  <c r="F142" i="6" s="1"/>
  <c r="D140" i="6"/>
  <c r="C140" i="6"/>
  <c r="F140" i="6" s="1"/>
  <c r="D139" i="6"/>
  <c r="C139" i="6"/>
  <c r="F139" i="6" s="1"/>
  <c r="C138" i="6"/>
  <c r="F138" i="6" s="1"/>
  <c r="D138" i="6"/>
  <c r="D135" i="6"/>
  <c r="C135" i="6"/>
  <c r="F135" i="6" s="1"/>
  <c r="D137" i="6"/>
  <c r="C137" i="6"/>
  <c r="F137" i="6" s="1"/>
  <c r="I150" i="6"/>
  <c r="U306" i="6"/>
  <c r="U308" i="6" s="1"/>
  <c r="U356" i="6" s="1"/>
  <c r="U312" i="6"/>
  <c r="D143" i="6"/>
  <c r="C143" i="6"/>
  <c r="F143" i="6" s="1"/>
  <c r="D141" i="6"/>
  <c r="C141" i="6"/>
  <c r="F141" i="6" s="1"/>
  <c r="C136" i="6"/>
  <c r="F136" i="6" s="1"/>
  <c r="D136" i="6"/>
  <c r="E100" i="6"/>
  <c r="E101" i="6"/>
  <c r="E102" i="6"/>
  <c r="E103" i="6"/>
  <c r="E104" i="6"/>
  <c r="E105" i="6"/>
  <c r="E106" i="6"/>
  <c r="E99" i="6"/>
  <c r="E118" i="6" l="1"/>
  <c r="E119" i="6"/>
  <c r="E120" i="6"/>
  <c r="E121" i="6"/>
  <c r="E122" i="6"/>
  <c r="E123" i="6"/>
  <c r="E124" i="6"/>
  <c r="E117" i="6"/>
  <c r="B118" i="6"/>
  <c r="B119" i="6"/>
  <c r="C119" i="6" s="1"/>
  <c r="B120" i="6"/>
  <c r="B121" i="6"/>
  <c r="B122" i="6"/>
  <c r="B123" i="6"/>
  <c r="B124" i="6"/>
  <c r="B125" i="6"/>
  <c r="D117" i="6"/>
  <c r="G135" i="6" s="1"/>
  <c r="H135" i="6" s="1"/>
  <c r="B99" i="6"/>
  <c r="I135" i="6" l="1"/>
  <c r="D123" i="6"/>
  <c r="G141" i="6" s="1"/>
  <c r="H141" i="6" s="1"/>
  <c r="C123" i="6"/>
  <c r="D118" i="6"/>
  <c r="G136" i="6" s="1"/>
  <c r="H136" i="6" s="1"/>
  <c r="C118" i="6"/>
  <c r="D124" i="6"/>
  <c r="G142" i="6" s="1"/>
  <c r="H142" i="6" s="1"/>
  <c r="C124" i="6"/>
  <c r="D121" i="6"/>
  <c r="G139" i="6" s="1"/>
  <c r="H139" i="6" s="1"/>
  <c r="C121" i="6"/>
  <c r="D125" i="6"/>
  <c r="G143" i="6" s="1"/>
  <c r="H143" i="6" s="1"/>
  <c r="C125" i="6"/>
  <c r="D122" i="6"/>
  <c r="G140" i="6" s="1"/>
  <c r="H140" i="6" s="1"/>
  <c r="C122" i="6"/>
  <c r="D120" i="6"/>
  <c r="G138" i="6" s="1"/>
  <c r="H138" i="6" s="1"/>
  <c r="C120" i="6"/>
  <c r="F119" i="6"/>
  <c r="D119" i="6"/>
  <c r="G137" i="6" s="1"/>
  <c r="H137" i="6" s="1"/>
  <c r="I81" i="6"/>
  <c r="I136" i="6" l="1"/>
  <c r="I142" i="6"/>
  <c r="I141" i="6"/>
  <c r="I140" i="6"/>
  <c r="I137" i="6"/>
  <c r="I138" i="6"/>
  <c r="I139" i="6"/>
  <c r="F120" i="6"/>
  <c r="F124" i="6"/>
  <c r="F125" i="6"/>
  <c r="F117" i="6"/>
  <c r="F118" i="6"/>
  <c r="F121" i="6"/>
  <c r="F122" i="6"/>
  <c r="F123" i="6"/>
  <c r="BC12" i="6" l="1"/>
  <c r="BC11" i="6"/>
  <c r="I313" i="6"/>
  <c r="CB73" i="6"/>
  <c r="CA73" i="6"/>
  <c r="BV73" i="6"/>
  <c r="CB72" i="6"/>
  <c r="CA72" i="6"/>
  <c r="BV72" i="6"/>
  <c r="CB71" i="6"/>
  <c r="CA71" i="6"/>
  <c r="BV71" i="6"/>
  <c r="CB70" i="6"/>
  <c r="CA70" i="6"/>
  <c r="BV70" i="6"/>
  <c r="CB69" i="6"/>
  <c r="CA69" i="6"/>
  <c r="BV69" i="6"/>
  <c r="CB68" i="6"/>
  <c r="CA68" i="6"/>
  <c r="BV68" i="6"/>
  <c r="BU66" i="6"/>
  <c r="CB65" i="6"/>
  <c r="CA65" i="6"/>
  <c r="CB64" i="6"/>
  <c r="CA64" i="6"/>
  <c r="CB63" i="6"/>
  <c r="CA63" i="6"/>
  <c r="CB62" i="6"/>
  <c r="CA62" i="6"/>
  <c r="CB61" i="6"/>
  <c r="CA61" i="6"/>
  <c r="CB60" i="6"/>
  <c r="CA60" i="6"/>
  <c r="BU58" i="6"/>
  <c r="CB57" i="6"/>
  <c r="CA57" i="6"/>
  <c r="CB56" i="6"/>
  <c r="CA56" i="6"/>
  <c r="CB55" i="6"/>
  <c r="CA55" i="6"/>
  <c r="CB54" i="6"/>
  <c r="CA54" i="6"/>
  <c r="CB53" i="6"/>
  <c r="CA53" i="6"/>
  <c r="CB52" i="6"/>
  <c r="CA52" i="6"/>
  <c r="BU50" i="6"/>
  <c r="CB49" i="6"/>
  <c r="CA49" i="6"/>
  <c r="CB48" i="6"/>
  <c r="CA48" i="6"/>
  <c r="CB47" i="6"/>
  <c r="CA47" i="6"/>
  <c r="CB46" i="6"/>
  <c r="CA46" i="6"/>
  <c r="CB45" i="6"/>
  <c r="CA45" i="6"/>
  <c r="CB44" i="6"/>
  <c r="CA44" i="6"/>
  <c r="CB43" i="6"/>
  <c r="CA43" i="6"/>
  <c r="CB42" i="6"/>
  <c r="CA42" i="6"/>
  <c r="CB41" i="6"/>
  <c r="CA41" i="6"/>
  <c r="BU39" i="6"/>
  <c r="CB38" i="6"/>
  <c r="CA38" i="6"/>
  <c r="CB37" i="6"/>
  <c r="CA37" i="6"/>
  <c r="CB36" i="6"/>
  <c r="CA36" i="6"/>
  <c r="CB35" i="6"/>
  <c r="CA35" i="6"/>
  <c r="CB34" i="6"/>
  <c r="CA34" i="6"/>
  <c r="CB33" i="6"/>
  <c r="CA33" i="6"/>
  <c r="BU31" i="6"/>
  <c r="CB30" i="6"/>
  <c r="CA30" i="6"/>
  <c r="BV30" i="6"/>
  <c r="CB29" i="6"/>
  <c r="CA29" i="6"/>
  <c r="BV29" i="6"/>
  <c r="CB28" i="6"/>
  <c r="CA28" i="6"/>
  <c r="BV28" i="6"/>
  <c r="CB27" i="6"/>
  <c r="CA27" i="6"/>
  <c r="BV27" i="6"/>
  <c r="CB26" i="6"/>
  <c r="CA26" i="6"/>
  <c r="BV26" i="6"/>
  <c r="CB25" i="6"/>
  <c r="CA25" i="6"/>
  <c r="BV25" i="6"/>
  <c r="CB24" i="6"/>
  <c r="CA24" i="6"/>
  <c r="BV24" i="6"/>
  <c r="CB23" i="6"/>
  <c r="CA23" i="6"/>
  <c r="BV23" i="6"/>
  <c r="CB22" i="6"/>
  <c r="CA22" i="6"/>
  <c r="BV22" i="6"/>
  <c r="CB21" i="6"/>
  <c r="CA21" i="6"/>
  <c r="BV21" i="6"/>
  <c r="BU19" i="6"/>
  <c r="I322" i="6" l="1"/>
  <c r="F45" i="6" l="1"/>
  <c r="G45" i="6" s="1"/>
  <c r="F43" i="6"/>
  <c r="G43" i="6" s="1"/>
  <c r="F44" i="6"/>
  <c r="G44" i="6" s="1"/>
  <c r="E50" i="6"/>
  <c r="E107" i="6" l="1"/>
  <c r="E143" i="6"/>
  <c r="K50" i="6"/>
  <c r="E125" i="6"/>
  <c r="CX23" i="6"/>
  <c r="E144" i="6" l="1"/>
  <c r="I143" i="6"/>
  <c r="H348" i="6"/>
  <c r="H347" i="6"/>
  <c r="H346" i="6"/>
  <c r="H345" i="6"/>
  <c r="H344" i="6"/>
  <c r="I263" i="6"/>
  <c r="H319" i="6"/>
  <c r="H260" i="6"/>
  <c r="I239" i="6"/>
  <c r="U320" i="6" s="1"/>
  <c r="J322" i="6"/>
  <c r="I320" i="6" l="1"/>
  <c r="I375" i="6" l="1"/>
  <c r="I201" i="6" l="1"/>
  <c r="B196" i="6"/>
  <c r="DC9" i="6" l="1"/>
  <c r="DD9" i="6"/>
  <c r="DE9" i="6"/>
  <c r="DF9" i="6"/>
  <c r="DG9" i="6"/>
  <c r="DH9" i="6"/>
  <c r="DJ9" i="6"/>
  <c r="DK9" i="6"/>
  <c r="DC11" i="6"/>
  <c r="DD11" i="6"/>
  <c r="DE11" i="6"/>
  <c r="DF11" i="6"/>
  <c r="DG11" i="6"/>
  <c r="DH11" i="6"/>
  <c r="DJ11" i="6"/>
  <c r="DK11" i="6"/>
  <c r="DC12" i="6"/>
  <c r="DD12" i="6"/>
  <c r="DE12" i="6"/>
  <c r="DF12" i="6"/>
  <c r="DG12" i="6"/>
  <c r="DH12" i="6"/>
  <c r="DJ12" i="6"/>
  <c r="DK12" i="6"/>
  <c r="DC14" i="6"/>
  <c r="DD14" i="6"/>
  <c r="DE14" i="6"/>
  <c r="DF14" i="6"/>
  <c r="DG14" i="6"/>
  <c r="DH14" i="6"/>
  <c r="DJ14" i="6"/>
  <c r="DK14" i="6"/>
  <c r="DC16" i="6"/>
  <c r="DD16" i="6"/>
  <c r="DE16" i="6"/>
  <c r="DF16" i="6"/>
  <c r="DG16" i="6"/>
  <c r="DH16" i="6"/>
  <c r="DJ16" i="6"/>
  <c r="DK16" i="6"/>
  <c r="DC18" i="6"/>
  <c r="DD18" i="6"/>
  <c r="DE18" i="6"/>
  <c r="DF18" i="6"/>
  <c r="DG18" i="6"/>
  <c r="DH18" i="6"/>
  <c r="DJ18" i="6"/>
  <c r="DK18" i="6"/>
  <c r="DC20" i="6"/>
  <c r="DD20" i="6"/>
  <c r="DE20" i="6"/>
  <c r="DF20" i="6"/>
  <c r="DG20" i="6"/>
  <c r="DH20" i="6"/>
  <c r="DJ20" i="6"/>
  <c r="DK20" i="6"/>
  <c r="DC21" i="6"/>
  <c r="DD21" i="6"/>
  <c r="DE21" i="6"/>
  <c r="DF21" i="6"/>
  <c r="DG21" i="6"/>
  <c r="DH21" i="6"/>
  <c r="DJ21" i="6"/>
  <c r="DK21" i="6"/>
  <c r="DC23" i="6"/>
  <c r="DD23" i="6"/>
  <c r="DE23" i="6"/>
  <c r="DF23" i="6"/>
  <c r="DG23" i="6"/>
  <c r="DH23" i="6"/>
  <c r="DJ23" i="6"/>
  <c r="DK23" i="6"/>
  <c r="DB9" i="6"/>
  <c r="DB11" i="6"/>
  <c r="DB12" i="6"/>
  <c r="DB14" i="6"/>
  <c r="DB16" i="6"/>
  <c r="DB18" i="6"/>
  <c r="DB20" i="6"/>
  <c r="DB21" i="6"/>
  <c r="DB23" i="6"/>
  <c r="CY9" i="6"/>
  <c r="CZ9" i="6"/>
  <c r="DA9" i="6"/>
  <c r="CY11" i="6"/>
  <c r="CZ11" i="6"/>
  <c r="DA11" i="6"/>
  <c r="CY12" i="6"/>
  <c r="CZ12" i="6"/>
  <c r="DA12" i="6"/>
  <c r="CY14" i="6"/>
  <c r="CZ14" i="6"/>
  <c r="DA14" i="6"/>
  <c r="CY16" i="6"/>
  <c r="CZ16" i="6"/>
  <c r="DA16" i="6"/>
  <c r="CY18" i="6"/>
  <c r="CZ18" i="6"/>
  <c r="DA18" i="6"/>
  <c r="CY20" i="6"/>
  <c r="CZ20" i="6"/>
  <c r="DA20" i="6"/>
  <c r="CY21" i="6"/>
  <c r="CZ21" i="6"/>
  <c r="DA21" i="6"/>
  <c r="CY23" i="6"/>
  <c r="CZ23" i="6"/>
  <c r="J348" i="6" s="1"/>
  <c r="V348" i="6" s="1"/>
  <c r="DA23" i="6"/>
  <c r="CX9" i="6"/>
  <c r="J345" i="6" s="1"/>
  <c r="V345" i="6" s="1"/>
  <c r="CX11" i="6"/>
  <c r="CX12" i="6"/>
  <c r="CX14" i="6"/>
  <c r="CX16" i="6"/>
  <c r="CX18" i="6"/>
  <c r="CX20" i="6"/>
  <c r="CX21" i="6"/>
  <c r="H275" i="6"/>
  <c r="H276" i="6"/>
  <c r="H277" i="6"/>
  <c r="H278" i="6"/>
  <c r="H279" i="6"/>
  <c r="H280" i="6"/>
  <c r="H274" i="6"/>
  <c r="H273" i="6"/>
  <c r="J346" i="6" l="1"/>
  <c r="V346" i="6" s="1"/>
  <c r="J279" i="6"/>
  <c r="J347" i="6"/>
  <c r="V347" i="6" s="1"/>
  <c r="J275" i="6"/>
  <c r="J276" i="6"/>
  <c r="J278" i="6"/>
  <c r="J274" i="6"/>
  <c r="J277" i="6"/>
  <c r="J280" i="6"/>
  <c r="BV11" i="6"/>
  <c r="BV12" i="6"/>
  <c r="BV13" i="6"/>
  <c r="BV14" i="6"/>
  <c r="BV15" i="6"/>
  <c r="BV16" i="6"/>
  <c r="BV17" i="6"/>
  <c r="BV18" i="6"/>
  <c r="BV10" i="6"/>
  <c r="I261" i="6"/>
  <c r="CB10" i="6"/>
  <c r="CA10" i="6"/>
  <c r="CA11" i="6"/>
  <c r="CB11" i="6"/>
  <c r="CA12" i="6"/>
  <c r="CB12" i="6"/>
  <c r="CA13" i="6"/>
  <c r="CB13" i="6"/>
  <c r="CA14" i="6"/>
  <c r="CB14" i="6"/>
  <c r="CA15" i="6"/>
  <c r="CB15" i="6"/>
  <c r="CA16" i="6"/>
  <c r="CB16" i="6"/>
  <c r="CA17" i="6"/>
  <c r="CB17" i="6"/>
  <c r="CA18" i="6"/>
  <c r="CB18" i="6"/>
  <c r="U350" i="6" l="1"/>
  <c r="I350" i="6"/>
  <c r="I282" i="6"/>
  <c r="I262" i="6"/>
  <c r="J263" i="6"/>
  <c r="B247" i="6"/>
  <c r="P329" i="6" l="1"/>
  <c r="B329" i="6"/>
  <c r="J241" i="6"/>
  <c r="AH44" i="6" l="1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I33" i="6" l="1"/>
  <c r="U329" i="6" l="1"/>
  <c r="S135" i="6"/>
  <c r="M135" i="6"/>
  <c r="M136" i="6"/>
  <c r="N136" i="6" s="1"/>
  <c r="M138" i="6"/>
  <c r="N138" i="6" s="1"/>
  <c r="S142" i="6"/>
  <c r="S140" i="6"/>
  <c r="S136" i="6"/>
  <c r="S138" i="6"/>
  <c r="M142" i="6"/>
  <c r="N142" i="6" s="1"/>
  <c r="M140" i="6"/>
  <c r="N140" i="6" s="1"/>
  <c r="S139" i="6"/>
  <c r="M139" i="6"/>
  <c r="N139" i="6" s="1"/>
  <c r="M141" i="6"/>
  <c r="N141" i="6" s="1"/>
  <c r="S143" i="6"/>
  <c r="S137" i="6"/>
  <c r="M143" i="6"/>
  <c r="N143" i="6" s="1"/>
  <c r="M137" i="6"/>
  <c r="N137" i="6" s="1"/>
  <c r="S141" i="6"/>
  <c r="I247" i="6"/>
  <c r="I329" i="6"/>
  <c r="BU8" i="6"/>
  <c r="I242" i="6" l="1"/>
  <c r="U323" i="6" s="1"/>
  <c r="B198" i="6"/>
  <c r="B197" i="6"/>
  <c r="I264" i="6" l="1"/>
  <c r="I323" i="6"/>
  <c r="BH16" i="6"/>
  <c r="BH15" i="6"/>
  <c r="BH14" i="6"/>
  <c r="BH13" i="6"/>
  <c r="BH12" i="6"/>
  <c r="BH11" i="6"/>
  <c r="BH10" i="6"/>
  <c r="BH9" i="6"/>
  <c r="BI9" i="6"/>
  <c r="BI10" i="6"/>
  <c r="BI11" i="6"/>
  <c r="BI12" i="6"/>
  <c r="BI13" i="6"/>
  <c r="BI14" i="6"/>
  <c r="I174" i="6" s="1"/>
  <c r="BI15" i="6"/>
  <c r="BI16" i="6"/>
  <c r="BC10" i="6" l="1"/>
  <c r="BC9" i="6"/>
  <c r="AX9" i="6"/>
  <c r="AX10" i="6"/>
  <c r="AX11" i="6"/>
  <c r="AX12" i="6"/>
  <c r="I211" i="6" l="1"/>
  <c r="I11" i="6" l="1"/>
  <c r="I155" i="6" s="1"/>
  <c r="G27" i="6"/>
  <c r="G26" i="6"/>
  <c r="G25" i="6"/>
  <c r="B27" i="6"/>
  <c r="B26" i="6"/>
  <c r="B25" i="6"/>
  <c r="G24" i="6"/>
  <c r="I356" i="6" l="1"/>
  <c r="I157" i="6"/>
  <c r="I160" i="6" s="1"/>
  <c r="I27" i="6"/>
  <c r="G16" i="6"/>
  <c r="G17" i="6"/>
  <c r="I158" i="6" l="1"/>
  <c r="I12" i="6"/>
  <c r="I221" i="6"/>
  <c r="B31" i="6"/>
  <c r="I162" i="6" l="1"/>
  <c r="I193" i="6"/>
  <c r="I219" i="6"/>
  <c r="I220" i="6"/>
  <c r="I163" i="6" l="1"/>
  <c r="I165" i="6" s="1"/>
  <c r="I166" i="6" s="1"/>
  <c r="I212" i="6"/>
  <c r="I215" i="6" s="1"/>
  <c r="I324" i="6" l="1"/>
  <c r="I325" i="6" s="1"/>
  <c r="U324" i="6"/>
  <c r="U325" i="6" s="1"/>
  <c r="I168" i="6"/>
  <c r="I178" i="6" s="1"/>
  <c r="H43" i="6"/>
  <c r="H44" i="6"/>
  <c r="H45" i="6"/>
  <c r="H46" i="6"/>
  <c r="H47" i="6"/>
  <c r="H48" i="6"/>
  <c r="H49" i="6"/>
  <c r="H50" i="6"/>
  <c r="H42" i="6"/>
  <c r="B100" i="6"/>
  <c r="B101" i="6"/>
  <c r="B102" i="6"/>
  <c r="B103" i="6"/>
  <c r="B104" i="6"/>
  <c r="B105" i="6"/>
  <c r="B106" i="6"/>
  <c r="B107" i="6"/>
  <c r="F50" i="6"/>
  <c r="G50" i="6" s="1"/>
  <c r="F49" i="6"/>
  <c r="G49" i="6" s="1"/>
  <c r="F48" i="6"/>
  <c r="G48" i="6" s="1"/>
  <c r="F47" i="6"/>
  <c r="G47" i="6" s="1"/>
  <c r="F46" i="6"/>
  <c r="G46" i="6" s="1"/>
  <c r="F42" i="6"/>
  <c r="G42" i="6" s="1"/>
  <c r="U327" i="6" l="1"/>
  <c r="U351" i="6" s="1"/>
  <c r="U359" i="6" s="1"/>
  <c r="U330" i="6"/>
  <c r="I365" i="6"/>
  <c r="I366" i="6" s="1"/>
  <c r="I378" i="6" s="1"/>
  <c r="C99" i="6"/>
  <c r="F99" i="6" s="1"/>
  <c r="D99" i="6"/>
  <c r="I175" i="6"/>
  <c r="CG14" i="6"/>
  <c r="I222" i="6"/>
  <c r="I287" i="6" s="1"/>
  <c r="I42" i="6"/>
  <c r="I45" i="6"/>
  <c r="I47" i="6"/>
  <c r="I48" i="6"/>
  <c r="I49" i="6"/>
  <c r="I46" i="6"/>
  <c r="I44" i="6"/>
  <c r="I43" i="6"/>
  <c r="I50" i="6"/>
  <c r="U333" i="6" l="1"/>
  <c r="U335" i="6" s="1"/>
  <c r="U336" i="6" s="1"/>
  <c r="U337" i="6" s="1"/>
  <c r="U338" i="6" s="1"/>
  <c r="U358" i="6" s="1"/>
  <c r="G99" i="6"/>
  <c r="H99" i="6" s="1"/>
  <c r="I99" i="6" s="1"/>
  <c r="G117" i="6"/>
  <c r="I180" i="6"/>
  <c r="I187" i="6"/>
  <c r="O187" i="6" s="1"/>
  <c r="I186" i="6"/>
  <c r="O186" i="6" s="1"/>
  <c r="E108" i="6"/>
  <c r="H117" i="6" l="1"/>
  <c r="I182" i="6"/>
  <c r="I184" i="6" s="1"/>
  <c r="I185" i="6"/>
  <c r="O185" i="6" s="1"/>
  <c r="D100" i="6"/>
  <c r="D101" i="6"/>
  <c r="D102" i="6"/>
  <c r="D103" i="6"/>
  <c r="D104" i="6"/>
  <c r="D105" i="6"/>
  <c r="D106" i="6"/>
  <c r="D107" i="6"/>
  <c r="C100" i="6"/>
  <c r="F100" i="6" s="1"/>
  <c r="C101" i="6"/>
  <c r="F101" i="6" s="1"/>
  <c r="C102" i="6"/>
  <c r="F102" i="6" s="1"/>
  <c r="C103" i="6"/>
  <c r="F103" i="6" s="1"/>
  <c r="C104" i="6"/>
  <c r="F104" i="6" s="1"/>
  <c r="C105" i="6"/>
  <c r="F105" i="6" s="1"/>
  <c r="C106" i="6"/>
  <c r="F106" i="6" s="1"/>
  <c r="C107" i="6"/>
  <c r="F107" i="6" s="1"/>
  <c r="O184" i="6" l="1"/>
  <c r="U314" i="6"/>
  <c r="U315" i="6" s="1"/>
  <c r="U357" i="6" s="1"/>
  <c r="S117" i="6"/>
  <c r="M117" i="6"/>
  <c r="T135" i="6"/>
  <c r="V135" i="6" s="1"/>
  <c r="I117" i="6"/>
  <c r="N135" i="6"/>
  <c r="P135" i="6" s="1"/>
  <c r="G107" i="6"/>
  <c r="H107" i="6" s="1"/>
  <c r="I107" i="6" s="1"/>
  <c r="G125" i="6"/>
  <c r="G124" i="6"/>
  <c r="G106" i="6"/>
  <c r="H106" i="6" s="1"/>
  <c r="I106" i="6" s="1"/>
  <c r="G123" i="6"/>
  <c r="G105" i="6"/>
  <c r="H105" i="6" s="1"/>
  <c r="I105" i="6" s="1"/>
  <c r="G101" i="6"/>
  <c r="H101" i="6" s="1"/>
  <c r="I101" i="6" s="1"/>
  <c r="G119" i="6"/>
  <c r="G122" i="6"/>
  <c r="G104" i="6"/>
  <c r="H104" i="6" s="1"/>
  <c r="I104" i="6" s="1"/>
  <c r="G121" i="6"/>
  <c r="G103" i="6"/>
  <c r="H103" i="6" s="1"/>
  <c r="I103" i="6" s="1"/>
  <c r="G100" i="6"/>
  <c r="H100" i="6" s="1"/>
  <c r="I100" i="6" s="1"/>
  <c r="G118" i="6"/>
  <c r="G102" i="6"/>
  <c r="H102" i="6" s="1"/>
  <c r="I102" i="6" s="1"/>
  <c r="G120" i="6"/>
  <c r="H125" i="6" l="1"/>
  <c r="T143" i="6"/>
  <c r="V143" i="6" s="1"/>
  <c r="H122" i="6"/>
  <c r="T140" i="6"/>
  <c r="V140" i="6" s="1"/>
  <c r="H119" i="6"/>
  <c r="T137" i="6"/>
  <c r="V137" i="6" s="1"/>
  <c r="H123" i="6"/>
  <c r="T141" i="6"/>
  <c r="V141" i="6" s="1"/>
  <c r="H120" i="6"/>
  <c r="T138" i="6"/>
  <c r="V138" i="6" s="1"/>
  <c r="H118" i="6"/>
  <c r="T136" i="6"/>
  <c r="V136" i="6" s="1"/>
  <c r="H121" i="6"/>
  <c r="T139" i="6"/>
  <c r="V139" i="6" s="1"/>
  <c r="H124" i="6"/>
  <c r="T142" i="6"/>
  <c r="V142" i="6" s="1"/>
  <c r="J102" i="6"/>
  <c r="L102" i="6" s="1"/>
  <c r="O102" i="6"/>
  <c r="J101" i="6"/>
  <c r="L101" i="6" s="1"/>
  <c r="O101" i="6"/>
  <c r="J104" i="6"/>
  <c r="L104" i="6" s="1"/>
  <c r="O104" i="6"/>
  <c r="J105" i="6"/>
  <c r="L105" i="6" s="1"/>
  <c r="O105" i="6"/>
  <c r="J106" i="6"/>
  <c r="L106" i="6" s="1"/>
  <c r="O106" i="6"/>
  <c r="J103" i="6"/>
  <c r="L103" i="6" s="1"/>
  <c r="O103" i="6"/>
  <c r="J107" i="6"/>
  <c r="L107" i="6" s="1"/>
  <c r="O107" i="6"/>
  <c r="J100" i="6"/>
  <c r="L100" i="6" s="1"/>
  <c r="O100" i="6"/>
  <c r="O99" i="6"/>
  <c r="J99" i="6"/>
  <c r="L99" i="6" s="1"/>
  <c r="I122" i="6"/>
  <c r="S123" i="6" l="1"/>
  <c r="M123" i="6"/>
  <c r="S121" i="6"/>
  <c r="M121" i="6"/>
  <c r="S119" i="6"/>
  <c r="M119" i="6"/>
  <c r="I121" i="6"/>
  <c r="S118" i="6"/>
  <c r="M118" i="6"/>
  <c r="S122" i="6"/>
  <c r="M122" i="6"/>
  <c r="S124" i="6"/>
  <c r="M124" i="6"/>
  <c r="S120" i="6"/>
  <c r="M120" i="6"/>
  <c r="S125" i="6"/>
  <c r="M125" i="6"/>
  <c r="I125" i="6"/>
  <c r="I124" i="6"/>
  <c r="I118" i="6"/>
  <c r="P137" i="6"/>
  <c r="P139" i="6"/>
  <c r="P141" i="6"/>
  <c r="P136" i="6"/>
  <c r="P140" i="6"/>
  <c r="I123" i="6"/>
  <c r="P138" i="6"/>
  <c r="P143" i="6"/>
  <c r="P142" i="6"/>
  <c r="L108" i="6"/>
  <c r="M99" i="6" s="1"/>
  <c r="O108" i="6"/>
  <c r="P99" i="6" s="1"/>
  <c r="P144" i="6" l="1"/>
  <c r="Q135" i="6" s="1"/>
  <c r="I144" i="6"/>
  <c r="J135" i="6" s="1"/>
  <c r="V144" i="6"/>
  <c r="W135" i="6" s="1"/>
  <c r="U355" i="6" l="1"/>
  <c r="U360" i="6" s="1"/>
  <c r="I152" i="6"/>
  <c r="N124" i="6"/>
  <c r="P124" i="6" s="1"/>
  <c r="T124" i="6"/>
  <c r="V124" i="6" s="1"/>
  <c r="N125" i="6"/>
  <c r="P125" i="6" s="1"/>
  <c r="T125" i="6"/>
  <c r="V125" i="6" s="1"/>
  <c r="N118" i="6"/>
  <c r="P118" i="6" s="1"/>
  <c r="T118" i="6"/>
  <c r="V118" i="6" s="1"/>
  <c r="T117" i="6"/>
  <c r="V117" i="6" s="1"/>
  <c r="N119" i="6"/>
  <c r="T119" i="6"/>
  <c r="N117" i="6"/>
  <c r="P117" i="6" s="1"/>
  <c r="N121" i="6"/>
  <c r="P121" i="6" s="1"/>
  <c r="T121" i="6"/>
  <c r="V121" i="6" s="1"/>
  <c r="N122" i="6"/>
  <c r="P122" i="6" s="1"/>
  <c r="T122" i="6"/>
  <c r="V122" i="6" s="1"/>
  <c r="N123" i="6"/>
  <c r="P123" i="6" s="1"/>
  <c r="T123" i="6"/>
  <c r="V123" i="6" s="1"/>
  <c r="N120" i="6"/>
  <c r="T120" i="6"/>
  <c r="J50" i="6" l="1"/>
  <c r="J49" i="6"/>
  <c r="J43" i="6"/>
  <c r="J44" i="6"/>
  <c r="F57" i="6"/>
  <c r="E64" i="6"/>
  <c r="J45" i="6"/>
  <c r="J47" i="6"/>
  <c r="J42" i="6"/>
  <c r="J46" i="6"/>
  <c r="J48" i="6"/>
  <c r="I120" i="6" l="1"/>
  <c r="V120" i="6"/>
  <c r="P120" i="6"/>
  <c r="F56" i="6"/>
  <c r="F64" i="6"/>
  <c r="E63" i="6"/>
  <c r="F63" i="6" l="1"/>
  <c r="G63" i="6" s="1"/>
  <c r="G56" i="6"/>
  <c r="J56" i="6" s="1"/>
  <c r="K56" i="6" s="1"/>
  <c r="E126" i="6" l="1"/>
  <c r="I119" i="6"/>
  <c r="I126" i="6" s="1"/>
  <c r="J117" i="6" s="1"/>
  <c r="V119" i="6"/>
  <c r="V126" i="6" s="1"/>
  <c r="W117" i="6" s="1"/>
  <c r="I355" i="6" s="1"/>
  <c r="P119" i="6"/>
  <c r="P126" i="6" s="1"/>
  <c r="Q117" i="6" s="1"/>
  <c r="B70" i="6"/>
  <c r="J63" i="6"/>
  <c r="E70" i="6" s="1"/>
  <c r="I151" i="6" l="1"/>
  <c r="F70" i="6"/>
  <c r="H70" i="6" l="1"/>
  <c r="I194" i="6"/>
  <c r="I195" i="6" s="1"/>
  <c r="I196" i="6" l="1"/>
  <c r="I197" i="6" s="1"/>
  <c r="I198" i="6" l="1"/>
  <c r="I210" i="6" s="1"/>
  <c r="I213" i="6" s="1"/>
  <c r="J298" i="6" l="1"/>
  <c r="O298" i="6" s="1"/>
  <c r="J300" i="6"/>
  <c r="O300" i="6" s="1"/>
  <c r="O198" i="6"/>
  <c r="I231" i="6"/>
  <c r="I199" i="6"/>
  <c r="I204" i="6" s="1"/>
  <c r="O204" i="6" s="1"/>
  <c r="I202" i="6" l="1"/>
  <c r="I214" i="6"/>
  <c r="I216" i="6" s="1"/>
  <c r="I225" i="6"/>
  <c r="I367" i="6"/>
  <c r="I368" i="6" l="1"/>
  <c r="I371" i="6" s="1"/>
  <c r="I373" i="6" s="1"/>
  <c r="I243" i="6"/>
  <c r="J297" i="6" s="1"/>
  <c r="O297" i="6" s="1"/>
  <c r="I314" i="6"/>
  <c r="I376" i="6"/>
  <c r="I227" i="6"/>
  <c r="I288" i="6" s="1"/>
  <c r="I233" i="6"/>
  <c r="I234" i="6" s="1"/>
  <c r="I289" i="6" s="1"/>
  <c r="I315" i="6" l="1"/>
  <c r="I357" i="6" s="1"/>
  <c r="I245" i="6"/>
  <c r="I283" i="6" s="1"/>
  <c r="I374" i="6"/>
  <c r="I377" i="6" s="1"/>
  <c r="I330" i="6"/>
  <c r="I333" i="6" s="1"/>
  <c r="I327" i="6"/>
  <c r="I351" i="6" s="1"/>
  <c r="I359" i="6" s="1"/>
  <c r="I248" i="6"/>
  <c r="I265" i="6"/>
  <c r="I266" i="6" l="1"/>
  <c r="CG18" i="6" s="1"/>
  <c r="I291" i="6"/>
  <c r="I251" i="6"/>
  <c r="I253" i="6" s="1"/>
  <c r="I335" i="6"/>
  <c r="I336" i="6" s="1"/>
  <c r="I337" i="6" s="1"/>
  <c r="I338" i="6" s="1"/>
  <c r="I358" i="6" s="1"/>
  <c r="I360" i="6" s="1"/>
  <c r="I387" i="6" s="1"/>
  <c r="I389" i="6" s="1"/>
  <c r="O374" i="6"/>
  <c r="O378" i="6"/>
  <c r="I379" i="6"/>
  <c r="I268" i="6" l="1"/>
  <c r="I254" i="6"/>
  <c r="I255" i="6" s="1"/>
  <c r="I256" i="6" s="1"/>
  <c r="I290" i="6" l="1"/>
  <c r="I292" i="6" s="1"/>
  <c r="G84" i="9"/>
  <c r="G108" i="9" s="1"/>
  <c r="G116" i="9" l="1"/>
  <c r="G118" i="9" s="1"/>
  <c r="G122" i="9" s="1"/>
  <c r="G85" i="9"/>
  <c r="M99" i="9" s="1"/>
  <c r="G102" i="9"/>
  <c r="G120" i="9" l="1"/>
  <c r="M121" i="9" s="1"/>
  <c r="G8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Heiner Cervera</author>
  </authors>
  <commentList>
    <comment ref="B18" authorId="0" shapeId="0" xr:uid="{A89EF312-21CF-465F-A6A2-F26CE5842898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1</t>
        </r>
      </text>
    </comment>
    <comment ref="B19" authorId="0" shapeId="0" xr:uid="{5B23A54D-0F3D-4012-B30E-342D656B3FB8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1</t>
        </r>
      </text>
    </comment>
    <comment ref="B20" authorId="0" shapeId="0" xr:uid="{5532E5F8-F05A-4D8B-9703-C2986C2A7FE8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2</t>
        </r>
      </text>
    </comment>
    <comment ref="B22" authorId="0" shapeId="0" xr:uid="{40482F2E-575D-4331-9368-ED242928B14C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2</t>
        </r>
      </text>
    </comment>
    <comment ref="B28" authorId="0" shapeId="0" xr:uid="{02222F8B-5121-4F86-A5E3-1493FF1DDA13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4</t>
        </r>
      </text>
    </comment>
    <comment ref="B29" authorId="0" shapeId="0" xr:uid="{F81E4AE3-0FE8-40EC-83D1-C464ACFB3835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4</t>
        </r>
      </text>
    </comment>
    <comment ref="B32" authorId="0" shapeId="0" xr:uid="{C13271B4-80EF-452F-BF6D-431E1B4FA178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Lozano Rivas</t>
        </r>
      </text>
    </comment>
    <comment ref="B33" authorId="0" shapeId="0" xr:uid="{E1CEAF48-CC90-4BC8-BEDE-D0A595C031DC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Lozano Rivas</t>
        </r>
      </text>
    </comment>
  </commentList>
</comments>
</file>

<file path=xl/sharedStrings.xml><?xml version="1.0" encoding="utf-8"?>
<sst xmlns="http://schemas.openxmlformats.org/spreadsheetml/2006/main" count="1501" uniqueCount="771">
  <si>
    <t>Q</t>
  </si>
  <si>
    <t>Re</t>
  </si>
  <si>
    <t>v</t>
  </si>
  <si>
    <t>m</t>
  </si>
  <si>
    <t>m/d</t>
  </si>
  <si>
    <t>m/s</t>
  </si>
  <si>
    <t>s</t>
  </si>
  <si>
    <t>Viscosidad cinemática</t>
  </si>
  <si>
    <t>e</t>
  </si>
  <si>
    <t>l</t>
  </si>
  <si>
    <t>w</t>
  </si>
  <si>
    <t>a</t>
  </si>
  <si>
    <t>°</t>
  </si>
  <si>
    <t>θ</t>
  </si>
  <si>
    <t>N</t>
  </si>
  <si>
    <t>und</t>
  </si>
  <si>
    <t>Altura de las placas</t>
  </si>
  <si>
    <t>Número de módulos</t>
  </si>
  <si>
    <t>Caudal de diseño (QMD)</t>
  </si>
  <si>
    <t>Referencias bibliográficas:</t>
  </si>
  <si>
    <t>1.</t>
  </si>
  <si>
    <t xml:space="preserve">2. </t>
  </si>
  <si>
    <t>3.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</si>
  <si>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191.</t>
    </r>
  </si>
  <si>
    <t>Distancia entre canaletas de recolección</t>
  </si>
  <si>
    <t>4.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</si>
  <si>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206.</t>
    </r>
  </si>
  <si>
    <t>Nivel del agua sobre las placas</t>
  </si>
  <si>
    <t>Borde libre</t>
  </si>
  <si>
    <t>bl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</si>
  <si>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192.</t>
    </r>
  </si>
  <si>
    <t>5.</t>
  </si>
  <si>
    <t>6.</t>
  </si>
  <si>
    <t>Altura de sedimentación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</si>
  <si>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207.</t>
    </r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</si>
  <si>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215.</t>
    </r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</si>
  <si>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210.</t>
    </r>
  </si>
  <si>
    <t>Tiempo de retención total en el tanque</t>
  </si>
  <si>
    <t>min</t>
  </si>
  <si>
    <t>Pendiente tranversal de la tolva de lodos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</si>
  <si>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186.</t>
    </r>
  </si>
  <si>
    <t>7.</t>
  </si>
  <si>
    <t>Altura de la tolva de lodos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</si>
  <si>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216.</t>
    </r>
  </si>
  <si>
    <t>α</t>
  </si>
  <si>
    <t>Largo total del sedimentador</t>
  </si>
  <si>
    <t>L</t>
  </si>
  <si>
    <t>Ancho total del sedimentador</t>
  </si>
  <si>
    <t>Carga superficial</t>
  </si>
  <si>
    <t>CS</t>
  </si>
  <si>
    <t>8.</t>
  </si>
  <si>
    <t>Longitud relativa del sedimentador</t>
  </si>
  <si>
    <t xml:space="preserve">Velocidad de sedimentación crítica </t>
  </si>
  <si>
    <t>Número de Reynolds</t>
  </si>
  <si>
    <t>UNIVERSIDAD MANUEL BELTRÁN</t>
  </si>
  <si>
    <t>ESPECIALIZACIÓN EN AGUAS Y SANEAMIENTO AMBIENTAL</t>
  </si>
  <si>
    <t>DISEÑOS II DE PLANTAS DE POTABILIZACIÓN (0EAS0201-101_A1)</t>
  </si>
  <si>
    <t>INTEGRANTES DEL GRUPO 01:</t>
  </si>
  <si>
    <t>Luis Feiver Fonseca</t>
  </si>
  <si>
    <t>Hernando Ariel Puerto Cárdenas</t>
  </si>
  <si>
    <t>FECHA DE ENTREGA:</t>
  </si>
  <si>
    <t>DISEÑO DE SEDIMENTADOR DE ALTA TASA</t>
  </si>
  <si>
    <t xml:space="preserve">Relación ancho / largo de cada tanque </t>
  </si>
  <si>
    <t>DATOS DE ENTRADA PARA PARÁMETROS BÁSICOS</t>
  </si>
  <si>
    <t>pulg</t>
  </si>
  <si>
    <t>DISEÑO DEL SISTEMA DE EVACUACIÓN DE LODOS</t>
  </si>
  <si>
    <t>Diámetro nominal del múltiple de descarga</t>
  </si>
  <si>
    <t>Longitud del múltiple de descarga</t>
  </si>
  <si>
    <t>Diámetro interno de los orificios del múltiple de descarga</t>
  </si>
  <si>
    <t>Velocidad mínima de arrastre asignada</t>
  </si>
  <si>
    <t>9.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</si>
  <si>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217.</t>
    </r>
  </si>
  <si>
    <t xml:space="preserve">Cuadrado de la relación entre el diámetro de orificios  y el del múltiple por el número de orificios </t>
  </si>
  <si>
    <t>Separación entre orificios del múltiple (confirmada)</t>
  </si>
  <si>
    <t>Número de canaletas de recolección por módulo</t>
  </si>
  <si>
    <t>Distancia entre canaletas de recolección (ajustado)</t>
  </si>
  <si>
    <t>Tasa de filtración</t>
  </si>
  <si>
    <t>Fair - Hatch</t>
  </si>
  <si>
    <t>Rose</t>
  </si>
  <si>
    <t>Tamaño de tamiz estándar</t>
  </si>
  <si>
    <t>Tamaño de abertura del tamiz (mm)</t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</si>
  <si>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-2</t>
    </r>
    <r>
      <rPr>
        <b/>
        <sz val="11"/>
        <color theme="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</si>
  <si>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)</t>
    </r>
  </si>
  <si>
    <t>φ</t>
  </si>
  <si>
    <t>Número de tamiz</t>
  </si>
  <si>
    <t>14-20</t>
  </si>
  <si>
    <t>20-25</t>
  </si>
  <si>
    <t>25-30</t>
  </si>
  <si>
    <t>35-40</t>
  </si>
  <si>
    <t>40-50</t>
  </si>
  <si>
    <t>50-60</t>
  </si>
  <si>
    <t>60-70</t>
  </si>
  <si>
    <t>70-100</t>
  </si>
  <si>
    <t>30-35</t>
  </si>
  <si>
    <t>Número de tamiz que retiene</t>
  </si>
  <si>
    <t>Arena retenida (%)</t>
  </si>
  <si>
    <r>
      <t>Tamaño de abertura del tamiz superior, d</t>
    </r>
    <r>
      <rPr>
        <b/>
        <vertAlign val="subscript"/>
        <sz val="11"/>
        <rFont val="Calibri"/>
        <family val="2"/>
        <scheme val="minor"/>
      </rPr>
      <t>1</t>
    </r>
    <r>
      <rPr>
        <b/>
        <sz val="11"/>
        <rFont val="Calibri"/>
        <family val="2"/>
        <scheme val="minor"/>
      </rPr>
      <t xml:space="preserve"> (mm)</t>
    </r>
  </si>
  <si>
    <r>
      <t>Tamaño de abertura del tamiz inferior, d</t>
    </r>
    <r>
      <rPr>
        <b/>
        <vertAlign val="sub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 xml:space="preserve"> (mm)</t>
    </r>
  </si>
  <si>
    <t>Acumulado de arena que pasa (%)</t>
  </si>
  <si>
    <t>Tamaño promedio geométrico</t>
  </si>
  <si>
    <t>Orden ascendente</t>
  </si>
  <si>
    <t>Orden descendente</t>
  </si>
  <si>
    <t>Coeficiente de uniformidad</t>
  </si>
  <si>
    <r>
      <t>v</t>
    </r>
    <r>
      <rPr>
        <vertAlign val="subscript"/>
        <sz val="11"/>
        <rFont val="Cambria"/>
        <family val="1"/>
      </rPr>
      <t>f</t>
    </r>
  </si>
  <si>
    <t>µ</t>
  </si>
  <si>
    <t>MEDIO FILTRANTE</t>
  </si>
  <si>
    <t>Profundidad de la capa (m)</t>
  </si>
  <si>
    <t>3/4</t>
  </si>
  <si>
    <t>1/2</t>
  </si>
  <si>
    <t>1/4</t>
  </si>
  <si>
    <t>1/8</t>
  </si>
  <si>
    <t>1/16</t>
  </si>
  <si>
    <t>Tamaño de abertura de malla pasando (pulg)</t>
  </si>
  <si>
    <t>Tamaño de abertura de malla retenida (pulg)</t>
  </si>
  <si>
    <t>Número de capa</t>
  </si>
  <si>
    <t>HIDRÁULICA DEL SISTEMA DE LAVADO</t>
  </si>
  <si>
    <t>COEFICIENTE DE UNIFORMIDAD CU</t>
  </si>
  <si>
    <t>PÉRDIDA DE CARGA A TRAVÉS DEL LECHO EXPANDIDO</t>
  </si>
  <si>
    <t>Porosidad del lecho fijo</t>
  </si>
  <si>
    <t xml:space="preserve">Profundidad del lecho fijo </t>
  </si>
  <si>
    <t>Densidad relativa del arena</t>
  </si>
  <si>
    <r>
      <t>S</t>
    </r>
    <r>
      <rPr>
        <vertAlign val="subscript"/>
        <sz val="11"/>
        <color theme="1"/>
        <rFont val="Cambria"/>
        <family val="1"/>
      </rPr>
      <t>s</t>
    </r>
  </si>
  <si>
    <r>
      <t>h</t>
    </r>
    <r>
      <rPr>
        <vertAlign val="subscript"/>
        <sz val="11"/>
        <color theme="1"/>
        <rFont val="Cambria"/>
        <family val="1"/>
      </rPr>
      <t>1</t>
    </r>
  </si>
  <si>
    <t xml:space="preserve">Pérdida de carga a través del lecho expandido </t>
  </si>
  <si>
    <t>α/β</t>
  </si>
  <si>
    <t>ε, e</t>
  </si>
  <si>
    <t>m/min</t>
  </si>
  <si>
    <t>Percentil 60 del análisis granulométrico</t>
  </si>
  <si>
    <t>mm</t>
  </si>
  <si>
    <t>Temperatura</t>
  </si>
  <si>
    <r>
      <t xml:space="preserve">Viscocidad cinemática </t>
    </r>
    <r>
      <rPr>
        <b/>
        <i/>
        <sz val="11"/>
        <color theme="1"/>
        <rFont val="Cambria"/>
        <family val="1"/>
      </rPr>
      <t xml:space="preserve">v </t>
    </r>
    <r>
      <rPr>
        <b/>
        <sz val="11"/>
        <color theme="1"/>
        <rFont val="Cambria"/>
        <family val="1"/>
      </rPr>
      <t/>
    </r>
  </si>
  <si>
    <t>(°C)</t>
  </si>
  <si>
    <r>
      <t xml:space="preserve">Viscocidad dinámica </t>
    </r>
    <r>
      <rPr>
        <b/>
        <i/>
        <sz val="11"/>
        <color theme="1"/>
        <rFont val="Calibri"/>
        <family val="2"/>
        <scheme val="minor"/>
      </rPr>
      <t>µ</t>
    </r>
  </si>
  <si>
    <r>
      <t>N.s/m</t>
    </r>
    <r>
      <rPr>
        <b/>
        <vertAlign val="superscript"/>
        <sz val="11"/>
        <color theme="1"/>
        <rFont val="Cambria"/>
        <family val="1"/>
      </rPr>
      <t>2</t>
    </r>
  </si>
  <si>
    <t>ρ</t>
  </si>
  <si>
    <t>T</t>
  </si>
  <si>
    <r>
      <t>(kg/m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</si>
  <si>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/s)</t>
    </r>
  </si>
  <si>
    <t>Temperatura del agua a tratar</t>
  </si>
  <si>
    <t>°C</t>
  </si>
  <si>
    <t>…</t>
  </si>
  <si>
    <r>
      <t>L</t>
    </r>
    <r>
      <rPr>
        <vertAlign val="subscript"/>
        <sz val="11"/>
        <rFont val="Cambria"/>
        <family val="1"/>
      </rPr>
      <t>p</t>
    </r>
  </si>
  <si>
    <r>
      <t>h</t>
    </r>
    <r>
      <rPr>
        <vertAlign val="subscript"/>
        <sz val="11"/>
        <rFont val="Cambria"/>
        <family val="1"/>
      </rPr>
      <t>p</t>
    </r>
  </si>
  <si>
    <r>
      <t>x</t>
    </r>
    <r>
      <rPr>
        <vertAlign val="subscript"/>
        <sz val="11"/>
        <rFont val="Cambria"/>
        <family val="1"/>
      </rPr>
      <t>c</t>
    </r>
  </si>
  <si>
    <r>
      <t>n</t>
    </r>
    <r>
      <rPr>
        <vertAlign val="subscript"/>
        <sz val="11"/>
        <rFont val="Cambria"/>
        <family val="1"/>
      </rPr>
      <t>c</t>
    </r>
  </si>
  <si>
    <r>
      <t>h</t>
    </r>
    <r>
      <rPr>
        <vertAlign val="subscript"/>
        <sz val="11"/>
        <rFont val="Cambria"/>
        <family val="1"/>
      </rPr>
      <t>s</t>
    </r>
  </si>
  <si>
    <r>
      <t>V</t>
    </r>
    <r>
      <rPr>
        <vertAlign val="subscript"/>
        <sz val="11"/>
        <rFont val="Cambria"/>
        <family val="1"/>
      </rPr>
      <t>t</t>
    </r>
  </si>
  <si>
    <r>
      <t>t</t>
    </r>
    <r>
      <rPr>
        <vertAlign val="subscript"/>
        <sz val="11"/>
        <rFont val="Cambria"/>
        <family val="1"/>
      </rPr>
      <t>t</t>
    </r>
  </si>
  <si>
    <r>
      <t>h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</si>
  <si>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T</t>
    </r>
  </si>
  <si>
    <r>
      <t>A</t>
    </r>
    <r>
      <rPr>
        <vertAlign val="subscript"/>
        <sz val="11"/>
        <rFont val="Cambria"/>
        <family val="1"/>
      </rPr>
      <t>T</t>
    </r>
  </si>
  <si>
    <r>
      <t>H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</si>
  <si>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m</t>
    </r>
  </si>
  <si>
    <r>
      <t>DN</t>
    </r>
    <r>
      <rPr>
        <vertAlign val="subscript"/>
        <sz val="11"/>
        <rFont val="Cambria"/>
        <family val="1"/>
      </rPr>
      <t>m</t>
    </r>
  </si>
  <si>
    <r>
      <t>D</t>
    </r>
    <r>
      <rPr>
        <vertAlign val="subscript"/>
        <sz val="11"/>
        <rFont val="Cambria"/>
        <family val="1"/>
      </rPr>
      <t>m</t>
    </r>
  </si>
  <si>
    <r>
      <t>T</t>
    </r>
    <r>
      <rPr>
        <vertAlign val="subscript"/>
        <sz val="11"/>
        <rFont val="Cambria"/>
        <family val="1"/>
      </rPr>
      <t>o</t>
    </r>
  </si>
  <si>
    <r>
      <t>X</t>
    </r>
    <r>
      <rPr>
        <vertAlign val="subscript"/>
        <sz val="11"/>
        <rFont val="Cambria"/>
        <family val="1"/>
      </rPr>
      <t>o</t>
    </r>
  </si>
  <si>
    <t>PROPIEDADES FÍSICAS DEL AGUA A TRATAR</t>
  </si>
  <si>
    <t>Densidad relativa de la arena</t>
  </si>
  <si>
    <r>
      <t>S</t>
    </r>
    <r>
      <rPr>
        <vertAlign val="subscript"/>
        <sz val="11"/>
        <rFont val="Cambria"/>
        <family val="1"/>
      </rPr>
      <t>s</t>
    </r>
  </si>
  <si>
    <t>CARACTERÍSTICAS DEL LECHO FILTRANTE DE ARENA</t>
  </si>
  <si>
    <t>GRANULOMETRIA DEL MEDIO FILTRANTE DE ARENA</t>
  </si>
  <si>
    <t>Profundidad del lecho fijo de arena</t>
  </si>
  <si>
    <t>cP</t>
  </si>
  <si>
    <r>
      <t>m</t>
    </r>
    <r>
      <rPr>
        <vertAlign val="superscript"/>
        <sz val="11"/>
        <rFont val="Cambria"/>
        <family val="1"/>
      </rPr>
      <t>3</t>
    </r>
    <r>
      <rPr>
        <sz val="11"/>
        <rFont val="Cambria"/>
        <family val="1"/>
      </rPr>
      <t>/s</t>
    </r>
  </si>
  <si>
    <r>
      <t>kg/m</t>
    </r>
    <r>
      <rPr>
        <vertAlign val="superscript"/>
        <sz val="11"/>
        <rFont val="Cambria"/>
        <family val="1"/>
      </rPr>
      <t>3</t>
    </r>
  </si>
  <si>
    <r>
      <t>N.s/m</t>
    </r>
    <r>
      <rPr>
        <vertAlign val="superscript"/>
        <sz val="11"/>
        <rFont val="Cambria"/>
        <family val="1"/>
      </rPr>
      <t>2</t>
    </r>
  </si>
  <si>
    <r>
      <t>m</t>
    </r>
    <r>
      <rPr>
        <vertAlign val="superscript"/>
        <sz val="11"/>
        <rFont val="Cambria"/>
        <family val="1"/>
      </rPr>
      <t>2</t>
    </r>
    <r>
      <rPr>
        <sz val="11"/>
        <rFont val="Cambria"/>
        <family val="1"/>
      </rPr>
      <t>/s</t>
    </r>
  </si>
  <si>
    <t>Profundidad del lecho de grava</t>
  </si>
  <si>
    <r>
      <t>L</t>
    </r>
    <r>
      <rPr>
        <vertAlign val="subscript"/>
        <sz val="11"/>
        <rFont val="Cambria"/>
        <family val="1"/>
      </rPr>
      <t>g</t>
    </r>
  </si>
  <si>
    <t>Pérdida de energía en el lecho de grava durante la filtración</t>
  </si>
  <si>
    <r>
      <t>h</t>
    </r>
    <r>
      <rPr>
        <vertAlign val="subscript"/>
        <sz val="11"/>
        <color theme="1"/>
        <rFont val="Cambria"/>
        <family val="1"/>
      </rPr>
      <t>g</t>
    </r>
  </si>
  <si>
    <t>DRENAJE DEL FILTRO - TUBERÍAS PERFORADAS</t>
  </si>
  <si>
    <t>CARÁCTERÍSTICAS DEL LECHO DE GRAVA PARA DRENAJE POR TUBERÍAS</t>
  </si>
  <si>
    <t>QMD</t>
  </si>
  <si>
    <t>Caudal máximo diario</t>
  </si>
  <si>
    <t>Caudal medio diario</t>
  </si>
  <si>
    <t>Qmd</t>
  </si>
  <si>
    <t>Caudal máximo horario</t>
  </si>
  <si>
    <t>CAUDALES DE DISEÑO:</t>
  </si>
  <si>
    <t>Factor de mayoración del caudal máximo diario</t>
  </si>
  <si>
    <t>Factor de mayoración del caudal máximo horario</t>
  </si>
  <si>
    <t>k1</t>
  </si>
  <si>
    <t>k2</t>
  </si>
  <si>
    <t>Densidad</t>
  </si>
  <si>
    <t>Filtro rápido de arena</t>
  </si>
  <si>
    <t xml:space="preserve">DISEÑO DE FILTRO </t>
  </si>
  <si>
    <t>Tipo de filtro</t>
  </si>
  <si>
    <t>Medio filtrante</t>
  </si>
  <si>
    <t>Distribución del medio</t>
  </si>
  <si>
    <t>Duración de carrera</t>
  </si>
  <si>
    <t>Pérdida de carga inicial</t>
  </si>
  <si>
    <t>Pérdida de carga final</t>
  </si>
  <si>
    <t>Profundidad del medio</t>
  </si>
  <si>
    <t>Profundidad de grava</t>
  </si>
  <si>
    <t>Drenaje</t>
  </si>
  <si>
    <t>PRINCIPALES CARACTERÍSTICAS DEL FILTRO</t>
  </si>
  <si>
    <t>Principales características del filtro</t>
  </si>
  <si>
    <t>Arena</t>
  </si>
  <si>
    <t>Estratificado fino a grueso</t>
  </si>
  <si>
    <t>Tubería Perforada</t>
  </si>
  <si>
    <t>Falsos fondos</t>
  </si>
  <si>
    <t>Uso de agua tratada en lavado</t>
  </si>
  <si>
    <t>horas</t>
  </si>
  <si>
    <t>%</t>
  </si>
  <si>
    <t>12 - 36</t>
  </si>
  <si>
    <t>2,4 - 3,0</t>
  </si>
  <si>
    <t>2 - 4</t>
  </si>
  <si>
    <t>0,60 - 0,75</t>
  </si>
  <si>
    <t>0,30 - 0,45</t>
  </si>
  <si>
    <t>Filtro de alta tasa</t>
  </si>
  <si>
    <t>Arena y antracita</t>
  </si>
  <si>
    <t>Estratificado grueso a fino</t>
  </si>
  <si>
    <t>180 - 480</t>
  </si>
  <si>
    <t>0,4 - 0,6</t>
  </si>
  <si>
    <t>0,15 - 0,30</t>
  </si>
  <si>
    <t>PREDIMENSIONAMIENTO DE LOS FILTROS</t>
  </si>
  <si>
    <t>Número de filtros</t>
  </si>
  <si>
    <t>QMH</t>
  </si>
  <si>
    <t>Tasa de filtración en operación normal</t>
  </si>
  <si>
    <r>
      <t>TAMAÑO EFECTIVO d</t>
    </r>
    <r>
      <rPr>
        <b/>
        <vertAlign val="subscript"/>
        <sz val="11"/>
        <rFont val="Calibri"/>
        <family val="2"/>
        <scheme val="minor"/>
      </rPr>
      <t>10</t>
    </r>
    <r>
      <rPr>
        <b/>
        <sz val="11"/>
        <rFont val="Calibri"/>
        <family val="2"/>
        <scheme val="minor"/>
      </rPr>
      <t xml:space="preserve"> DEL MEDIO FILTRANTE</t>
    </r>
  </si>
  <si>
    <r>
      <t>Tamaño d</t>
    </r>
    <r>
      <rPr>
        <b/>
        <vertAlign val="subscript"/>
        <sz val="11"/>
        <rFont val="Calibri"/>
        <family val="2"/>
        <scheme val="minor"/>
      </rPr>
      <t xml:space="preserve">10 </t>
    </r>
    <r>
      <rPr>
        <b/>
        <sz val="11"/>
        <rFont val="Calibri"/>
        <family val="2"/>
        <scheme val="minor"/>
      </rPr>
      <t>(mm)</t>
    </r>
  </si>
  <si>
    <r>
      <t>TAMAÑO d</t>
    </r>
    <r>
      <rPr>
        <b/>
        <vertAlign val="subscript"/>
        <sz val="11"/>
        <rFont val="Calibri"/>
        <family val="2"/>
        <scheme val="minor"/>
      </rPr>
      <t>60</t>
    </r>
    <r>
      <rPr>
        <b/>
        <sz val="11"/>
        <rFont val="Calibri"/>
        <family val="2"/>
        <scheme val="minor"/>
      </rPr>
      <t xml:space="preserve"> DEL MEDIO FILTRANTE</t>
    </r>
  </si>
  <si>
    <r>
      <t>Tamaño d</t>
    </r>
    <r>
      <rPr>
        <b/>
        <vertAlign val="subscript"/>
        <sz val="11"/>
        <rFont val="Calibri"/>
        <family val="2"/>
        <scheme val="minor"/>
      </rPr>
      <t xml:space="preserve">60 </t>
    </r>
    <r>
      <rPr>
        <b/>
        <sz val="11"/>
        <rFont val="Calibri"/>
        <family val="2"/>
        <scheme val="minor"/>
      </rPr>
      <t>(mm)</t>
    </r>
  </si>
  <si>
    <r>
      <t>Tamaño efectivo, d</t>
    </r>
    <r>
      <rPr>
        <b/>
        <vertAlign val="subscript"/>
        <sz val="11"/>
        <rFont val="Calibri"/>
        <family val="2"/>
        <scheme val="minor"/>
      </rPr>
      <t xml:space="preserve">10 </t>
    </r>
    <r>
      <rPr>
        <b/>
        <sz val="11"/>
        <rFont val="Calibri"/>
        <family val="2"/>
        <scheme val="minor"/>
      </rPr>
      <t>(mm)</t>
    </r>
  </si>
  <si>
    <t>Tasa media de filtración</t>
  </si>
  <si>
    <t>Tasa máxima de filtración</t>
  </si>
  <si>
    <t>Caudales de diseño</t>
  </si>
  <si>
    <t>Caudal de diseño (QMH)</t>
  </si>
  <si>
    <t>Caudal de diseño (Qmd )</t>
  </si>
  <si>
    <r>
      <t>m</t>
    </r>
    <r>
      <rPr>
        <vertAlign val="superscript"/>
        <sz val="11"/>
        <rFont val="Cambria"/>
        <family val="1"/>
      </rPr>
      <t>2</t>
    </r>
  </si>
  <si>
    <t>m/día</t>
  </si>
  <si>
    <t>Área de filtración en operación normal</t>
  </si>
  <si>
    <r>
      <t>A</t>
    </r>
    <r>
      <rPr>
        <vertAlign val="subscript"/>
        <sz val="11"/>
        <rFont val="Cambria"/>
        <family val="1"/>
      </rPr>
      <t>f</t>
    </r>
  </si>
  <si>
    <r>
      <t>A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</si>
  <si>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f</t>
    </r>
  </si>
  <si>
    <t>Lado de cada filtro</t>
  </si>
  <si>
    <t>Diámetro de los orificios</t>
  </si>
  <si>
    <t>pulgadas</t>
  </si>
  <si>
    <t>Distancia entre orificios</t>
  </si>
  <si>
    <t>Distancia entre laterales</t>
  </si>
  <si>
    <t>Diámetro de los laterales</t>
  </si>
  <si>
    <r>
      <t>N</t>
    </r>
    <r>
      <rPr>
        <vertAlign val="subscript"/>
        <sz val="11"/>
        <rFont val="Cambria"/>
        <family val="1"/>
      </rPr>
      <t>f</t>
    </r>
  </si>
  <si>
    <t>Número de laterales por unidad de filtración</t>
  </si>
  <si>
    <t>Número de orificios por unidad de filtración</t>
  </si>
  <si>
    <t>6 X 6</t>
  </si>
  <si>
    <t>8 X 8</t>
  </si>
  <si>
    <t>10 X 10</t>
  </si>
  <si>
    <t>12 X 12</t>
  </si>
  <si>
    <t>14 X 14</t>
  </si>
  <si>
    <t>16 X 16</t>
  </si>
  <si>
    <t>18 X 18</t>
  </si>
  <si>
    <t>20 X 20</t>
  </si>
  <si>
    <r>
      <t>pulgadas</t>
    </r>
    <r>
      <rPr>
        <vertAlign val="superscript"/>
        <sz val="11"/>
        <color theme="1"/>
        <rFont val="Cambria"/>
        <family val="1"/>
      </rPr>
      <t>2</t>
    </r>
  </si>
  <si>
    <t>Área total de orificios / área filtrante</t>
  </si>
  <si>
    <r>
      <t>Áreas de orificios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</si>
  <si>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Diámetros de oficios (pulg)</t>
  </si>
  <si>
    <t>Seccion tubería (cm)</t>
  </si>
  <si>
    <r>
      <t>Área de la sección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</si>
  <si>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Distancia entre laterales (m)</t>
  </si>
  <si>
    <t>Diámetros de laterales (pulg)</t>
  </si>
  <si>
    <r>
      <t>Áreas de laterales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</si>
  <si>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0,0015 - 0,005</t>
  </si>
  <si>
    <t>2,0 - 4,0</t>
  </si>
  <si>
    <t>1,5 - 3,0</t>
  </si>
  <si>
    <t>β</t>
  </si>
  <si>
    <t>Ancho de la sección</t>
  </si>
  <si>
    <t>Longitud de los laterales</t>
  </si>
  <si>
    <t>Sección transversal comercial del múltiple (asumido)</t>
  </si>
  <si>
    <t>Ancho del múltiple</t>
  </si>
  <si>
    <t>Tiempo de retrolavado</t>
  </si>
  <si>
    <t>Tiempo de retro lavado (t)</t>
  </si>
  <si>
    <r>
      <t>t</t>
    </r>
    <r>
      <rPr>
        <vertAlign val="subscript"/>
        <sz val="11"/>
        <color theme="1"/>
        <rFont val="Cambria"/>
        <family val="1"/>
      </rPr>
      <t xml:space="preserve"> lav</t>
    </r>
  </si>
  <si>
    <t>Carrera de filtración máxima o duración de ciclo (t)</t>
  </si>
  <si>
    <t>Área de un filtro</t>
  </si>
  <si>
    <t>Carrera de filtración normal o duración de ciclo</t>
  </si>
  <si>
    <t>Porcentaje de agua filtrada usada en el lavado de un filtro</t>
  </si>
  <si>
    <r>
      <t>t</t>
    </r>
    <r>
      <rPr>
        <vertAlign val="subscript"/>
        <sz val="11"/>
        <color theme="1"/>
        <rFont val="Cambria"/>
        <family val="1"/>
      </rPr>
      <t xml:space="preserve"> ciclo</t>
    </r>
  </si>
  <si>
    <r>
      <t>m</t>
    </r>
    <r>
      <rPr>
        <vertAlign val="superscript"/>
        <sz val="11"/>
        <color theme="1"/>
        <rFont val="Cambria"/>
        <family val="1"/>
      </rPr>
      <t>3</t>
    </r>
    <r>
      <rPr>
        <sz val="11"/>
        <color theme="1"/>
        <rFont val="Cambria"/>
        <family val="1"/>
      </rPr>
      <t>/ciclo</t>
    </r>
  </si>
  <si>
    <t>Agua producida por un filtro en cada ciclo</t>
  </si>
  <si>
    <t>Consumo de agua para lavado de un filtro (volumen del tanque)</t>
  </si>
  <si>
    <t>CONSUMO DE AGUA DE LAVADO</t>
  </si>
  <si>
    <t>Diámetro nominal (pulg)</t>
  </si>
  <si>
    <t>Policluro de vinilo (PVC) RDE 21</t>
  </si>
  <si>
    <t>Policluro de vinilo (PVC) RDE 26</t>
  </si>
  <si>
    <t>Acero al carbono API 5L SCH-40</t>
  </si>
  <si>
    <t>Acero al carbono API 5L SCH-80</t>
  </si>
  <si>
    <t>Diámetro interno (m)</t>
  </si>
  <si>
    <t>Espesor de pared (pulg)</t>
  </si>
  <si>
    <r>
      <t>Rugosidad absoluta, k</t>
    </r>
    <r>
      <rPr>
        <b/>
        <vertAlign val="subscript"/>
        <sz val="11"/>
        <color theme="1"/>
        <rFont val="Calibri"/>
        <family val="2"/>
        <scheme val="minor"/>
      </rPr>
      <t xml:space="preserve">s </t>
    </r>
    <r>
      <rPr>
        <b/>
        <sz val="11"/>
        <color theme="1"/>
        <rFont val="Calibri"/>
        <family val="2"/>
        <scheme val="minor"/>
      </rPr>
      <t>(mm)</t>
    </r>
  </si>
  <si>
    <t>Coeficiente de rugosidad de Hazen - Williams, C</t>
  </si>
  <si>
    <t>Hierro dúctil C30</t>
  </si>
  <si>
    <t>Hierro dúctil C40</t>
  </si>
  <si>
    <t>Diámetro nominal (mm)</t>
  </si>
  <si>
    <t>Espesor de pared (mm)</t>
  </si>
  <si>
    <t>Polietileno de alta densidad (PEAD) PE 100 RDE 17</t>
  </si>
  <si>
    <t>Polietileno de alta densidad (PEAD) PE 100 RDE 21</t>
  </si>
  <si>
    <t>Relación diámetro espesor</t>
  </si>
  <si>
    <t>Accesorio</t>
  </si>
  <si>
    <t>Diámetro externo (mm)</t>
  </si>
  <si>
    <t>Diámetro externo (pulg)</t>
  </si>
  <si>
    <t>Codo 90° radio corto (r/d 1)</t>
  </si>
  <si>
    <t>Válvula de compuerta completamente abierta</t>
  </si>
  <si>
    <t>Tee en sentido recto</t>
  </si>
  <si>
    <t>Tee en sentido lateral</t>
  </si>
  <si>
    <t>Entrada recta a tope</t>
  </si>
  <si>
    <t>Entrada con boca acampanada</t>
  </si>
  <si>
    <t>Unión</t>
  </si>
  <si>
    <t>Codo 90° radio mediano (r/d 3)</t>
  </si>
  <si>
    <t>PÉRDIDA DE CARGA EN LA TUBERÍA DE LAVADO (DARCY - WEISBACH)</t>
  </si>
  <si>
    <t>Material de la tubería de lavado</t>
  </si>
  <si>
    <t>Diámetro nominal de la tubería de lavado</t>
  </si>
  <si>
    <t>Diámetro interno de la tubería de lavado</t>
  </si>
  <si>
    <r>
      <t>m</t>
    </r>
    <r>
      <rPr>
        <vertAlign val="superscript"/>
        <sz val="11"/>
        <color theme="1"/>
        <rFont val="Cambria"/>
        <family val="1"/>
      </rPr>
      <t>3</t>
    </r>
    <r>
      <rPr>
        <sz val="11"/>
        <color theme="1"/>
        <rFont val="Cambria"/>
        <family val="1"/>
      </rPr>
      <t>/s</t>
    </r>
  </si>
  <si>
    <r>
      <t>Q</t>
    </r>
    <r>
      <rPr>
        <vertAlign val="subscript"/>
        <sz val="11"/>
        <color theme="1"/>
        <rFont val="Cambria"/>
        <family val="1"/>
      </rPr>
      <t>lav</t>
    </r>
  </si>
  <si>
    <r>
      <t>V</t>
    </r>
    <r>
      <rPr>
        <vertAlign val="subscript"/>
        <sz val="11"/>
        <color theme="1"/>
        <rFont val="Cambria"/>
        <family val="1"/>
      </rPr>
      <t>lav</t>
    </r>
  </si>
  <si>
    <r>
      <t>V</t>
    </r>
    <r>
      <rPr>
        <vertAlign val="subscript"/>
        <sz val="11"/>
        <color theme="1"/>
        <rFont val="Cambria"/>
        <family val="1"/>
      </rPr>
      <t>f</t>
    </r>
  </si>
  <si>
    <r>
      <t>V</t>
    </r>
    <r>
      <rPr>
        <vertAlign val="subscript"/>
        <sz val="11"/>
        <color theme="1"/>
        <rFont val="Cambria"/>
        <family val="1"/>
      </rPr>
      <t xml:space="preserve">lav </t>
    </r>
    <r>
      <rPr>
        <sz val="11"/>
        <color theme="1"/>
        <rFont val="Cambria"/>
        <family val="1"/>
      </rPr>
      <t>/ V</t>
    </r>
    <r>
      <rPr>
        <vertAlign val="subscript"/>
        <sz val="11"/>
        <color theme="1"/>
        <rFont val="Cambria"/>
        <family val="1"/>
      </rPr>
      <t>f</t>
    </r>
  </si>
  <si>
    <t>Velocidad de flujo en la tubería de lavado</t>
  </si>
  <si>
    <r>
      <t>DN</t>
    </r>
    <r>
      <rPr>
        <vertAlign val="subscript"/>
        <sz val="11"/>
        <rFont val="Cambria"/>
        <family val="1"/>
      </rPr>
      <t>tlav</t>
    </r>
  </si>
  <si>
    <r>
      <t>D</t>
    </r>
    <r>
      <rPr>
        <vertAlign val="subscript"/>
        <sz val="11"/>
        <rFont val="Cambria"/>
        <family val="1"/>
      </rPr>
      <t>tlav</t>
    </r>
  </si>
  <si>
    <r>
      <t>v</t>
    </r>
    <r>
      <rPr>
        <vertAlign val="subscript"/>
        <sz val="11"/>
        <rFont val="Cambria"/>
        <family val="1"/>
      </rPr>
      <t>tlav</t>
    </r>
  </si>
  <si>
    <t>f</t>
  </si>
  <si>
    <t>Rugosidad absoluta de la tubería</t>
  </si>
  <si>
    <t>Factor de fricción (asumido)</t>
  </si>
  <si>
    <t>Factor de fricción (iteración 1)</t>
  </si>
  <si>
    <t>Factor de fricción (iteración 2)</t>
  </si>
  <si>
    <t>Factor de fricción (iteración 3)</t>
  </si>
  <si>
    <t>Factor de fricción (iteración 4)</t>
  </si>
  <si>
    <r>
      <t>k</t>
    </r>
    <r>
      <rPr>
        <vertAlign val="subscript"/>
        <sz val="11"/>
        <rFont val="Cambria"/>
        <family val="1"/>
      </rPr>
      <t>s</t>
    </r>
  </si>
  <si>
    <t>Longitud de la tubería de lavado</t>
  </si>
  <si>
    <r>
      <t>L</t>
    </r>
    <r>
      <rPr>
        <vertAlign val="subscript"/>
        <sz val="11"/>
        <rFont val="Calibri"/>
        <family val="2"/>
        <scheme val="minor"/>
      </rPr>
      <t>tlav</t>
    </r>
  </si>
  <si>
    <r>
      <t>h</t>
    </r>
    <r>
      <rPr>
        <vertAlign val="subscript"/>
        <sz val="11"/>
        <rFont val="Cambria"/>
        <family val="1"/>
      </rPr>
      <t>4</t>
    </r>
  </si>
  <si>
    <t>PÉRDIDA DE CARGA EN LA TUBERÍA DE LAVADO (HAZEN - WILLIAMS)</t>
  </si>
  <si>
    <t>Coeficiente de rugosidad de Hazen - Williams</t>
  </si>
  <si>
    <t>C</t>
  </si>
  <si>
    <t>Caudal de lavado</t>
  </si>
  <si>
    <t>Pérdida de carga unitaria en la tubería de lavado</t>
  </si>
  <si>
    <t>S</t>
  </si>
  <si>
    <t>m/m</t>
  </si>
  <si>
    <t>Cantidad</t>
  </si>
  <si>
    <t>Cantidad mínima</t>
  </si>
  <si>
    <t>Cantidad máxima</t>
  </si>
  <si>
    <t>Salida del tubo</t>
  </si>
  <si>
    <r>
      <t>Diámetro nominal, DN</t>
    </r>
    <r>
      <rPr>
        <b/>
        <vertAlign val="subscript"/>
        <sz val="11"/>
        <rFont val="Calibri"/>
        <family val="2"/>
        <scheme val="minor"/>
      </rPr>
      <t>acc</t>
    </r>
  </si>
  <si>
    <t>Diámetro nominal (pulgadas)</t>
  </si>
  <si>
    <t>Coeficiente de pérdida menor, Km</t>
  </si>
  <si>
    <t>Cabeza de velocidad</t>
  </si>
  <si>
    <t>PÉRDIDA DE CARGA EN LA TUBERÍA DE LAVADO POR ACCESORIOS</t>
  </si>
  <si>
    <t>Sumatoria de coeficientes de pérdida menor</t>
  </si>
  <si>
    <t>Pérdida de carga en la tubería de lavado por accesorios</t>
  </si>
  <si>
    <r>
      <t>h</t>
    </r>
    <r>
      <rPr>
        <vertAlign val="subscript"/>
        <sz val="11"/>
        <rFont val="Cambria"/>
        <family val="1"/>
      </rPr>
      <t>5</t>
    </r>
  </si>
  <si>
    <r>
      <rPr>
        <sz val="16"/>
        <rFont val="Cambria"/>
        <family val="1"/>
      </rPr>
      <t>Σ</t>
    </r>
    <r>
      <rPr>
        <sz val="11"/>
        <rFont val="Cambria"/>
        <family val="1"/>
      </rPr>
      <t>k</t>
    </r>
    <r>
      <rPr>
        <vertAlign val="subscript"/>
        <sz val="11"/>
        <rFont val="Cambria"/>
        <family val="1"/>
      </rPr>
      <t>m</t>
    </r>
  </si>
  <si>
    <t>Pérdida de carga en la tubería de lavado (sin accesorios)</t>
  </si>
  <si>
    <t>Velocidad de lavado</t>
  </si>
  <si>
    <r>
      <t>v</t>
    </r>
    <r>
      <rPr>
        <vertAlign val="subscript"/>
        <sz val="11"/>
        <color theme="1"/>
        <rFont val="Cambria"/>
        <family val="1"/>
      </rPr>
      <t>b</t>
    </r>
  </si>
  <si>
    <t>Pérdida de carga a través del lecho de grava</t>
  </si>
  <si>
    <r>
      <t>h</t>
    </r>
    <r>
      <rPr>
        <vertAlign val="subscript"/>
        <sz val="11"/>
        <color theme="1"/>
        <rFont val="Cambria"/>
        <family val="1"/>
      </rPr>
      <t>2</t>
    </r>
  </si>
  <si>
    <t>Coeficiente de orificio</t>
  </si>
  <si>
    <r>
      <t xml:space="preserve">Coeficiente de orificio, </t>
    </r>
    <r>
      <rPr>
        <b/>
        <sz val="11"/>
        <color theme="1"/>
        <rFont val="Calibri"/>
        <family val="2"/>
      </rPr>
      <t>α</t>
    </r>
  </si>
  <si>
    <t>Pérdidad de carga a través del sistema de drenaje</t>
  </si>
  <si>
    <r>
      <t>h</t>
    </r>
    <r>
      <rPr>
        <vertAlign val="subscript"/>
        <sz val="11"/>
        <rFont val="Cambria"/>
        <family val="1"/>
      </rPr>
      <t>3</t>
    </r>
  </si>
  <si>
    <r>
      <t xml:space="preserve">Coeficiente de pérdida menor, </t>
    </r>
    <r>
      <rPr>
        <b/>
        <sz val="11"/>
        <rFont val="Cambria"/>
        <family val="1"/>
      </rPr>
      <t>k</t>
    </r>
    <r>
      <rPr>
        <b/>
        <vertAlign val="subscript"/>
        <sz val="11"/>
        <rFont val="Cambria"/>
        <family val="1"/>
      </rPr>
      <t>m</t>
    </r>
  </si>
  <si>
    <r>
      <t>h</t>
    </r>
    <r>
      <rPr>
        <vertAlign val="subscript"/>
        <sz val="11"/>
        <rFont val="Cambria"/>
        <family val="1"/>
      </rPr>
      <t>1</t>
    </r>
  </si>
  <si>
    <r>
      <t>h</t>
    </r>
    <r>
      <rPr>
        <vertAlign val="subscript"/>
        <sz val="11"/>
        <rFont val="Cambria"/>
        <family val="1"/>
      </rPr>
      <t>2</t>
    </r>
  </si>
  <si>
    <t>Pérdida de carga en la tubería de lavado (Darcy - Weisbach)</t>
  </si>
  <si>
    <t>Pérdida de carga en la tubería de lavado (Hazen - Williams)</t>
  </si>
  <si>
    <t>Modelo de cálculo de pérdida de energía por fricción</t>
  </si>
  <si>
    <t>Pérdida de carga  por accesorios en la tubería de lavado</t>
  </si>
  <si>
    <t>Pérdidad de carga total durante el lavado</t>
  </si>
  <si>
    <t>-</t>
  </si>
  <si>
    <t>CANALETAS DE LAVADO</t>
  </si>
  <si>
    <r>
      <t>N</t>
    </r>
    <r>
      <rPr>
        <vertAlign val="subscript"/>
        <sz val="11"/>
        <rFont val="Cambria"/>
        <family val="1"/>
      </rPr>
      <t>ca</t>
    </r>
  </si>
  <si>
    <t>Longitud del filtro</t>
  </si>
  <si>
    <r>
      <t>v</t>
    </r>
    <r>
      <rPr>
        <vertAlign val="subscript"/>
        <sz val="11"/>
        <color theme="1"/>
        <rFont val="Cambria"/>
        <family val="1"/>
      </rPr>
      <t>f</t>
    </r>
  </si>
  <si>
    <t>Velocidad de asentamiento del medio filtrante a 20 °C</t>
  </si>
  <si>
    <t>Posidad del lecho expandido</t>
  </si>
  <si>
    <t>Profundidad del lecho fijo</t>
  </si>
  <si>
    <t>Profundidad del lecho expandido</t>
  </si>
  <si>
    <t>Relación de expansión</t>
  </si>
  <si>
    <t>RE</t>
  </si>
  <si>
    <r>
      <t>D</t>
    </r>
    <r>
      <rPr>
        <vertAlign val="subscript"/>
        <sz val="11"/>
        <rFont val="Cambria"/>
        <family val="1"/>
      </rPr>
      <t>60</t>
    </r>
  </si>
  <si>
    <r>
      <t>v</t>
    </r>
    <r>
      <rPr>
        <vertAlign val="subscript"/>
        <sz val="11"/>
        <rFont val="Cambria"/>
        <family val="1"/>
      </rPr>
      <t>s20</t>
    </r>
  </si>
  <si>
    <r>
      <t>v</t>
    </r>
    <r>
      <rPr>
        <vertAlign val="subscript"/>
        <sz val="11"/>
        <rFont val="Cambria"/>
        <family val="1"/>
      </rPr>
      <t>s T</t>
    </r>
  </si>
  <si>
    <r>
      <t>v</t>
    </r>
    <r>
      <rPr>
        <vertAlign val="subscript"/>
        <sz val="11"/>
        <rFont val="Cambria"/>
        <family val="1"/>
      </rPr>
      <t>fl</t>
    </r>
  </si>
  <si>
    <r>
      <t>v</t>
    </r>
    <r>
      <rPr>
        <vertAlign val="subscript"/>
        <sz val="11"/>
        <rFont val="Cambria"/>
        <family val="1"/>
      </rPr>
      <t>bT</t>
    </r>
  </si>
  <si>
    <r>
      <t>e</t>
    </r>
    <r>
      <rPr>
        <vertAlign val="subscript"/>
        <sz val="11"/>
        <rFont val="Cambria"/>
        <family val="1"/>
      </rPr>
      <t>e</t>
    </r>
  </si>
  <si>
    <r>
      <t>L</t>
    </r>
    <r>
      <rPr>
        <vertAlign val="subscript"/>
        <sz val="11"/>
        <rFont val="Cambria"/>
        <family val="1"/>
      </rPr>
      <t>e</t>
    </r>
  </si>
  <si>
    <t>Distancia de seguridad entre lecho expandido y fondo canaleta</t>
  </si>
  <si>
    <t>Altura de la canaleta sobre el medio filtrante</t>
  </si>
  <si>
    <r>
      <t>H</t>
    </r>
    <r>
      <rPr>
        <vertAlign val="subscript"/>
        <sz val="11"/>
        <rFont val="Cambria"/>
        <family val="1"/>
      </rPr>
      <t>o</t>
    </r>
  </si>
  <si>
    <r>
      <t>H</t>
    </r>
    <r>
      <rPr>
        <vertAlign val="subscript"/>
        <sz val="11"/>
        <rFont val="Cambria"/>
        <family val="1"/>
      </rPr>
      <t>s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</si>
  <si>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b</t>
    </r>
  </si>
  <si>
    <t>Número de canaletas</t>
  </si>
  <si>
    <r>
      <t>Q</t>
    </r>
    <r>
      <rPr>
        <vertAlign val="subscript"/>
        <sz val="11"/>
        <rFont val="Cambria"/>
        <family val="1"/>
      </rPr>
      <t>ca</t>
    </r>
  </si>
  <si>
    <t>Caudal de lavado ecuado por cada canaleta</t>
  </si>
  <si>
    <t>Anchos de canaleta, b (m)</t>
  </si>
  <si>
    <t>Ancho de la canaleta</t>
  </si>
  <si>
    <t>Profundidad máxima del agua en la canaleta</t>
  </si>
  <si>
    <r>
      <t>H</t>
    </r>
    <r>
      <rPr>
        <vertAlign val="subscript"/>
        <sz val="11"/>
        <rFont val="Cambria"/>
        <family val="1"/>
      </rPr>
      <t>ca</t>
    </r>
  </si>
  <si>
    <r>
      <t>W</t>
    </r>
    <r>
      <rPr>
        <vertAlign val="subscript"/>
        <sz val="11"/>
        <rFont val="Cambria"/>
        <family val="1"/>
      </rPr>
      <t>ca</t>
    </r>
  </si>
  <si>
    <t>Borde libre de la canaleta</t>
  </si>
  <si>
    <r>
      <t>BL</t>
    </r>
    <r>
      <rPr>
        <vertAlign val="subscript"/>
        <sz val="11"/>
        <rFont val="Cambria"/>
        <family val="1"/>
      </rPr>
      <t>ca</t>
    </r>
  </si>
  <si>
    <t>Altura total interna de la canaleta</t>
  </si>
  <si>
    <r>
      <t>P</t>
    </r>
    <r>
      <rPr>
        <vertAlign val="subscript"/>
        <sz val="11"/>
        <rFont val="Cambria"/>
        <family val="1"/>
      </rPr>
      <t>ca</t>
    </r>
  </si>
  <si>
    <t>Espaciamiento entre ejes de canaletas (asumido)</t>
  </si>
  <si>
    <t>Espaciamiento entre ejes de canaletas (corregido)</t>
  </si>
  <si>
    <t>Tasa de filtración máxima con filtros fuera de servicio por lavado</t>
  </si>
  <si>
    <t>Área de filtración con filtros fuera de servicio por lavado</t>
  </si>
  <si>
    <t>Número mínimo de filtros</t>
  </si>
  <si>
    <t>Área de filtración fuera de servicio por lavado de filtros</t>
  </si>
  <si>
    <t>Área de cada filtro</t>
  </si>
  <si>
    <r>
      <t>A</t>
    </r>
    <r>
      <rPr>
        <vertAlign val="subscript"/>
        <sz val="11"/>
        <rFont val="Cambria"/>
        <family val="1"/>
      </rPr>
      <t>x</t>
    </r>
  </si>
  <si>
    <r>
      <t>N</t>
    </r>
    <r>
      <rPr>
        <vertAlign val="subscript"/>
        <sz val="11"/>
        <rFont val="Cambria"/>
        <family val="1"/>
      </rPr>
      <t>f min</t>
    </r>
  </si>
  <si>
    <t>Tipo de grano de arena</t>
  </si>
  <si>
    <t>Angular</t>
  </si>
  <si>
    <t>Afilada</t>
  </si>
  <si>
    <t>Erosionada</t>
  </si>
  <si>
    <t>Redondeada</t>
  </si>
  <si>
    <t>Esférica</t>
  </si>
  <si>
    <t>Factor de forma de Rose, α/β</t>
  </si>
  <si>
    <t>Factor de forma Fair- Hatch, φ</t>
  </si>
  <si>
    <t>Factor de forma Carmen- Kozeny, φ</t>
  </si>
  <si>
    <t>VELOCIDAD DE LAVADO Y EXPANSIÓN DEL LECHO FILTRANTE</t>
  </si>
  <si>
    <t>Caudal de filtración</t>
  </si>
  <si>
    <r>
      <t>Q</t>
    </r>
    <r>
      <rPr>
        <vertAlign val="subscript"/>
        <sz val="11"/>
        <rFont val="Cambria"/>
        <family val="1"/>
      </rPr>
      <t>f</t>
    </r>
  </si>
  <si>
    <t>Material de la tubería del efluente</t>
  </si>
  <si>
    <t>Longitud de la tubería del efluente</t>
  </si>
  <si>
    <t>Diámetro nominal de la tubería del efluente</t>
  </si>
  <si>
    <t>Diámetro interno de la tubería efluente</t>
  </si>
  <si>
    <t>Velocidad de flujo en la tubería del efluente</t>
  </si>
  <si>
    <r>
      <t>L</t>
    </r>
    <r>
      <rPr>
        <vertAlign val="subscript"/>
        <sz val="11"/>
        <rFont val="Calibri"/>
        <family val="2"/>
        <scheme val="minor"/>
      </rPr>
      <t>tef</t>
    </r>
  </si>
  <si>
    <r>
      <t>D</t>
    </r>
    <r>
      <rPr>
        <vertAlign val="subscript"/>
        <sz val="11"/>
        <rFont val="Cambria"/>
        <family val="1"/>
      </rPr>
      <t>tef</t>
    </r>
  </si>
  <si>
    <r>
      <t>v</t>
    </r>
    <r>
      <rPr>
        <vertAlign val="subscript"/>
        <sz val="11"/>
        <rFont val="Cambria"/>
        <family val="1"/>
      </rPr>
      <t>tef</t>
    </r>
  </si>
  <si>
    <r>
      <t>DN</t>
    </r>
    <r>
      <rPr>
        <vertAlign val="subscript"/>
        <sz val="11"/>
        <rFont val="Cambria"/>
        <family val="1"/>
      </rPr>
      <t>tef</t>
    </r>
  </si>
  <si>
    <t>Pérdida de energía en la tubería del efluente (sin accesorios)</t>
  </si>
  <si>
    <t>Pérdida de energía a través del sistema de drenaje</t>
  </si>
  <si>
    <r>
      <t>h</t>
    </r>
    <r>
      <rPr>
        <vertAlign val="subscript"/>
        <sz val="11"/>
        <rFont val="Cambria"/>
        <family val="1"/>
      </rPr>
      <t>L</t>
    </r>
  </si>
  <si>
    <t>Pérdida de energía en el lecho de grava</t>
  </si>
  <si>
    <t>Pérdida de energía en el lecho de arena limpio (Rose)</t>
  </si>
  <si>
    <t>Pérdidad de energía en el sistema de drenaje</t>
  </si>
  <si>
    <t>Pérdida de energía en la tubería del efluente</t>
  </si>
  <si>
    <t>Pérdida de energía por accesorios en la tubería del efluente</t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</si>
  <si>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d</t>
    </r>
  </si>
  <si>
    <r>
      <t>h</t>
    </r>
    <r>
      <rPr>
        <vertAlign val="subscript"/>
        <sz val="11"/>
        <rFont val="Cambria"/>
        <family val="1"/>
      </rPr>
      <t>tef</t>
    </r>
  </si>
  <si>
    <r>
      <t>h</t>
    </r>
    <r>
      <rPr>
        <vertAlign val="subscript"/>
        <sz val="11"/>
        <rFont val="Cambria"/>
        <family val="1"/>
      </rPr>
      <t>acc</t>
    </r>
  </si>
  <si>
    <r>
      <t>h</t>
    </r>
    <r>
      <rPr>
        <vertAlign val="subscript"/>
        <sz val="11"/>
        <rFont val="Cambria"/>
        <family val="1"/>
      </rPr>
      <t>g</t>
    </r>
  </si>
  <si>
    <r>
      <t>h</t>
    </r>
    <r>
      <rPr>
        <vertAlign val="subscript"/>
        <sz val="11"/>
        <rFont val="Cambria"/>
        <family val="1"/>
      </rPr>
      <t>d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</si>
  <si>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f</t>
    </r>
  </si>
  <si>
    <t>Calculada (m/s)</t>
  </si>
  <si>
    <t>Velocidad de diseño</t>
  </si>
  <si>
    <t>Rango de diseño (m/s)</t>
  </si>
  <si>
    <t>Velocidad en la tubería de lavado</t>
  </si>
  <si>
    <t>0,9 - 2,4</t>
  </si>
  <si>
    <r>
      <t>v</t>
    </r>
    <r>
      <rPr>
        <vertAlign val="subscript"/>
        <sz val="11"/>
        <rFont val="Cambria"/>
        <family val="1"/>
      </rPr>
      <t>mul lav</t>
    </r>
  </si>
  <si>
    <r>
      <rPr>
        <sz val="11"/>
        <rFont val="Cambria"/>
        <family val="1"/>
      </rPr>
      <t>v</t>
    </r>
    <r>
      <rPr>
        <vertAlign val="subscript"/>
        <sz val="11"/>
        <rFont val="Cambria"/>
        <family val="1"/>
      </rPr>
      <t>lat lav</t>
    </r>
  </si>
  <si>
    <t>Velocidad en tubería de drenaje en lavado (múltiple)</t>
  </si>
  <si>
    <t>Velocidad en tubería de drenaje en lavado (laterales)</t>
  </si>
  <si>
    <t>VERIFICACIÓN DE VELOCIDADES DE DISEÑO EN TUBERÍAS DEL FILTRO DURANTE EL LAVADO</t>
  </si>
  <si>
    <t>PÉRDIDA DE CARGA A TRAVÉS DEL LECHO DE GRAVA DURANTE EL LAVADO (DIXON)</t>
  </si>
  <si>
    <t>PÉRDIDA DE CARGA A TRAVÉS DEL SISTEMA DE DRENAJE DURANTE EL LAVADO</t>
  </si>
  <si>
    <r>
      <t>(x</t>
    </r>
    <r>
      <rPr>
        <vertAlign val="subscript"/>
        <sz val="11"/>
        <rFont val="Cambria"/>
        <family val="1"/>
      </rPr>
      <t>1</t>
    </r>
    <r>
      <rPr>
        <sz val="11"/>
        <rFont val="Cambria"/>
        <family val="1"/>
      </rPr>
      <t>, y</t>
    </r>
    <r>
      <rPr>
        <vertAlign val="subscript"/>
        <sz val="11"/>
        <rFont val="Cambria"/>
        <family val="1"/>
      </rPr>
      <t>1</t>
    </r>
    <r>
      <rPr>
        <sz val="11"/>
        <rFont val="Cambria"/>
        <family val="1"/>
      </rPr>
      <t>)</t>
    </r>
  </si>
  <si>
    <r>
      <t>(x</t>
    </r>
    <r>
      <rPr>
        <vertAlign val="subscript"/>
        <sz val="11"/>
        <rFont val="Cambria"/>
        <family val="1"/>
      </rPr>
      <t>2</t>
    </r>
    <r>
      <rPr>
        <sz val="11"/>
        <rFont val="Cambria"/>
        <family val="1"/>
      </rPr>
      <t>, y</t>
    </r>
    <r>
      <rPr>
        <vertAlign val="subscript"/>
        <sz val="11"/>
        <rFont val="Cambria"/>
        <family val="1"/>
      </rPr>
      <t>2</t>
    </r>
    <r>
      <rPr>
        <sz val="11"/>
        <rFont val="Cambria"/>
        <family val="1"/>
      </rPr>
      <t>)</t>
    </r>
  </si>
  <si>
    <t>Número de orificios por lateral</t>
  </si>
  <si>
    <t>Área transversal del lateral / área de orificios del lateral</t>
  </si>
  <si>
    <t>Área transversal del múltiple / área transversal de laterales</t>
  </si>
  <si>
    <t>Distancia entre orificios (m)</t>
  </si>
  <si>
    <t>Longitud de lateral / diámetrol de lateral</t>
  </si>
  <si>
    <t>&lt; 60</t>
  </si>
  <si>
    <r>
      <rPr>
        <sz val="11"/>
        <rFont val="Cambria"/>
        <family val="1"/>
      </rPr>
      <t>X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ori</t>
    </r>
  </si>
  <si>
    <r>
      <t>S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mul</t>
    </r>
  </si>
  <si>
    <r>
      <t>B</t>
    </r>
    <r>
      <rPr>
        <vertAlign val="subscript"/>
        <sz val="11"/>
        <rFont val="Cambria"/>
        <family val="1"/>
      </rPr>
      <t xml:space="preserve"> mul</t>
    </r>
  </si>
  <si>
    <r>
      <t>L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</si>
  <si>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rPr>
        <sz val="11"/>
        <rFont val="Cambria"/>
        <family val="1"/>
      </rPr>
      <t>X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</si>
  <si>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t>N</t>
    </r>
    <r>
      <rPr>
        <vertAlign val="subscript"/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</si>
  <si>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t>N</t>
    </r>
    <r>
      <rPr>
        <vertAlign val="subscript"/>
        <sz val="11"/>
        <rFont val="Cambria"/>
        <family val="1"/>
      </rPr>
      <t>ori/lat</t>
    </r>
  </si>
  <si>
    <r>
      <t>N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ori</t>
    </r>
  </si>
  <si>
    <r>
      <t>φ</t>
    </r>
    <r>
      <rPr>
        <sz val="6"/>
        <rFont val="Calibri"/>
        <family val="2"/>
        <scheme val="minor"/>
      </rPr>
      <t xml:space="preserve"> </t>
    </r>
    <r>
      <rPr>
        <vertAlign val="subscript"/>
        <sz val="11"/>
        <rFont val="Cambria"/>
        <family val="1"/>
      </rPr>
      <t>ori</t>
    </r>
  </si>
  <si>
    <r>
      <t>φ</t>
    </r>
    <r>
      <rPr>
        <sz val="6"/>
        <rFont val="Calibri"/>
        <family val="2"/>
        <scheme val="minor"/>
      </rPr>
      <t xml:space="preserve"> </t>
    </r>
    <r>
      <rPr>
        <vertAlign val="subscript"/>
        <sz val="11"/>
        <rFont val="Cambria"/>
        <family val="1"/>
      </rPr>
      <t>lat</t>
    </r>
  </si>
  <si>
    <t>Factor de forma Rose, φ</t>
  </si>
  <si>
    <t>Factor de forma Fair- Hatch, α/β</t>
  </si>
  <si>
    <r>
      <t>(m-</t>
    </r>
    <r>
      <rPr>
        <b/>
        <vertAlign val="super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)</t>
    </r>
  </si>
  <si>
    <t>Factor de fricción</t>
  </si>
  <si>
    <t xml:space="preserve">Pérdida de energía </t>
  </si>
  <si>
    <t>Coeficiente de permeabilidad</t>
  </si>
  <si>
    <t>Coeficiente de filtración (Fair - Hatch)</t>
  </si>
  <si>
    <r>
      <t>C</t>
    </r>
    <r>
      <rPr>
        <vertAlign val="subscript"/>
        <sz val="11"/>
        <rFont val="Cambria"/>
        <family val="1"/>
      </rPr>
      <t>k</t>
    </r>
  </si>
  <si>
    <t>ESTIMACIÓN DEL COEFICIENTE DE PERMEABILIDAD DEL LECHO FILTRANTE DE ARENA LIMPIO (CARMAN - KOSENY)</t>
  </si>
  <si>
    <t>Carman - Kozeny</t>
  </si>
  <si>
    <t>PÉRDIDA DE ENERGIA EN EL LECHO FILTRANTE DE ARENA LIMPIO (ROSE)</t>
  </si>
  <si>
    <r>
      <t>h</t>
    </r>
    <r>
      <rPr>
        <vertAlign val="subscript"/>
        <sz val="11"/>
        <color theme="1"/>
        <rFont val="Cambria"/>
        <family val="1"/>
      </rPr>
      <t>L</t>
    </r>
  </si>
  <si>
    <r>
      <t>Tasa media de filtración, v</t>
    </r>
    <r>
      <rPr>
        <vertAlign val="subscript"/>
        <sz val="11"/>
        <rFont val="Calibri"/>
        <family val="2"/>
        <scheme val="minor"/>
      </rPr>
      <t>a</t>
    </r>
  </si>
  <si>
    <r>
      <t>v</t>
    </r>
    <r>
      <rPr>
        <vertAlign val="subscript"/>
        <sz val="11"/>
        <color theme="1"/>
        <rFont val="Cambria"/>
        <family val="1"/>
      </rPr>
      <t>a</t>
    </r>
  </si>
  <si>
    <r>
      <t>v</t>
    </r>
    <r>
      <rPr>
        <vertAlign val="subscript"/>
        <sz val="11"/>
        <color theme="1"/>
        <rFont val="Cambria"/>
        <family val="1"/>
      </rPr>
      <t>amax</t>
    </r>
  </si>
  <si>
    <t>CÁLCULO COMPARATIVO DE PÉRDIDA DE ENERGIA EN EL LECHO FILTRANTE DE ARENA LIMPIO A TASA MEDIA</t>
  </si>
  <si>
    <r>
      <t>(m</t>
    </r>
    <r>
      <rPr>
        <b/>
        <vertAlign val="superscript"/>
        <sz val="11"/>
        <rFont val="Calibri"/>
        <family val="2"/>
        <scheme val="minor"/>
      </rPr>
      <t>-2</t>
    </r>
    <r>
      <rPr>
        <b/>
        <sz val="1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</si>
  <si>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)</t>
    </r>
  </si>
  <si>
    <t>CÁLCULO COMPARATIVO DE PÉRDIDA DE ENERGIA EN EL LECHO FILTRANTE DE ARENA LIMPIO A TASA MÁXIMA</t>
  </si>
  <si>
    <t>Pérdida de energía a tasa media de filtración (Rose)</t>
  </si>
  <si>
    <t>Pérdida de energía a tasa máxima de filtración (Rose)</t>
  </si>
  <si>
    <t>Factor de esfericidad (Rose)</t>
  </si>
  <si>
    <t>Factor de forma de área / factor de forma de volumen (Fair-Hatch)</t>
  </si>
  <si>
    <t>Factor de forma de área / factor de forma de volumen (Rose)</t>
  </si>
  <si>
    <t>Factor de esfericidad (Fair-Hatch, Carman - Kozeny)</t>
  </si>
  <si>
    <t>Pérdida de carga en la tubería del efluente por accesorios</t>
  </si>
  <si>
    <t xml:space="preserve"> PÉRDIDA DE CARGA TOTAL DURANTE EL LAVADO </t>
  </si>
  <si>
    <r>
      <t>h</t>
    </r>
    <r>
      <rPr>
        <vertAlign val="subscript"/>
        <sz val="11"/>
        <rFont val="Cambria"/>
        <family val="1"/>
      </rPr>
      <t>tef max</t>
    </r>
  </si>
  <si>
    <r>
      <t>h</t>
    </r>
    <r>
      <rPr>
        <vertAlign val="subscript"/>
        <sz val="11"/>
        <rFont val="Cambria"/>
        <family val="1"/>
      </rPr>
      <t>acc max</t>
    </r>
  </si>
  <si>
    <r>
      <t>h</t>
    </r>
    <r>
      <rPr>
        <vertAlign val="subscript"/>
        <sz val="11"/>
        <color theme="1"/>
        <rFont val="Cambria"/>
        <family val="1"/>
      </rPr>
      <t>L max</t>
    </r>
  </si>
  <si>
    <r>
      <t>v</t>
    </r>
    <r>
      <rPr>
        <vertAlign val="subscript"/>
        <sz val="11"/>
        <rFont val="Cambria"/>
        <family val="1"/>
      </rPr>
      <t>f max</t>
    </r>
  </si>
  <si>
    <t>PÉRDIDA DE ENERGÍA EN EL LECHO DE GRAVA A TASA MEDIA DE FILTRACIÓN (DIXON)</t>
  </si>
  <si>
    <t>PÉRDIDA DE ENERGÍA EN EL SISTEMA DE DRENAJE A TASA MEDIA DE FILTRACIÓN</t>
  </si>
  <si>
    <t>PÉRDIDA DE ENERGÍA EN LA TUBERÍA DEL EFLUENTE A TASA MEDIA DE FILTRACIÓN (DARCY - WEISBACH)</t>
  </si>
  <si>
    <t>PÉRDIDA DE ENERGÍA EN LA TUBERÍA DEL EFLUENTE POR ACCESORIOS A TASA MEDIA DE FILTRACIÓN</t>
  </si>
  <si>
    <t>PÉRDIDA DE ENERGÍA EN EL SISTEMA DE DRENAJE A TASA MÁXIMA DE FILTRACIÓN</t>
  </si>
  <si>
    <t>PÉRDIDA DE ENERGÍA EN EL LECHO DE GRAVA A TASA MÁXIMA DE FILTRACIÓN</t>
  </si>
  <si>
    <t>PÉRDIDA DE ENERGÍA EN LA TUBERÍA DEL EFLUENTE A TASA MÁXIMA DE FILTRACIÓN</t>
  </si>
  <si>
    <r>
      <t>h</t>
    </r>
    <r>
      <rPr>
        <vertAlign val="subscript"/>
        <sz val="11"/>
        <color theme="1"/>
        <rFont val="Cambria"/>
        <family val="1"/>
      </rPr>
      <t>g max</t>
    </r>
  </si>
  <si>
    <r>
      <t>v</t>
    </r>
    <r>
      <rPr>
        <vertAlign val="subscript"/>
        <sz val="11"/>
        <color theme="1"/>
        <rFont val="Cambria"/>
        <family val="1"/>
      </rPr>
      <t>f max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</si>
  <si>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d max</t>
    </r>
  </si>
  <si>
    <r>
      <t>Q</t>
    </r>
    <r>
      <rPr>
        <vertAlign val="subscript"/>
        <sz val="11"/>
        <rFont val="Cambria"/>
        <family val="1"/>
      </rPr>
      <t>f max</t>
    </r>
  </si>
  <si>
    <r>
      <t>v</t>
    </r>
    <r>
      <rPr>
        <vertAlign val="subscript"/>
        <sz val="11"/>
        <rFont val="Cambria"/>
        <family val="1"/>
      </rPr>
      <t>tef max</t>
    </r>
  </si>
  <si>
    <r>
      <t xml:space="preserve">Re </t>
    </r>
    <r>
      <rPr>
        <vertAlign val="subscript"/>
        <sz val="11"/>
        <rFont val="Cambria"/>
        <family val="1"/>
      </rPr>
      <t>max</t>
    </r>
  </si>
  <si>
    <t>PÉRDIDA DE ENERGÍA EN LA TUBERÍA DEL EFLUENTE POR ACCESORIOS A TASA MÁXIMA DE FILTRACIÓN</t>
  </si>
  <si>
    <t>PÉRDIDAS DE ENERGÍA DURANTE EL FILTRADO CON LECHO LIMPIO</t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</si>
  <si>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f max</t>
    </r>
  </si>
  <si>
    <r>
      <t>h</t>
    </r>
    <r>
      <rPr>
        <vertAlign val="subscript"/>
        <sz val="11"/>
        <rFont val="Cambria"/>
        <family val="1"/>
      </rPr>
      <t>L max</t>
    </r>
  </si>
  <si>
    <r>
      <t>h</t>
    </r>
    <r>
      <rPr>
        <vertAlign val="subscript"/>
        <sz val="11"/>
        <rFont val="Cambria"/>
        <family val="1"/>
      </rPr>
      <t>g max</t>
    </r>
  </si>
  <si>
    <r>
      <t>h</t>
    </r>
    <r>
      <rPr>
        <vertAlign val="subscript"/>
        <sz val="11"/>
        <rFont val="Cambria"/>
        <family val="1"/>
      </rPr>
      <t>d max</t>
    </r>
  </si>
  <si>
    <t>Energía disponible de filtración</t>
  </si>
  <si>
    <r>
      <t>h</t>
    </r>
    <r>
      <rPr>
        <vertAlign val="subscript"/>
        <sz val="11"/>
        <rFont val="Cambria"/>
        <family val="1"/>
      </rPr>
      <t>m</t>
    </r>
  </si>
  <si>
    <t>Altura del vertedero de control sobre el lecho fijo</t>
  </si>
  <si>
    <r>
      <t>H</t>
    </r>
    <r>
      <rPr>
        <vertAlign val="subscript"/>
        <sz val="11"/>
        <rFont val="Cambria"/>
        <family val="1"/>
      </rPr>
      <t xml:space="preserve">v </t>
    </r>
    <r>
      <rPr>
        <sz val="11"/>
        <rFont val="Cambria"/>
        <family val="1"/>
      </rPr>
      <t>- H</t>
    </r>
    <r>
      <rPr>
        <vertAlign val="subscript"/>
        <sz val="11"/>
        <rFont val="Cambria"/>
        <family val="1"/>
      </rPr>
      <t>a</t>
    </r>
  </si>
  <si>
    <t>DIMENSIONES Y COTAS EN LOS FILTROS</t>
  </si>
  <si>
    <t>Pérdida de energía total a tasa media de filtración</t>
  </si>
  <si>
    <t>Pérdida de energía total a tasa máxima de filtración</t>
  </si>
  <si>
    <t>Pérdida de energía total a tasa media de filtración con lecho limpio</t>
  </si>
  <si>
    <t>Altura interna total del filtro</t>
  </si>
  <si>
    <r>
      <t>H</t>
    </r>
    <r>
      <rPr>
        <vertAlign val="subscript"/>
        <sz val="11"/>
        <rFont val="Cambria"/>
        <family val="1"/>
      </rPr>
      <t>f</t>
    </r>
  </si>
  <si>
    <t>PÉRDIDA DE ENERGÍA TOTAL A TASA MEDIA DE FILTRACIÓN CON LECHO LIMPIO</t>
  </si>
  <si>
    <t>Nivel de la lámina de agua con lecho limpio</t>
  </si>
  <si>
    <r>
      <t>H</t>
    </r>
    <r>
      <rPr>
        <vertAlign val="subscript"/>
        <sz val="11"/>
        <rFont val="Cambria"/>
        <family val="1"/>
      </rPr>
      <t>w min</t>
    </r>
  </si>
  <si>
    <r>
      <t>H</t>
    </r>
    <r>
      <rPr>
        <vertAlign val="subscript"/>
        <sz val="11"/>
        <rFont val="Cambria"/>
        <family val="1"/>
      </rPr>
      <t>w max</t>
    </r>
  </si>
  <si>
    <t>Nivel de la lámina de agua con pérdida de energía máxima</t>
  </si>
  <si>
    <t>PÉRDIDA DE ENERGÍA TOTAL A TASA MÁXIMA DE FILTRACIÓN CON LECHO LIMPIO</t>
  </si>
  <si>
    <t>DISEÑO FLOCULADOR ALABAMA</t>
  </si>
  <si>
    <t>1.1 Criterios de Diseño:</t>
  </si>
  <si>
    <t>Datos iniciales:</t>
  </si>
  <si>
    <t>Caudal de Diseño (QMD)</t>
  </si>
  <si>
    <t>L/s</t>
  </si>
  <si>
    <t>m³/s</t>
  </si>
  <si>
    <t>Tiempo de floculación (T)</t>
  </si>
  <si>
    <t>Tiempo de detencion de la camara (Tr)</t>
  </si>
  <si>
    <t>Volumen de cada camara (Ɐc)</t>
  </si>
  <si>
    <t>m³</t>
  </si>
  <si>
    <t>Diametro interconexión (D)</t>
  </si>
  <si>
    <t>Diametro de interno 20" (Di)</t>
  </si>
  <si>
    <t>Area de la tuberia 20" (N)</t>
  </si>
  <si>
    <t>m²</t>
  </si>
  <si>
    <t>Diametro de externo 20" (Di)</t>
  </si>
  <si>
    <r>
      <rPr>
        <i/>
        <sz val="11"/>
        <color theme="1"/>
        <rFont val="Times New Roman"/>
        <family val="1"/>
      </rPr>
      <t>Figura 1.</t>
    </r>
    <r>
      <rPr>
        <sz val="11"/>
        <color theme="1"/>
        <rFont val="Times New Roman"/>
        <family val="1"/>
      </rPr>
      <t xml:space="preserve"> Guia de diseño para floculadores tipo Alabama</t>
    </r>
  </si>
  <si>
    <t>Area del orificio 20" (A)</t>
  </si>
  <si>
    <t>Ancho (W)</t>
  </si>
  <si>
    <t>Longitud (L)</t>
  </si>
  <si>
    <t>Altura (a)</t>
  </si>
  <si>
    <t>Densidad del agua (ρ)</t>
  </si>
  <si>
    <t>Kg/m³</t>
  </si>
  <si>
    <t>m²/s</t>
  </si>
  <si>
    <t>Gravedad (g)</t>
  </si>
  <si>
    <r>
      <t>m/s</t>
    </r>
    <r>
      <rPr>
        <vertAlign val="superscript"/>
        <sz val="11"/>
        <color theme="1"/>
        <rFont val="Times New Roman"/>
        <family val="1"/>
      </rPr>
      <t>2</t>
    </r>
  </si>
  <si>
    <t xml:space="preserve">Temperatura (°c) </t>
  </si>
  <si>
    <t>Coeficiente de descarga (Cd)</t>
  </si>
  <si>
    <t>K</t>
  </si>
  <si>
    <t>Coeficiente de descarga Orificios (Cd)</t>
  </si>
  <si>
    <r>
      <rPr>
        <i/>
        <sz val="11"/>
        <color theme="1"/>
        <rFont val="Times New Roman"/>
        <family val="1"/>
      </rPr>
      <t xml:space="preserve">Figura 2. </t>
    </r>
    <r>
      <rPr>
        <sz val="11"/>
        <color theme="1"/>
        <rFont val="Times New Roman"/>
        <family val="1"/>
      </rPr>
      <t>Especificaciones técnicas tuberias PVC tipo 1 RDE 21</t>
    </r>
  </si>
  <si>
    <t>CALCULOS</t>
  </si>
  <si>
    <t>Volumen floculador (Ɐ)</t>
  </si>
  <si>
    <t># De camaras (Adoptado) (#c)</t>
  </si>
  <si>
    <t>unid</t>
  </si>
  <si>
    <t>Velocidad de flujo entre codos (ν)</t>
  </si>
  <si>
    <t>Velocidad de flujo entre codos</t>
  </si>
  <si>
    <r>
      <t xml:space="preserve">Perdida Pasamuro </t>
    </r>
    <r>
      <rPr>
        <sz val="11"/>
        <rFont val="Times New Roman"/>
        <family val="1"/>
      </rPr>
      <t>(H´)</t>
    </r>
  </si>
  <si>
    <t>Perdida Codo (H´´)</t>
  </si>
  <si>
    <t>Perdidas Orificio (H´´´)</t>
  </si>
  <si>
    <t>Perdida total floculador (H)</t>
  </si>
  <si>
    <t>Perdidas de Carga en las 20 Camaras (Pc)</t>
  </si>
  <si>
    <r>
      <rPr>
        <i/>
        <sz val="11"/>
        <color theme="1"/>
        <rFont val="Times New Roman"/>
        <family val="1"/>
      </rPr>
      <t xml:space="preserve">Figura 3. </t>
    </r>
    <r>
      <rPr>
        <sz val="11"/>
        <color theme="1"/>
        <rFont val="Times New Roman"/>
        <family val="1"/>
      </rPr>
      <t>Criterios de diseño de floculador tipo alabama</t>
    </r>
  </si>
  <si>
    <t>Gradiente de Mezcla (G)</t>
  </si>
  <si>
    <r>
      <t>s-</t>
    </r>
    <r>
      <rPr>
        <vertAlign val="superscript"/>
        <sz val="11"/>
        <rFont val="Times New Roman"/>
        <family val="1"/>
      </rPr>
      <t>1</t>
    </r>
  </si>
  <si>
    <t>Numero de Camp (Gt)</t>
  </si>
  <si>
    <t>Pendiente (P)</t>
  </si>
  <si>
    <t>Datos de Salida Camara No 2:</t>
  </si>
  <si>
    <t>Diametro de interno Orificio (Di)</t>
  </si>
  <si>
    <t>Area del orificio No 2 (A)</t>
  </si>
  <si>
    <t>Coeficiente de Descarga (Cd)</t>
  </si>
  <si>
    <t>Perdida Pasamuro (H´)</t>
  </si>
  <si>
    <t>Gradiente de mezcla (G)</t>
  </si>
  <si>
    <r>
      <t>s</t>
    </r>
    <r>
      <rPr>
        <vertAlign val="superscript"/>
        <sz val="11"/>
        <color theme="1"/>
        <rFont val="Times New Roman"/>
        <family val="1"/>
      </rPr>
      <t>-1</t>
    </r>
  </si>
  <si>
    <r>
      <rPr>
        <i/>
        <sz val="11"/>
        <color theme="1"/>
        <rFont val="Times New Roman"/>
        <family val="1"/>
      </rPr>
      <t xml:space="preserve">Figura 4. </t>
    </r>
    <r>
      <rPr>
        <sz val="11"/>
        <color theme="1"/>
        <rFont val="Times New Roman"/>
        <family val="1"/>
      </rPr>
      <t>Parametros de mezcla</t>
    </r>
  </si>
  <si>
    <t>Datos de Salida Camara No 3:</t>
  </si>
  <si>
    <t>Area del orificio No 3 (A)</t>
  </si>
  <si>
    <r>
      <t>Figura 5.</t>
    </r>
    <r>
      <rPr>
        <sz val="11"/>
        <color theme="1"/>
        <rFont val="Times New Roman"/>
        <family val="1"/>
      </rPr>
      <t xml:space="preserve"> Perdidas en el pasamuro </t>
    </r>
  </si>
  <si>
    <r>
      <t>Figura 6.</t>
    </r>
    <r>
      <rPr>
        <sz val="11"/>
        <color theme="1"/>
        <rFont val="Times New Roman"/>
        <family val="1"/>
      </rPr>
      <t xml:space="preserve"> Perdidas en codos</t>
    </r>
  </si>
  <si>
    <t>Datos de Salida Camara No 4:</t>
  </si>
  <si>
    <t>Area del orificio No 4 (A)</t>
  </si>
  <si>
    <r>
      <t>Figura 7.</t>
    </r>
    <r>
      <rPr>
        <sz val="11"/>
        <color theme="1"/>
        <rFont val="Times New Roman"/>
        <family val="1"/>
      </rPr>
      <t xml:space="preserve"> Gradiente de mezcla</t>
    </r>
  </si>
  <si>
    <t>Datos de Salida Camara No 5:</t>
  </si>
  <si>
    <t>Area del orificio No 5 (A)</t>
  </si>
  <si>
    <t>Datos de Salida Camara No 6:</t>
  </si>
  <si>
    <t>Area del orificio No 6 (A)</t>
  </si>
  <si>
    <t>Datos de Salida Camara No 7:</t>
  </si>
  <si>
    <t>Area del orificio No 7 (A)</t>
  </si>
  <si>
    <t>Datos de Salida Camara No 8:</t>
  </si>
  <si>
    <t>Area del orificio No 8 (A)</t>
  </si>
  <si>
    <t>Datos de Salida Camara No 9:</t>
  </si>
  <si>
    <t>Area del orificio No 9 (A)</t>
  </si>
  <si>
    <t>Datos de Salida Camara No 10:</t>
  </si>
  <si>
    <t>Area del orificio No 10 (A)</t>
  </si>
  <si>
    <t>Datos de Salida Camara No 11:</t>
  </si>
  <si>
    <t>Area del orificio No 11 (A)</t>
  </si>
  <si>
    <t>Datos de Salida Camara No 12:</t>
  </si>
  <si>
    <t>Area del orificio No 12 (A)</t>
  </si>
  <si>
    <t>Conforme a Resolución 330 de 2017:</t>
  </si>
  <si>
    <t xml:space="preserve">Número Camp </t>
  </si>
  <si>
    <t xml:space="preserve">Ncamp </t>
  </si>
  <si>
    <t>Gradiente de Mezcla Promedio</t>
  </si>
  <si>
    <t>GT</t>
  </si>
  <si>
    <r>
      <rPr>
        <b/>
        <sz val="11"/>
        <color theme="1"/>
        <rFont val="Times New Roman"/>
        <family val="1"/>
      </rPr>
      <t>Referencias</t>
    </r>
    <r>
      <rPr>
        <sz val="11"/>
        <color theme="1"/>
        <rFont val="Times New Roman"/>
        <family val="1"/>
      </rPr>
      <t>:
 Arboleda, J. A. V. (2000). Teoría y práctica de la purificación del agua (3.a ed., Vol. 1). ACODAL</t>
    </r>
  </si>
  <si>
    <t>William Antonio Lozano-Rivas &amp; Guillermo lozano Bravo. (2015). POTABILIZACIÓN DEL AGUA (1.a ed., Vol. 1). Universidad Piloto de Colombia.</t>
  </si>
  <si>
    <t xml:space="preserve">DISEÑO DE FLOCULADOR ALABAMA </t>
  </si>
  <si>
    <t>PROYECTO DE INVESTIGACIÓN (0EAS0204-101)</t>
  </si>
  <si>
    <t>2 de marzo de 2022</t>
  </si>
  <si>
    <t>Eficiencia crítica</t>
  </si>
  <si>
    <t>Conductos cuadrados</t>
  </si>
  <si>
    <t>Placas planas paralelas</t>
  </si>
  <si>
    <t>Placas onduladas paralelas</t>
  </si>
  <si>
    <t>PARÁMETROS DE DISEÑO DE DE SEDIMENTADORES DE ALTA TASA</t>
  </si>
  <si>
    <t>Tiempo de retención en tubos</t>
  </si>
  <si>
    <t>Tiempo de retención en placas</t>
  </si>
  <si>
    <t>Inclinación de placas</t>
  </si>
  <si>
    <t>Tasa de rebose</t>
  </si>
  <si>
    <t>Distancia entre placas</t>
  </si>
  <si>
    <t>Profundidad</t>
  </si>
  <si>
    <t>Fracción del tanque a tasa acelerada</t>
  </si>
  <si>
    <t>L/s.m</t>
  </si>
  <si>
    <t>cm</t>
  </si>
  <si>
    <r>
      <t>m</t>
    </r>
    <r>
      <rPr>
        <vertAlign val="superscript"/>
        <sz val="11"/>
        <rFont val="Cambria"/>
        <family val="1"/>
      </rPr>
      <t>3</t>
    </r>
    <r>
      <rPr>
        <sz val="11"/>
        <rFont val="Cambria"/>
        <family val="1"/>
      </rPr>
      <t>/m</t>
    </r>
    <r>
      <rPr>
        <vertAlign val="superscript"/>
        <sz val="11"/>
        <rFont val="Cambria"/>
        <family val="1"/>
      </rPr>
      <t>2</t>
    </r>
    <r>
      <rPr>
        <sz val="11"/>
        <rFont val="Cambria"/>
        <family val="1"/>
      </rPr>
      <t>/d</t>
    </r>
  </si>
  <si>
    <t>Carga superficial en placas angostas</t>
  </si>
  <si>
    <t xml:space="preserve">120 - 185 </t>
  </si>
  <si>
    <t>Carga superficial en placas profundas</t>
  </si>
  <si>
    <t>200 - 300</t>
  </si>
  <si>
    <t>6 - 10</t>
  </si>
  <si>
    <t>10 - 15</t>
  </si>
  <si>
    <t>100 - 250</t>
  </si>
  <si>
    <t>1,7 - 3,3</t>
  </si>
  <si>
    <t>5 - 6</t>
  </si>
  <si>
    <t>3 - 5</t>
  </si>
  <si>
    <t>&lt; 75</t>
  </si>
  <si>
    <t>Tipo de celda o módulo</t>
  </si>
  <si>
    <r>
      <t>S</t>
    </r>
    <r>
      <rPr>
        <vertAlign val="subscript"/>
        <sz val="11"/>
        <color theme="1"/>
        <rFont val="Cambria"/>
        <family val="1"/>
      </rPr>
      <t>c</t>
    </r>
  </si>
  <si>
    <r>
      <t>m</t>
    </r>
    <r>
      <rPr>
        <vertAlign val="superscript"/>
        <sz val="11"/>
        <color theme="1"/>
        <rFont val="Cambria"/>
        <family val="1"/>
      </rPr>
      <t>2</t>
    </r>
    <r>
      <rPr>
        <sz val="11"/>
        <color theme="1"/>
        <rFont val="Cambria"/>
        <family val="1"/>
      </rPr>
      <t>/s</t>
    </r>
  </si>
  <si>
    <t>Tipo de floc</t>
  </si>
  <si>
    <t>Floc de alumbre</t>
  </si>
  <si>
    <t>Velocidad de sedimentación crítica para floc de alumbre</t>
  </si>
  <si>
    <t>12 - 23</t>
  </si>
  <si>
    <t>16 - 29</t>
  </si>
  <si>
    <t>Velocidad de sedimentación crítica para floc de alumbre y polielectrolitos</t>
  </si>
  <si>
    <t>Floc con alumbre y polielectrolitos</t>
  </si>
  <si>
    <t>Acero inoxidable AISI 316</t>
  </si>
  <si>
    <t>Acrilonitrilo butadieno estireno (ABS)</t>
  </si>
  <si>
    <t>Espesor</t>
  </si>
  <si>
    <t>1219 x 1219</t>
  </si>
  <si>
    <t>1219 x 2438</t>
  </si>
  <si>
    <t>1524 x 1524</t>
  </si>
  <si>
    <t>1524 x 3048</t>
  </si>
  <si>
    <t>Polietileno alta densidad (HDPE)</t>
  </si>
  <si>
    <t>Polipropileno (PP)</t>
  </si>
  <si>
    <t>1200 x 1200</t>
  </si>
  <si>
    <t>1200 x 1400</t>
  </si>
  <si>
    <t>1200 x 1600</t>
  </si>
  <si>
    <t>1200 x 1800</t>
  </si>
  <si>
    <t>1200 x 2000</t>
  </si>
  <si>
    <t>1200 x 2200</t>
  </si>
  <si>
    <t>1200 x 2400</t>
  </si>
  <si>
    <t>1200 x 2600</t>
  </si>
  <si>
    <t>1200 x 2800</t>
  </si>
  <si>
    <t>1200 x 3000</t>
  </si>
  <si>
    <t>1200 x 1500</t>
  </si>
  <si>
    <t>Poliestireno de alto impacto(HIPS)</t>
  </si>
  <si>
    <t>1200 x 2500</t>
  </si>
  <si>
    <t>Dimensiones</t>
  </si>
  <si>
    <t>Material</t>
  </si>
  <si>
    <t>Dimensiones de materiales de celdas y módulos</t>
  </si>
  <si>
    <t>b</t>
  </si>
  <si>
    <t>c</t>
  </si>
  <si>
    <t>d</t>
  </si>
  <si>
    <t>IngePc</t>
  </si>
  <si>
    <t>Combinaciones tipo de celda o módulo - material</t>
  </si>
  <si>
    <t>Materiales</t>
  </si>
  <si>
    <t>Combinación en uso</t>
  </si>
  <si>
    <r>
      <t xml:space="preserve">l </t>
    </r>
    <r>
      <rPr>
        <sz val="11"/>
        <color theme="1"/>
        <rFont val="Arial Narrow"/>
        <family val="2"/>
      </rPr>
      <t>x</t>
    </r>
    <r>
      <rPr>
        <sz val="11"/>
        <color theme="1"/>
        <rFont val="Cambria"/>
        <family val="1"/>
      </rPr>
      <t xml:space="preserve"> a</t>
    </r>
  </si>
  <si>
    <r>
      <t xml:space="preserve">mm </t>
    </r>
    <r>
      <rPr>
        <sz val="11"/>
        <color theme="1"/>
        <rFont val="Arial Narrow"/>
        <family val="2"/>
      </rPr>
      <t>x</t>
    </r>
    <r>
      <rPr>
        <sz val="11"/>
        <color theme="1"/>
        <rFont val="Cambria"/>
        <family val="1"/>
      </rPr>
      <t xml:space="preserve"> mm</t>
    </r>
  </si>
  <si>
    <t>Tipo de celda</t>
  </si>
  <si>
    <t>m3/m2/día</t>
  </si>
  <si>
    <t>Número de unidades</t>
  </si>
  <si>
    <t>Caudal por unidad</t>
  </si>
  <si>
    <r>
      <t>Q</t>
    </r>
    <r>
      <rPr>
        <vertAlign val="subscript"/>
        <sz val="11"/>
        <color theme="1"/>
        <rFont val="Cambria"/>
        <family val="1"/>
      </rPr>
      <t>und</t>
    </r>
  </si>
  <si>
    <r>
      <t>v</t>
    </r>
    <r>
      <rPr>
        <vertAlign val="subscript"/>
        <sz val="11"/>
        <color theme="1"/>
        <rFont val="Cambria"/>
        <family val="1"/>
      </rPr>
      <t>O</t>
    </r>
  </si>
  <si>
    <t>Largo de placa (en el sentido del flujo)</t>
  </si>
  <si>
    <t>Longitud relativa para la región de transición</t>
  </si>
  <si>
    <t>Longitud relativa para la región de transición corregida</t>
  </si>
  <si>
    <t>L'</t>
  </si>
  <si>
    <r>
      <t>L</t>
    </r>
    <r>
      <rPr>
        <vertAlign val="subscript"/>
        <sz val="11"/>
        <color theme="1"/>
        <rFont val="Cambria"/>
        <family val="1"/>
      </rPr>
      <t xml:space="preserve"> c</t>
    </r>
  </si>
  <si>
    <r>
      <t>v</t>
    </r>
    <r>
      <rPr>
        <vertAlign val="subscript"/>
        <sz val="11"/>
        <color theme="1"/>
        <rFont val="Cambria"/>
        <family val="1"/>
      </rPr>
      <t>sc</t>
    </r>
  </si>
  <si>
    <r>
      <t>t</t>
    </r>
    <r>
      <rPr>
        <vertAlign val="subscript"/>
        <sz val="11"/>
        <color theme="1"/>
        <rFont val="Cambria"/>
        <family val="1"/>
      </rPr>
      <t>c</t>
    </r>
  </si>
  <si>
    <t>TIEMPO DE RETENCIÓN TOTAL EN EL TANQUE</t>
  </si>
  <si>
    <r>
      <t>h</t>
    </r>
    <r>
      <rPr>
        <vertAlign val="subscript"/>
        <sz val="11"/>
        <rFont val="Cambria"/>
        <family val="1"/>
      </rPr>
      <t>a</t>
    </r>
  </si>
  <si>
    <r>
      <t>m</t>
    </r>
    <r>
      <rPr>
        <vertAlign val="superscript"/>
        <sz val="11"/>
        <rFont val="Cambria"/>
        <family val="1"/>
      </rPr>
      <t>3</t>
    </r>
  </si>
  <si>
    <t>CANALETAS DE RECOLECCIÓN DE AGUA CLARIFICADA</t>
  </si>
  <si>
    <t>Distancia vertical de orificios de distribución a placas</t>
  </si>
  <si>
    <t>DIMENSIONES DEL SEDIMENTADOR</t>
  </si>
  <si>
    <r>
      <t>e</t>
    </r>
    <r>
      <rPr>
        <vertAlign val="subscript"/>
        <sz val="11"/>
        <color theme="1"/>
        <rFont val="Cambria"/>
        <family val="1"/>
      </rPr>
      <t>c</t>
    </r>
  </si>
  <si>
    <t>A : L</t>
  </si>
  <si>
    <t>Altura interna total del sedimentador</t>
  </si>
  <si>
    <t>Espesor de muros de concreto</t>
  </si>
  <si>
    <t>Volumen de sedimentación de cada tanque</t>
  </si>
  <si>
    <r>
      <t>V</t>
    </r>
    <r>
      <rPr>
        <vertAlign val="subscript"/>
        <sz val="11"/>
        <rFont val="Cambria"/>
        <family val="1"/>
      </rPr>
      <t>s</t>
    </r>
  </si>
  <si>
    <t>Volumen de la tolva de lodos</t>
  </si>
  <si>
    <t>Ancho de la base plana de la tolva de lodos</t>
  </si>
  <si>
    <r>
      <t>b</t>
    </r>
    <r>
      <rPr>
        <vertAlign val="subscript"/>
        <sz val="11"/>
        <color theme="1"/>
        <rFont val="Cambria"/>
        <family val="1"/>
      </rPr>
      <t>t</t>
    </r>
  </si>
  <si>
    <t>Diámetro nominal PVC RDE 13,5(pulg)</t>
  </si>
  <si>
    <t>Diametro nominal (pulg)</t>
  </si>
  <si>
    <t>RDE</t>
  </si>
  <si>
    <t>Diámetro nominal de los orificios del múltiple de descarga</t>
  </si>
  <si>
    <r>
      <t>DN</t>
    </r>
    <r>
      <rPr>
        <vertAlign val="subscript"/>
        <sz val="11"/>
        <rFont val="Cambria"/>
        <family val="1"/>
      </rPr>
      <t>o</t>
    </r>
  </si>
  <si>
    <r>
      <t>D</t>
    </r>
    <r>
      <rPr>
        <vertAlign val="subscript"/>
        <sz val="11"/>
        <rFont val="Cambria"/>
        <family val="1"/>
      </rPr>
      <t>o</t>
    </r>
  </si>
  <si>
    <t>6 (RDE 13,5)</t>
  </si>
  <si>
    <t>8 (RDE 13,5)</t>
  </si>
  <si>
    <t>1/2 (RDE 9)</t>
  </si>
  <si>
    <t>3/4 (RDE 11)</t>
  </si>
  <si>
    <t>3/4 (RDE 21)</t>
  </si>
  <si>
    <t>1 (RDE 13,5)</t>
  </si>
  <si>
    <t>1 (RDE 21)</t>
  </si>
  <si>
    <t>1 1/4 (RDE 21)</t>
  </si>
  <si>
    <t>1 1/2 (RDE 21)</t>
  </si>
  <si>
    <t>2 (RDE 21)</t>
  </si>
  <si>
    <t>3 (RDE 21)</t>
  </si>
  <si>
    <t>2 1/2 (RDE 21)</t>
  </si>
  <si>
    <t>2 (RDE 26)</t>
  </si>
  <si>
    <t>2 1/2 (RDE 26)</t>
  </si>
  <si>
    <t>3 (RDE 26)</t>
  </si>
  <si>
    <t>4 (RDE 13,5)</t>
  </si>
  <si>
    <t>Tirante sobre los orificios del múltiple de descarga</t>
  </si>
  <si>
    <t>Número de orificios del múltiple de descarga</t>
  </si>
  <si>
    <r>
      <t>n</t>
    </r>
    <r>
      <rPr>
        <vertAlign val="subscript"/>
        <sz val="11"/>
        <color theme="1"/>
        <rFont val="Cambria"/>
        <family val="1"/>
      </rPr>
      <t>o</t>
    </r>
  </si>
  <si>
    <t>Separación entre orificios del múltiple (teórica)</t>
  </si>
  <si>
    <t>Diametro interno del múltiple de descarga</t>
  </si>
  <si>
    <t>Temperatura T</t>
  </si>
  <si>
    <t>Densidad ρ</t>
  </si>
  <si>
    <t>Columna1</t>
  </si>
  <si>
    <t>Diametro interconexión (D) m</t>
  </si>
  <si>
    <t>Viscocidad Dinamica del agua (µ)</t>
  </si>
  <si>
    <t>N.s/m2</t>
  </si>
  <si>
    <t>Viscocidad Cinematica del agua (v)</t>
  </si>
  <si>
    <t>Estabilidad del floculo (S)</t>
  </si>
  <si>
    <t>Estabilidad del floculo</t>
  </si>
  <si>
    <t>DETERMINACIÓN DE CARACTERÍSTICAS PRINCIPALES DEL SEDIMENTADOR</t>
  </si>
  <si>
    <t>Entrada</t>
  </si>
  <si>
    <t>Valor fijo</t>
  </si>
  <si>
    <t>¿20?</t>
  </si>
  <si>
    <t>Prueba lóg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</si>
</sst>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000000"/>
    <numFmt numFmtId="165" formatCode="0.000000000"/>
    <numFmt numFmtId="166" formatCode="0.00000000"/>
    <numFmt numFmtId="167" formatCode="0.00000"/>
    <numFmt numFmtId="168" formatCode="0.000000"/>
    <numFmt numFmtId="169" formatCode="0.0000000000"/>
    <numFmt numFmtId="170" formatCode="0.00000000000"/>
    <numFmt numFmtId="171" formatCode="0.0"/>
    <numFmt numFmtId="172" formatCode="0.0000"/>
    <numFmt numFmtId="173" formatCode="0.000"/>
    <numFmt numFmtId="174" formatCode="_-&quot;$&quot;\ * #,##0_-;\-&quot;$&quot;\ * #,##0_-;_-&quot;$&quot;\ * &quot;-&quot;??_-;_-@_-"/>
    <numFmt numFmtId="175" formatCode="_-* #,##0_-;\-* #,##0_-;_-* &quot;-&quot;??_-;_-@_-"/>
    <numFmt numFmtId="176" formatCode="&quot;$&quot;\ #,##0.00"/>
  </numFmts>
  <fonts count="5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i/>
      <sz val="11"/>
      <color theme="1"/>
      <name val="Cambria"/>
      <family val="1"/>
    </font>
    <font>
      <sz val="11"/>
      <color theme="1"/>
      <name val="Cambria"/>
      <family val="1"/>
    </font>
    <font>
      <b/>
      <i/>
      <sz val="11"/>
      <color theme="1"/>
      <name val="Cambria"/>
      <family val="1"/>
    </font>
    <font>
      <vertAlign val="subscript"/>
      <sz val="11"/>
      <color theme="1"/>
      <name val="Cambria"/>
      <family val="1"/>
    </font>
    <font>
      <sz val="11"/>
      <name val="Calibri"/>
      <family val="2"/>
      <scheme val="minor"/>
    </font>
    <font>
      <sz val="11"/>
      <name val="Cambria"/>
      <family val="1"/>
    </font>
    <font>
      <vertAlign val="subscript"/>
      <sz val="11"/>
      <name val="Cambria"/>
      <family val="1"/>
    </font>
    <font>
      <i/>
      <sz val="11"/>
      <name val="Cambria"/>
      <family val="1"/>
    </font>
    <font>
      <i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rgb="FF202124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4" tint="-0.249977111117893"/>
      <name val="Cambria"/>
      <family val="1"/>
    </font>
    <font>
      <b/>
      <vertAlign val="subscript"/>
      <sz val="1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b/>
      <vertAlign val="superscript"/>
      <sz val="11"/>
      <color theme="1"/>
      <name val="Cambria"/>
      <family val="1"/>
    </font>
    <font>
      <b/>
      <i/>
      <sz val="11"/>
      <color theme="1"/>
      <name val="Calibri"/>
      <family val="2"/>
      <scheme val="minor"/>
    </font>
    <font>
      <vertAlign val="superscript"/>
      <sz val="11"/>
      <name val="Cambria"/>
      <family val="1"/>
    </font>
    <font>
      <vertAlign val="subscript"/>
      <sz val="11"/>
      <name val="Calibri"/>
      <family val="2"/>
      <scheme val="minor"/>
    </font>
    <font>
      <vertAlign val="superscript"/>
      <sz val="11"/>
      <color theme="1"/>
      <name val="Cambria"/>
      <family val="1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name val="Cambria"/>
      <family val="1"/>
    </font>
    <font>
      <b/>
      <vertAlign val="subscript"/>
      <sz val="11"/>
      <name val="Cambria"/>
      <family val="1"/>
    </font>
    <font>
      <sz val="16"/>
      <name val="Cambria"/>
      <family val="1"/>
    </font>
    <font>
      <b/>
      <sz val="11"/>
      <color theme="1"/>
      <name val="Calibri"/>
      <family val="2"/>
    </font>
    <font>
      <sz val="11"/>
      <color theme="4"/>
      <name val="Calibri"/>
      <family val="2"/>
      <scheme val="minor"/>
    </font>
    <font>
      <sz val="6"/>
      <name val="Cambria"/>
      <family val="1"/>
    </font>
    <font>
      <vertAlign val="subscript"/>
      <sz val="6"/>
      <name val="Cambria"/>
      <family val="1"/>
    </font>
    <font>
      <sz val="6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sz val="11"/>
      <name val="Times New Roman"/>
      <family val="1"/>
    </font>
    <font>
      <b/>
      <i/>
      <sz val="11"/>
      <name val="Times New Roman"/>
      <family val="1"/>
    </font>
    <font>
      <b/>
      <i/>
      <sz val="11"/>
      <color theme="1"/>
      <name val="Times New Roman"/>
      <family val="1"/>
    </font>
    <font>
      <i/>
      <sz val="11"/>
      <name val="Times New Roman"/>
      <family val="1"/>
    </font>
    <font>
      <vertAlign val="superscript"/>
      <sz val="11"/>
      <name val="Times New Roman"/>
      <family val="1"/>
    </font>
    <font>
      <b/>
      <sz val="11"/>
      <name val="Times New Roman"/>
      <family val="1"/>
    </font>
    <font>
      <sz val="11"/>
      <color theme="1"/>
      <name val="Cambria}"/>
    </font>
    <font>
      <sz val="11"/>
      <color rgb="FFFF0000"/>
      <name val="Cambria"/>
      <family val="1"/>
    </font>
    <font>
      <sz val="11"/>
      <color theme="1"/>
      <name val="Arial Narrow"/>
      <family val="2"/>
    </font>
    <font>
      <sz val="11"/>
      <color theme="0"/>
      <name val="Calibri"/>
      <family val="2"/>
      <scheme val="minor"/>
    </font>
    <font>
      <sz val="11"/>
      <color theme="0"/>
      <name val="Cambria"/>
      <family val="1"/>
    </font>
    <font>
      <b/>
      <sz val="11"/>
      <color theme="0"/>
      <name val="Times New Roman"/>
      <family val="1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4" fontId="29" fillId="0" borderId="0" applyFont="0" applyFill="0" applyBorder="0" applyAlignment="0" applyProtection="0"/>
    <xf numFmtId="43" fontId="29" fillId="0" borderId="0" applyFont="0" applyFill="0" applyBorder="0" applyAlignment="0" applyProtection="0"/>
  </cellStyleXfs>
  <cellXfs count="1126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right" vertical="center"/>
    </xf>
    <xf numFmtId="0" fontId="4" fillId="2" borderId="1" xfId="0" applyFont="1" applyFill="1" applyBorder="1" applyAlignment="1">
      <alignment horizontal="center" vertical="center"/>
    </xf>
    <xf numFmtId="9" fontId="5" fillId="2" borderId="0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166" fontId="0" fillId="2" borderId="0" xfId="0" applyNumberForma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165" fontId="0" fillId="2" borderId="0" xfId="0" applyNumberFormat="1" applyFill="1" applyBorder="1" applyAlignment="1">
      <alignment vertical="center"/>
    </xf>
    <xf numFmtId="2" fontId="0" fillId="2" borderId="1" xfId="0" applyNumberFormat="1" applyFont="1" applyFill="1" applyBorder="1" applyAlignment="1">
      <alignment horizontal="right" vertical="center"/>
    </xf>
    <xf numFmtId="0" fontId="1" fillId="2" borderId="5" xfId="0" applyFont="1" applyFill="1" applyBorder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2" fontId="0" fillId="2" borderId="0" xfId="0" applyNumberFormat="1" applyFont="1" applyFill="1" applyBorder="1" applyAlignment="1">
      <alignment horizontal="right" vertical="center"/>
    </xf>
    <xf numFmtId="0" fontId="5" fillId="2" borderId="4" xfId="0" applyFont="1" applyFill="1" applyBorder="1" applyAlignment="1">
      <alignment horizontal="center" vertical="center"/>
    </xf>
    <xf numFmtId="9" fontId="4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0" fillId="2" borderId="0" xfId="0" applyFont="1" applyFill="1" applyAlignment="1">
      <alignment vertical="center"/>
    </xf>
    <xf numFmtId="0" fontId="11" fillId="2" borderId="1" xfId="0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center"/>
    </xf>
    <xf numFmtId="0" fontId="15" fillId="0" borderId="0" xfId="0" applyFont="1"/>
    <xf numFmtId="0" fontId="8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17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 wrapText="1"/>
    </xf>
    <xf numFmtId="0" fontId="19" fillId="2" borderId="0" xfId="0" applyFont="1" applyFill="1" applyAlignment="1">
      <alignment vertical="center"/>
    </xf>
    <xf numFmtId="166" fontId="19" fillId="2" borderId="0" xfId="0" applyNumberFormat="1" applyFont="1" applyFill="1" applyBorder="1" applyAlignment="1">
      <alignment vertical="center"/>
    </xf>
    <xf numFmtId="0" fontId="18" fillId="2" borderId="0" xfId="0" applyFont="1" applyFill="1" applyBorder="1" applyAlignment="1">
      <alignment horizontal="left" vertical="center"/>
    </xf>
    <xf numFmtId="0" fontId="20" fillId="2" borderId="0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1" fontId="18" fillId="2" borderId="0" xfId="0" applyNumberFormat="1" applyFont="1" applyFill="1" applyBorder="1" applyAlignment="1">
      <alignment horizontal="right" vertical="center"/>
    </xf>
    <xf numFmtId="0" fontId="0" fillId="2" borderId="0" xfId="0" applyFill="1"/>
    <xf numFmtId="0" fontId="0" fillId="2" borderId="0" xfId="0" applyFill="1" applyAlignment="1">
      <alignment wrapText="1"/>
    </xf>
    <xf numFmtId="0" fontId="1" fillId="2" borderId="0" xfId="0" applyFont="1" applyFill="1"/>
    <xf numFmtId="0" fontId="0" fillId="2" borderId="0" xfId="0" applyFill="1" applyAlignment="1">
      <alignment horizontal="justify"/>
    </xf>
    <xf numFmtId="0" fontId="0" fillId="2" borderId="0" xfId="0" applyFill="1" applyBorder="1"/>
    <xf numFmtId="173" fontId="0" fillId="2" borderId="0" xfId="0" applyNumberFormat="1" applyFill="1" applyBorder="1" applyAlignment="1">
      <alignment horizontal="center" vertical="center"/>
    </xf>
    <xf numFmtId="173" fontId="18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2" fontId="2" fillId="2" borderId="0" xfId="0" applyNumberFormat="1" applyFont="1" applyFill="1" applyBorder="1" applyAlignment="1">
      <alignment horizontal="center" vertical="center"/>
    </xf>
    <xf numFmtId="171" fontId="0" fillId="2" borderId="0" xfId="0" applyNumberFormat="1" applyFill="1" applyBorder="1" applyAlignment="1">
      <alignment horizontal="center" vertical="center"/>
    </xf>
    <xf numFmtId="2" fontId="0" fillId="2" borderId="0" xfId="0" applyNumberForma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center" vertical="center"/>
    </xf>
    <xf numFmtId="173" fontId="0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/>
    <xf numFmtId="173" fontId="8" fillId="2" borderId="0" xfId="0" applyNumberFormat="1" applyFont="1" applyFill="1" applyBorder="1" applyAlignment="1">
      <alignment horizontal="center" vertical="center"/>
    </xf>
    <xf numFmtId="1" fontId="0" fillId="2" borderId="0" xfId="0" applyNumberFormat="1" applyFon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right" vertical="center" indent="2"/>
    </xf>
    <xf numFmtId="0" fontId="8" fillId="2" borderId="0" xfId="0" applyFont="1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vertical="center" wrapText="1"/>
    </xf>
    <xf numFmtId="0" fontId="8" fillId="2" borderId="0" xfId="0" applyFont="1" applyFill="1" applyBorder="1"/>
    <xf numFmtId="2" fontId="5" fillId="2" borderId="1" xfId="0" applyNumberFormat="1" applyFont="1" applyFill="1" applyBorder="1" applyAlignment="1">
      <alignment horizontal="center" vertical="center"/>
    </xf>
    <xf numFmtId="0" fontId="19" fillId="2" borderId="0" xfId="0" applyFont="1" applyFill="1"/>
    <xf numFmtId="11" fontId="0" fillId="2" borderId="0" xfId="0" applyNumberFormat="1" applyFill="1"/>
    <xf numFmtId="0" fontId="0" fillId="2" borderId="0" xfId="0" applyFill="1" applyBorder="1" applyAlignment="1">
      <alignment horizontal="center"/>
    </xf>
    <xf numFmtId="0" fontId="19" fillId="2" borderId="0" xfId="0" applyFont="1" applyFill="1" applyBorder="1" applyAlignment="1">
      <alignment vertical="center"/>
    </xf>
    <xf numFmtId="2" fontId="0" fillId="2" borderId="0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2" borderId="0" xfId="0" applyFont="1" applyFill="1" applyBorder="1" applyAlignment="1">
      <alignment horizontal="center" vertical="center" wrapText="1"/>
    </xf>
    <xf numFmtId="172" fontId="0" fillId="2" borderId="0" xfId="0" applyNumberFormat="1" applyFill="1"/>
    <xf numFmtId="165" fontId="0" fillId="2" borderId="0" xfId="0" applyNumberFormat="1" applyFill="1" applyBorder="1"/>
    <xf numFmtId="9" fontId="5" fillId="2" borderId="1" xfId="0" applyNumberFormat="1" applyFont="1" applyFill="1" applyBorder="1" applyAlignment="1">
      <alignment horizontal="center" vertical="center"/>
    </xf>
    <xf numFmtId="165" fontId="8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right" vertical="center"/>
    </xf>
    <xf numFmtId="2" fontId="5" fillId="2" borderId="0" xfId="0" applyNumberFormat="1" applyFont="1" applyFill="1" applyBorder="1" applyAlignment="1">
      <alignment horizontal="center" vertical="center"/>
    </xf>
    <xf numFmtId="0" fontId="9" fillId="2" borderId="1" xfId="0" applyFont="1" applyFill="1" applyBorder="1"/>
    <xf numFmtId="11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vertical="center" wrapText="1"/>
    </xf>
    <xf numFmtId="0" fontId="8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Alignment="1"/>
    <xf numFmtId="0" fontId="0" fillId="2" borderId="0" xfId="0" applyFill="1" applyBorder="1" applyAlignment="1">
      <alignment horizontal="left" vertical="center"/>
    </xf>
    <xf numFmtId="1" fontId="8" fillId="2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/>
    <xf numFmtId="49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top"/>
    </xf>
    <xf numFmtId="0" fontId="8" fillId="2" borderId="0" xfId="0" applyFont="1" applyFill="1"/>
    <xf numFmtId="0" fontId="17" fillId="2" borderId="0" xfId="0" applyFont="1" applyFill="1" applyAlignment="1">
      <alignment vertical="center"/>
    </xf>
    <xf numFmtId="0" fontId="17" fillId="2" borderId="0" xfId="0" applyFont="1" applyFill="1"/>
    <xf numFmtId="2" fontId="8" fillId="2" borderId="0" xfId="0" applyNumberFormat="1" applyFont="1" applyFill="1" applyBorder="1" applyAlignment="1">
      <alignment horizontal="center" vertical="center"/>
    </xf>
    <xf numFmtId="2" fontId="8" fillId="2" borderId="0" xfId="0" applyNumberFormat="1" applyFont="1" applyFill="1"/>
    <xf numFmtId="173" fontId="8" fillId="2" borderId="0" xfId="0" applyNumberFormat="1" applyFont="1" applyFill="1" applyBorder="1" applyAlignment="1">
      <alignment vertical="center"/>
    </xf>
    <xf numFmtId="173" fontId="8" fillId="2" borderId="0" xfId="0" applyNumberFormat="1" applyFont="1" applyFill="1" applyBorder="1" applyAlignment="1">
      <alignment horizontal="right" vertical="center"/>
    </xf>
    <xf numFmtId="2" fontId="8" fillId="2" borderId="0" xfId="0" applyNumberFormat="1" applyFont="1" applyFill="1" applyBorder="1" applyAlignment="1">
      <alignment horizontal="right" vertical="center" indent="2"/>
    </xf>
    <xf numFmtId="173" fontId="17" fillId="2" borderId="0" xfId="0" applyNumberFormat="1" applyFont="1" applyFill="1" applyBorder="1" applyAlignment="1">
      <alignment horizontal="left" vertical="center"/>
    </xf>
    <xf numFmtId="1" fontId="9" fillId="2" borderId="1" xfId="0" applyNumberFormat="1" applyFont="1" applyFill="1" applyBorder="1" applyAlignment="1">
      <alignment horizontal="center" vertical="center"/>
    </xf>
    <xf numFmtId="1" fontId="9" fillId="2" borderId="4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12" fontId="0" fillId="2" borderId="0" xfId="0" applyNumberFormat="1" applyFill="1" applyAlignment="1"/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top"/>
    </xf>
    <xf numFmtId="164" fontId="0" fillId="2" borderId="0" xfId="0" applyNumberForma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72" fontId="0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12" fontId="0" fillId="2" borderId="0" xfId="0" applyNumberFormat="1" applyFill="1" applyBorder="1" applyAlignment="1">
      <alignment horizontal="center" vertical="center"/>
    </xf>
    <xf numFmtId="0" fontId="19" fillId="2" borderId="0" xfId="0" applyFont="1" applyFill="1" applyAlignment="1"/>
    <xf numFmtId="12" fontId="0" fillId="2" borderId="0" xfId="0" applyNumberFormat="1" applyFont="1" applyFill="1" applyBorder="1" applyAlignment="1">
      <alignment horizontal="center" vertical="center"/>
    </xf>
    <xf numFmtId="167" fontId="0" fillId="2" borderId="0" xfId="0" applyNumberFormat="1" applyFont="1" applyFill="1" applyBorder="1" applyAlignment="1">
      <alignment horizontal="center" vertical="center"/>
    </xf>
    <xf numFmtId="12" fontId="0" fillId="2" borderId="0" xfId="0" applyNumberFormat="1" applyFont="1" applyFill="1" applyBorder="1" applyAlignment="1">
      <alignment horizontal="right" vertical="center"/>
    </xf>
    <xf numFmtId="2" fontId="19" fillId="2" borderId="0" xfId="0" applyNumberFormat="1" applyFont="1" applyFill="1" applyBorder="1" applyAlignment="1">
      <alignment vertical="center"/>
    </xf>
    <xf numFmtId="2" fontId="5" fillId="2" borderId="0" xfId="0" applyNumberFormat="1" applyFont="1" applyFill="1" applyBorder="1" applyAlignment="1">
      <alignment horizontal="center" vertical="top"/>
    </xf>
    <xf numFmtId="2" fontId="0" fillId="2" borderId="0" xfId="0" applyNumberFormat="1" applyFont="1" applyFill="1" applyBorder="1" applyAlignment="1">
      <alignment horizontal="left" vertical="center" indent="1"/>
    </xf>
    <xf numFmtId="164" fontId="0" fillId="2" borderId="0" xfId="0" applyNumberFormat="1" applyFill="1" applyBorder="1"/>
    <xf numFmtId="174" fontId="0" fillId="2" borderId="0" xfId="1" applyNumberFormat="1" applyFont="1" applyFill="1" applyBorder="1" applyAlignment="1">
      <alignment horizontal="center" vertical="center"/>
    </xf>
    <xf numFmtId="174" fontId="1" fillId="2" borderId="0" xfId="1" applyNumberFormat="1" applyFont="1" applyFill="1" applyBorder="1" applyAlignment="1">
      <alignment horizontal="center" vertical="center"/>
    </xf>
    <xf numFmtId="44" fontId="8" fillId="2" borderId="0" xfId="1" applyFont="1" applyFill="1" applyBorder="1" applyAlignment="1">
      <alignment horizontal="center" vertical="center"/>
    </xf>
    <xf numFmtId="174" fontId="8" fillId="2" borderId="0" xfId="0" applyNumberFormat="1" applyFont="1" applyFill="1" applyBorder="1" applyAlignment="1">
      <alignment horizontal="center" vertical="center"/>
    </xf>
    <xf numFmtId="44" fontId="0" fillId="2" borderId="0" xfId="0" applyNumberFormat="1" applyFont="1" applyFill="1"/>
    <xf numFmtId="44" fontId="8" fillId="2" borderId="0" xfId="1" applyFont="1" applyFill="1" applyBorder="1" applyAlignment="1">
      <alignment horizontal="right" vertical="center"/>
    </xf>
    <xf numFmtId="172" fontId="8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 applyBorder="1" applyAlignment="1">
      <alignment horizontal="right" vertical="center"/>
    </xf>
    <xf numFmtId="2" fontId="0" fillId="2" borderId="1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center"/>
    </xf>
    <xf numFmtId="0" fontId="23" fillId="2" borderId="0" xfId="0" applyFont="1" applyFill="1" applyBorder="1" applyAlignment="1">
      <alignment horizontal="center" vertical="center" wrapText="1"/>
    </xf>
    <xf numFmtId="165" fontId="0" fillId="2" borderId="0" xfId="0" applyNumberFormat="1" applyFill="1" applyBorder="1" applyAlignment="1">
      <alignment horizontal="center"/>
    </xf>
    <xf numFmtId="168" fontId="0" fillId="2" borderId="0" xfId="0" applyNumberFormat="1" applyFill="1" applyBorder="1"/>
    <xf numFmtId="0" fontId="0" fillId="2" borderId="0" xfId="0" applyFill="1" applyAlignment="1">
      <alignment horizontal="center"/>
    </xf>
    <xf numFmtId="0" fontId="1" fillId="2" borderId="0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left"/>
    </xf>
    <xf numFmtId="0" fontId="0" fillId="2" borderId="0" xfId="0" applyFill="1" applyAlignment="1">
      <alignment horizontal="center" vertical="center"/>
    </xf>
    <xf numFmtId="1" fontId="20" fillId="2" borderId="0" xfId="0" applyNumberFormat="1" applyFont="1" applyFill="1" applyBorder="1" applyAlignment="1">
      <alignment horizontal="right" vertical="center"/>
    </xf>
    <xf numFmtId="175" fontId="0" fillId="2" borderId="0" xfId="0" applyNumberFormat="1" applyFill="1" applyBorder="1" applyAlignment="1">
      <alignment horizontal="left" vertical="center"/>
    </xf>
    <xf numFmtId="175" fontId="0" fillId="2" borderId="0" xfId="0" applyNumberFormat="1" applyFill="1" applyBorder="1" applyAlignment="1">
      <alignment horizontal="right" vertical="center"/>
    </xf>
    <xf numFmtId="175" fontId="0" fillId="2" borderId="0" xfId="0" applyNumberFormat="1" applyFill="1" applyBorder="1" applyAlignment="1">
      <alignment horizontal="center" vertical="center"/>
    </xf>
    <xf numFmtId="175" fontId="0" fillId="2" borderId="0" xfId="0" applyNumberFormat="1" applyFill="1" applyBorder="1" applyAlignment="1">
      <alignment vertical="center"/>
    </xf>
    <xf numFmtId="173" fontId="0" fillId="2" borderId="0" xfId="0" applyNumberFormat="1" applyFill="1" applyBorder="1"/>
    <xf numFmtId="173" fontId="17" fillId="2" borderId="0" xfId="0" applyNumberFormat="1" applyFont="1" applyFill="1" applyBorder="1" applyAlignment="1">
      <alignment horizontal="center" vertical="center"/>
    </xf>
    <xf numFmtId="0" fontId="32" fillId="2" borderId="0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8" fontId="0" fillId="2" borderId="0" xfId="0" applyNumberFormat="1" applyFont="1" applyFill="1" applyBorder="1" applyAlignment="1">
      <alignment vertical="center"/>
    </xf>
    <xf numFmtId="1" fontId="0" fillId="2" borderId="0" xfId="0" applyNumberFormat="1" applyFont="1" applyFill="1" applyBorder="1" applyAlignment="1">
      <alignment vertical="center"/>
    </xf>
    <xf numFmtId="169" fontId="0" fillId="2" borderId="0" xfId="0" applyNumberFormat="1" applyFont="1" applyFill="1" applyBorder="1" applyAlignment="1">
      <alignment horizontal="center" vertical="center"/>
    </xf>
    <xf numFmtId="170" fontId="0" fillId="2" borderId="0" xfId="0" applyNumberFormat="1" applyFont="1" applyFill="1" applyBorder="1" applyAlignment="1">
      <alignment horizontal="center" vertical="center"/>
    </xf>
    <xf numFmtId="1" fontId="9" fillId="2" borderId="0" xfId="0" applyNumberFormat="1" applyFont="1" applyFill="1" applyBorder="1" applyAlignment="1">
      <alignment horizontal="center" vertical="center"/>
    </xf>
    <xf numFmtId="164" fontId="19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6" fontId="0" fillId="2" borderId="0" xfId="0" applyNumberFormat="1" applyFont="1" applyFill="1" applyBorder="1" applyAlignment="1">
      <alignment vertical="center"/>
    </xf>
    <xf numFmtId="172" fontId="0" fillId="2" borderId="0" xfId="0" applyNumberFormat="1" applyFont="1" applyFill="1" applyBorder="1" applyAlignment="1">
      <alignment vertical="center"/>
    </xf>
    <xf numFmtId="0" fontId="0" fillId="2" borderId="0" xfId="0" applyFill="1" applyBorder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right" vertical="center"/>
    </xf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center" vertical="center" wrapText="1"/>
    </xf>
    <xf numFmtId="173" fontId="0" fillId="0" borderId="0" xfId="0" applyNumberFormat="1" applyBorder="1" applyAlignment="1">
      <alignment horizontal="center" vertical="center"/>
    </xf>
    <xf numFmtId="173" fontId="0" fillId="2" borderId="0" xfId="0" applyNumberFormat="1" applyFill="1"/>
    <xf numFmtId="0" fontId="18" fillId="4" borderId="0" xfId="0" applyFont="1" applyFill="1" applyBorder="1" applyAlignment="1">
      <alignment horizontal="left" vertical="center"/>
    </xf>
    <xf numFmtId="0" fontId="20" fillId="4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1" fontId="18" fillId="4" borderId="0" xfId="0" applyNumberFormat="1" applyFont="1" applyFill="1" applyBorder="1" applyAlignment="1">
      <alignment horizontal="right" vertical="center"/>
    </xf>
    <xf numFmtId="0" fontId="0" fillId="4" borderId="0" xfId="0" applyFont="1" applyFill="1" applyBorder="1" applyAlignment="1">
      <alignment vertical="center"/>
    </xf>
    <xf numFmtId="0" fontId="8" fillId="4" borderId="0" xfId="0" applyFont="1" applyFill="1" applyBorder="1" applyAlignment="1">
      <alignment horizontal="center" vertical="center"/>
    </xf>
    <xf numFmtId="173" fontId="8" fillId="4" borderId="0" xfId="0" applyNumberFormat="1" applyFont="1" applyFill="1" applyBorder="1" applyAlignment="1">
      <alignment horizontal="center" vertical="center"/>
    </xf>
    <xf numFmtId="173" fontId="18" fillId="4" borderId="0" xfId="0" applyNumberFormat="1" applyFont="1" applyFill="1" applyBorder="1" applyAlignment="1">
      <alignment horizontal="center" vertical="center"/>
    </xf>
    <xf numFmtId="0" fontId="0" fillId="4" borderId="0" xfId="0" applyFont="1" applyFill="1"/>
    <xf numFmtId="0" fontId="18" fillId="5" borderId="0" xfId="0" applyFont="1" applyFill="1" applyBorder="1" applyAlignment="1">
      <alignment horizontal="left" vertical="center"/>
    </xf>
    <xf numFmtId="0" fontId="20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1" fontId="18" fillId="5" borderId="0" xfId="0" applyNumberFormat="1" applyFont="1" applyFill="1" applyBorder="1" applyAlignment="1">
      <alignment horizontal="right" vertical="center"/>
    </xf>
    <xf numFmtId="0" fontId="0" fillId="5" borderId="0" xfId="0" applyFont="1" applyFill="1" applyBorder="1" applyAlignment="1">
      <alignment vertical="center"/>
    </xf>
    <xf numFmtId="0" fontId="8" fillId="5" borderId="0" xfId="0" applyFont="1" applyFill="1" applyBorder="1" applyAlignment="1">
      <alignment horizontal="center" vertical="center"/>
    </xf>
    <xf numFmtId="173" fontId="8" fillId="5" borderId="0" xfId="0" applyNumberFormat="1" applyFont="1" applyFill="1" applyBorder="1" applyAlignment="1">
      <alignment horizontal="center" vertical="center"/>
    </xf>
    <xf numFmtId="173" fontId="18" fillId="5" borderId="0" xfId="0" applyNumberFormat="1" applyFont="1" applyFill="1" applyBorder="1" applyAlignment="1">
      <alignment horizontal="center" vertical="center"/>
    </xf>
    <xf numFmtId="0" fontId="0" fillId="5" borderId="0" xfId="0" applyFont="1" applyFill="1"/>
    <xf numFmtId="1" fontId="17" fillId="2" borderId="3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30" fillId="2" borderId="0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vertical="center"/>
    </xf>
    <xf numFmtId="0" fontId="30" fillId="2" borderId="0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right"/>
    </xf>
    <xf numFmtId="173" fontId="5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1" fontId="17" fillId="2" borderId="0" xfId="0" applyNumberFormat="1" applyFont="1" applyFill="1" applyBorder="1" applyAlignment="1">
      <alignment vertical="center" wrapText="1"/>
    </xf>
    <xf numFmtId="1" fontId="17" fillId="2" borderId="0" xfId="0" applyNumberFormat="1" applyFont="1" applyFill="1" applyBorder="1" applyAlignment="1">
      <alignment horizontal="center" vertical="center" wrapText="1"/>
    </xf>
    <xf numFmtId="164" fontId="0" fillId="2" borderId="0" xfId="0" applyNumberFormat="1" applyFont="1" applyFill="1" applyBorder="1" applyAlignment="1">
      <alignment vertical="center"/>
    </xf>
    <xf numFmtId="1" fontId="10" fillId="2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173" fontId="8" fillId="2" borderId="1" xfId="0" applyNumberFormat="1" applyFont="1" applyFill="1" applyBorder="1" applyAlignment="1">
      <alignment horizontal="center" vertical="center"/>
    </xf>
    <xf numFmtId="173" fontId="8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" fontId="10" fillId="2" borderId="0" xfId="0" applyNumberFormat="1" applyFont="1" applyFill="1" applyBorder="1" applyAlignment="1">
      <alignment horizontal="center" vertical="center"/>
    </xf>
    <xf numFmtId="173" fontId="5" fillId="2" borderId="0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172" fontId="9" fillId="2" borderId="1" xfId="0" applyNumberFormat="1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wrapText="1"/>
    </xf>
    <xf numFmtId="12" fontId="0" fillId="2" borderId="0" xfId="0" applyNumberFormat="1" applyFont="1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2" fontId="9" fillId="2" borderId="0" xfId="0" applyNumberFormat="1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vertical="center"/>
    </xf>
    <xf numFmtId="165" fontId="9" fillId="2" borderId="1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173" fontId="0" fillId="2" borderId="0" xfId="0" applyNumberFormat="1" applyFill="1" applyBorder="1" applyAlignment="1">
      <alignment horizont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167" fontId="5" fillId="2" borderId="2" xfId="0" applyNumberFormat="1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2" fontId="9" fillId="2" borderId="3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8" fillId="4" borderId="0" xfId="0" applyFont="1" applyFill="1"/>
    <xf numFmtId="173" fontId="9" fillId="2" borderId="0" xfId="0" applyNumberFormat="1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9" fillId="2" borderId="1" xfId="0" applyFont="1" applyFill="1" applyBorder="1" applyAlignment="1">
      <alignment vertical="center"/>
    </xf>
    <xf numFmtId="167" fontId="9" fillId="2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right" vertical="center"/>
    </xf>
    <xf numFmtId="165" fontId="9" fillId="2" borderId="1" xfId="0" applyNumberFormat="1" applyFont="1" applyFill="1" applyBorder="1" applyAlignment="1">
      <alignment horizontal="right" vertical="center"/>
    </xf>
    <xf numFmtId="171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right" vertical="center" indent="2"/>
    </xf>
    <xf numFmtId="2" fontId="9" fillId="2" borderId="1" xfId="0" applyNumberFormat="1" applyFont="1" applyFill="1" applyBorder="1" applyAlignment="1">
      <alignment horizontal="center" vertical="center"/>
    </xf>
    <xf numFmtId="173" fontId="9" fillId="2" borderId="6" xfId="0" applyNumberFormat="1" applyFont="1" applyFill="1" applyBorder="1" applyAlignment="1">
      <alignment horizontal="center" vertical="center"/>
    </xf>
    <xf numFmtId="172" fontId="5" fillId="2" borderId="3" xfId="0" applyNumberFormat="1" applyFont="1" applyFill="1" applyBorder="1" applyAlignment="1">
      <alignment horizontal="right" vertical="center"/>
    </xf>
    <xf numFmtId="172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/>
    <xf numFmtId="172" fontId="5" fillId="2" borderId="1" xfId="0" applyNumberFormat="1" applyFont="1" applyFill="1" applyBorder="1"/>
    <xf numFmtId="0" fontId="5" fillId="2" borderId="6" xfId="0" applyFont="1" applyFill="1" applyBorder="1" applyAlignment="1">
      <alignment horizontal="center" vertical="center" wrapText="1"/>
    </xf>
    <xf numFmtId="2" fontId="5" fillId="2" borderId="1" xfId="0" applyNumberFormat="1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173" fontId="5" fillId="2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173" fontId="9" fillId="2" borderId="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73" fontId="17" fillId="2" borderId="0" xfId="0" applyNumberFormat="1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1" fontId="9" fillId="6" borderId="1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right" vertical="center"/>
    </xf>
    <xf numFmtId="172" fontId="9" fillId="6" borderId="1" xfId="0" applyNumberFormat="1" applyFont="1" applyFill="1" applyBorder="1" applyAlignment="1">
      <alignment horizontal="center" vertical="center"/>
    </xf>
    <xf numFmtId="2" fontId="16" fillId="2" borderId="0" xfId="0" applyNumberFormat="1" applyFont="1" applyFill="1" applyBorder="1" applyAlignment="1">
      <alignment vertical="center"/>
    </xf>
    <xf numFmtId="1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173" fontId="9" fillId="6" borderId="2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171" fontId="9" fillId="8" borderId="1" xfId="0" applyNumberFormat="1" applyFont="1" applyFill="1" applyBorder="1" applyAlignment="1">
      <alignment horizontal="center" vertical="center"/>
    </xf>
    <xf numFmtId="2" fontId="9" fillId="8" borderId="1" xfId="0" applyNumberFormat="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/>
    </xf>
    <xf numFmtId="172" fontId="5" fillId="8" borderId="3" xfId="0" applyNumberFormat="1" applyFont="1" applyFill="1" applyBorder="1" applyAlignment="1">
      <alignment horizontal="center" vertical="center"/>
    </xf>
    <xf numFmtId="173" fontId="5" fillId="8" borderId="1" xfId="0" applyNumberFormat="1" applyFont="1" applyFill="1" applyBorder="1" applyAlignment="1">
      <alignment horizontal="center" vertical="center"/>
    </xf>
    <xf numFmtId="12" fontId="37" fillId="2" borderId="0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top"/>
    </xf>
    <xf numFmtId="12" fontId="9" fillId="6" borderId="1" xfId="0" applyNumberFormat="1" applyFont="1" applyFill="1" applyBorder="1" applyAlignment="1">
      <alignment horizontal="center" vertical="center"/>
    </xf>
    <xf numFmtId="2" fontId="10" fillId="2" borderId="1" xfId="0" applyNumberFormat="1" applyFont="1" applyFill="1" applyBorder="1" applyAlignment="1">
      <alignment horizontal="center" vertical="top"/>
    </xf>
    <xf numFmtId="173" fontId="9" fillId="6" borderId="1" xfId="0" applyNumberFormat="1" applyFont="1" applyFill="1" applyBorder="1" applyAlignment="1">
      <alignment horizontal="center" vertical="center"/>
    </xf>
    <xf numFmtId="2" fontId="9" fillId="6" borderId="1" xfId="0" applyNumberFormat="1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top"/>
    </xf>
    <xf numFmtId="2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 vertical="center"/>
    </xf>
    <xf numFmtId="173" fontId="0" fillId="3" borderId="1" xfId="0" applyNumberFormat="1" applyFill="1" applyBorder="1" applyAlignment="1">
      <alignment horizontal="center" vertical="center"/>
    </xf>
    <xf numFmtId="173" fontId="8" fillId="3" borderId="1" xfId="0" applyNumberFormat="1" applyFont="1" applyFill="1" applyBorder="1" applyAlignment="1">
      <alignment horizontal="center" vertical="center"/>
    </xf>
    <xf numFmtId="175" fontId="0" fillId="3" borderId="1" xfId="0" applyNumberFormat="1" applyFill="1" applyBorder="1" applyAlignment="1">
      <alignment horizontal="left" vertical="center"/>
    </xf>
    <xf numFmtId="0" fontId="17" fillId="3" borderId="1" xfId="0" applyFont="1" applyFill="1" applyBorder="1" applyAlignment="1">
      <alignment horizontal="center" vertical="center"/>
    </xf>
    <xf numFmtId="173" fontId="17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31" fillId="3" borderId="1" xfId="0" applyFont="1" applyFill="1" applyBorder="1" applyAlignment="1">
      <alignment vertical="center"/>
    </xf>
    <xf numFmtId="0" fontId="16" fillId="3" borderId="1" xfId="0" applyFont="1" applyFill="1" applyBorder="1" applyAlignment="1">
      <alignment horizontal="center" vertical="center"/>
    </xf>
    <xf numFmtId="43" fontId="0" fillId="3" borderId="1" xfId="0" applyNumberFormat="1" applyFill="1" applyBorder="1" applyAlignment="1">
      <alignment horizontal="center" vertical="center"/>
    </xf>
    <xf numFmtId="175" fontId="0" fillId="3" borderId="1" xfId="0" applyNumberFormat="1" applyFill="1" applyBorder="1" applyAlignment="1">
      <alignment horizontal="center" vertical="center"/>
    </xf>
    <xf numFmtId="43" fontId="17" fillId="3" borderId="1" xfId="0" applyNumberFormat="1" applyFont="1" applyFill="1" applyBorder="1" applyAlignment="1">
      <alignment horizontal="center" vertical="center"/>
    </xf>
    <xf numFmtId="171" fontId="0" fillId="3" borderId="1" xfId="0" applyNumberForma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vertical="center"/>
    </xf>
    <xf numFmtId="171" fontId="17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2" fontId="1" fillId="3" borderId="1" xfId="0" applyNumberFormat="1" applyFont="1" applyFill="1" applyBorder="1" applyAlignment="1">
      <alignment horizontal="center" vertical="center"/>
    </xf>
    <xf numFmtId="171" fontId="1" fillId="3" borderId="1" xfId="0" applyNumberFormat="1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vertical="center"/>
    </xf>
    <xf numFmtId="175" fontId="0" fillId="3" borderId="1" xfId="0" applyNumberFormat="1" applyFill="1" applyBorder="1" applyAlignment="1">
      <alignment vertical="center"/>
    </xf>
    <xf numFmtId="175" fontId="0" fillId="3" borderId="1" xfId="0" applyNumberFormat="1" applyFill="1" applyBorder="1" applyAlignment="1">
      <alignment horizontal="right" vertical="center"/>
    </xf>
    <xf numFmtId="173" fontId="0" fillId="3" borderId="1" xfId="0" applyNumberFormat="1" applyFill="1" applyBorder="1" applyAlignment="1">
      <alignment horizontal="center"/>
    </xf>
    <xf numFmtId="0" fontId="17" fillId="3" borderId="1" xfId="0" applyFont="1" applyFill="1" applyBorder="1" applyAlignment="1">
      <alignment horizontal="center"/>
    </xf>
    <xf numFmtId="173" fontId="17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/>
    <xf numFmtId="12" fontId="0" fillId="3" borderId="1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0" fontId="0" fillId="3" borderId="2" xfId="0" applyFill="1" applyBorder="1" applyAlignment="1">
      <alignment vertical="center"/>
    </xf>
    <xf numFmtId="0" fontId="0" fillId="3" borderId="14" xfId="0" applyFill="1" applyBorder="1" applyAlignment="1">
      <alignment horizontal="left" vertical="center"/>
    </xf>
    <xf numFmtId="0" fontId="0" fillId="3" borderId="8" xfId="0" applyFill="1" applyBorder="1" applyAlignment="1">
      <alignment vertical="center"/>
    </xf>
    <xf numFmtId="0" fontId="0" fillId="3" borderId="11" xfId="0" applyFill="1" applyBorder="1" applyAlignment="1">
      <alignment horizontal="left" vertical="center"/>
    </xf>
    <xf numFmtId="0" fontId="0" fillId="3" borderId="3" xfId="0" applyFill="1" applyBorder="1" applyAlignment="1"/>
    <xf numFmtId="0" fontId="8" fillId="7" borderId="1" xfId="0" applyFont="1" applyFill="1" applyBorder="1" applyAlignment="1">
      <alignment horizontal="center" vertical="center"/>
    </xf>
    <xf numFmtId="173" fontId="8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23" fillId="7" borderId="3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 vertical="center"/>
    </xf>
    <xf numFmtId="0" fontId="0" fillId="7" borderId="3" xfId="0" applyFill="1" applyBorder="1" applyAlignment="1">
      <alignment horizontal="center"/>
    </xf>
    <xf numFmtId="0" fontId="0" fillId="7" borderId="3" xfId="0" applyFill="1" applyBorder="1"/>
    <xf numFmtId="165" fontId="0" fillId="7" borderId="3" xfId="0" applyNumberFormat="1" applyFill="1" applyBorder="1" applyAlignment="1">
      <alignment horizontal="center"/>
    </xf>
    <xf numFmtId="168" fontId="0" fillId="7" borderId="3" xfId="0" applyNumberFormat="1" applyFill="1" applyBorder="1"/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168" fontId="0" fillId="7" borderId="1" xfId="0" applyNumberFormat="1" applyFill="1" applyBorder="1"/>
    <xf numFmtId="0" fontId="0" fillId="7" borderId="1" xfId="0" applyFill="1" applyBorder="1"/>
    <xf numFmtId="0" fontId="8" fillId="7" borderId="1" xfId="0" applyFont="1" applyFill="1" applyBorder="1"/>
    <xf numFmtId="172" fontId="0" fillId="7" borderId="1" xfId="0" applyNumberForma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0" fillId="7" borderId="7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2" fontId="5" fillId="7" borderId="6" xfId="0" applyNumberFormat="1" applyFont="1" applyFill="1" applyBorder="1" applyAlignment="1">
      <alignment horizontal="center" vertical="center"/>
    </xf>
    <xf numFmtId="2" fontId="5" fillId="7" borderId="7" xfId="0" applyNumberFormat="1" applyFont="1" applyFill="1" applyBorder="1" applyAlignment="1">
      <alignment horizontal="center" vertical="center"/>
    </xf>
    <xf numFmtId="2" fontId="5" fillId="7" borderId="4" xfId="0" applyNumberFormat="1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top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73" fontId="0" fillId="4" borderId="1" xfId="0" applyNumberFormat="1" applyFill="1" applyBorder="1" applyAlignment="1">
      <alignment horizontal="center"/>
    </xf>
    <xf numFmtId="173" fontId="0" fillId="4" borderId="1" xfId="0" applyNumberFormat="1" applyFill="1" applyBorder="1" applyAlignment="1">
      <alignment horizontal="center" vertical="center"/>
    </xf>
    <xf numFmtId="175" fontId="0" fillId="4" borderId="1" xfId="0" applyNumberForma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1" fillId="2" borderId="0" xfId="0" applyFont="1" applyFill="1" applyBorder="1" applyAlignment="1"/>
    <xf numFmtId="172" fontId="5" fillId="2" borderId="0" xfId="0" applyNumberFormat="1" applyFont="1" applyFill="1" applyBorder="1"/>
    <xf numFmtId="172" fontId="5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/>
    <xf numFmtId="167" fontId="5" fillId="2" borderId="1" xfId="0" applyNumberFormat="1" applyFont="1" applyFill="1" applyBorder="1" applyAlignment="1">
      <alignment vertical="center"/>
    </xf>
    <xf numFmtId="0" fontId="1" fillId="2" borderId="2" xfId="0" applyFont="1" applyFill="1" applyBorder="1" applyAlignment="1"/>
    <xf numFmtId="0" fontId="1" fillId="2" borderId="8" xfId="0" applyFont="1" applyFill="1" applyBorder="1" applyAlignment="1"/>
    <xf numFmtId="0" fontId="1" fillId="2" borderId="10" xfId="0" applyFont="1" applyFill="1" applyBorder="1" applyAlignment="1"/>
    <xf numFmtId="0" fontId="1" fillId="2" borderId="15" xfId="0" applyFont="1" applyFill="1" applyBorder="1" applyAlignment="1"/>
    <xf numFmtId="172" fontId="19" fillId="2" borderId="0" xfId="0" applyNumberFormat="1" applyFont="1" applyFill="1" applyBorder="1"/>
    <xf numFmtId="0" fontId="1" fillId="2" borderId="14" xfId="0" applyFont="1" applyFill="1" applyBorder="1" applyAlignment="1">
      <alignment vertical="top"/>
    </xf>
    <xf numFmtId="0" fontId="1" fillId="2" borderId="15" xfId="0" applyFont="1" applyFill="1" applyBorder="1" applyAlignment="1">
      <alignment vertical="top"/>
    </xf>
    <xf numFmtId="0" fontId="1" fillId="2" borderId="11" xfId="0" applyFont="1" applyFill="1" applyBorder="1" applyAlignment="1">
      <alignment vertical="top"/>
    </xf>
    <xf numFmtId="0" fontId="1" fillId="2" borderId="12" xfId="0" applyFont="1" applyFill="1" applyBorder="1" applyAlignment="1">
      <alignment vertical="top"/>
    </xf>
    <xf numFmtId="0" fontId="1" fillId="2" borderId="14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right" vertical="center"/>
    </xf>
    <xf numFmtId="0" fontId="0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2" fontId="5" fillId="2" borderId="1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/>
    </xf>
    <xf numFmtId="173" fontId="17" fillId="4" borderId="1" xfId="0" applyNumberFormat="1" applyFont="1" applyFill="1" applyBorder="1" applyAlignment="1">
      <alignment horizontal="center"/>
    </xf>
    <xf numFmtId="173" fontId="17" fillId="4" borderId="1" xfId="0" applyNumberFormat="1" applyFont="1" applyFill="1" applyBorder="1" applyAlignment="1">
      <alignment horizontal="center" vertical="center"/>
    </xf>
    <xf numFmtId="0" fontId="9" fillId="2" borderId="0" xfId="0" applyFont="1" applyFill="1" applyBorder="1"/>
    <xf numFmtId="0" fontId="16" fillId="2" borderId="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2" fontId="9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2" fontId="9" fillId="2" borderId="6" xfId="0" applyNumberFormat="1" applyFont="1" applyFill="1" applyBorder="1" applyAlignment="1">
      <alignment horizontal="center" vertical="center"/>
    </xf>
    <xf numFmtId="171" fontId="8" fillId="2" borderId="0" xfId="0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2" fontId="12" fillId="2" borderId="0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/>
    <xf numFmtId="173" fontId="8" fillId="2" borderId="0" xfId="0" applyNumberFormat="1" applyFont="1" applyFill="1" applyBorder="1" applyAlignment="1">
      <alignment horizontal="center" vertical="center"/>
    </xf>
    <xf numFmtId="173" fontId="5" fillId="2" borderId="1" xfId="0" applyNumberFormat="1" applyFont="1" applyFill="1" applyBorder="1"/>
    <xf numFmtId="173" fontId="8" fillId="2" borderId="0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vertical="center"/>
    </xf>
    <xf numFmtId="0" fontId="8" fillId="2" borderId="7" xfId="0" applyFont="1" applyFill="1" applyBorder="1" applyAlignment="1">
      <alignment vertical="center"/>
    </xf>
    <xf numFmtId="0" fontId="0" fillId="2" borderId="0" xfId="0" applyFont="1" applyFill="1" applyBorder="1"/>
    <xf numFmtId="0" fontId="17" fillId="2" borderId="0" xfId="0" applyFont="1" applyFill="1" applyBorder="1" applyAlignment="1">
      <alignment horizontal="center" vertical="center"/>
    </xf>
    <xf numFmtId="167" fontId="9" fillId="2" borderId="2" xfId="0" applyNumberFormat="1" applyFont="1" applyFill="1" applyBorder="1" applyAlignment="1">
      <alignment horizontal="center" vertical="center"/>
    </xf>
    <xf numFmtId="173" fontId="9" fillId="8" borderId="1" xfId="0" applyNumberFormat="1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vertical="center"/>
    </xf>
    <xf numFmtId="0" fontId="43" fillId="2" borderId="1" xfId="0" applyFont="1" applyFill="1" applyBorder="1" applyAlignment="1">
      <alignment horizontal="left" vertical="center"/>
    </xf>
    <xf numFmtId="2" fontId="42" fillId="2" borderId="1" xfId="0" applyNumberFormat="1" applyFont="1" applyFill="1" applyBorder="1" applyAlignment="1">
      <alignment horizontal="left" vertical="center"/>
    </xf>
    <xf numFmtId="2" fontId="43" fillId="2" borderId="1" xfId="0" applyNumberFormat="1" applyFont="1" applyFill="1" applyBorder="1" applyAlignment="1">
      <alignment horizontal="left" vertical="center"/>
    </xf>
    <xf numFmtId="167" fontId="43" fillId="2" borderId="1" xfId="0" applyNumberFormat="1" applyFont="1" applyFill="1" applyBorder="1" applyAlignment="1">
      <alignment horizontal="left" vertical="center"/>
    </xf>
    <xf numFmtId="0" fontId="43" fillId="2" borderId="1" xfId="0" applyFont="1" applyFill="1" applyBorder="1" applyAlignment="1">
      <alignment horizontal="left"/>
    </xf>
    <xf numFmtId="2" fontId="43" fillId="2" borderId="1" xfId="0" applyNumberFormat="1" applyFont="1" applyFill="1" applyBorder="1" applyAlignment="1">
      <alignment horizontal="left"/>
    </xf>
    <xf numFmtId="0" fontId="46" fillId="2" borderId="1" xfId="0" applyFont="1" applyFill="1" applyBorder="1" applyAlignment="1">
      <alignment horizontal="left"/>
    </xf>
    <xf numFmtId="173" fontId="42" fillId="2" borderId="1" xfId="0" applyNumberFormat="1" applyFont="1" applyFill="1" applyBorder="1" applyAlignment="1">
      <alignment horizontal="left"/>
    </xf>
    <xf numFmtId="173" fontId="48" fillId="2" borderId="1" xfId="0" applyNumberFormat="1" applyFont="1" applyFill="1" applyBorder="1" applyAlignment="1">
      <alignment horizontal="left"/>
    </xf>
    <xf numFmtId="0" fontId="49" fillId="2" borderId="1" xfId="0" applyFont="1" applyFill="1" applyBorder="1" applyAlignment="1">
      <alignment horizontal="left"/>
    </xf>
    <xf numFmtId="173" fontId="43" fillId="2" borderId="1" xfId="0" applyNumberFormat="1" applyFont="1" applyFill="1" applyBorder="1" applyAlignment="1">
      <alignment horizontal="left"/>
    </xf>
    <xf numFmtId="168" fontId="43" fillId="2" borderId="1" xfId="0" applyNumberFormat="1" applyFont="1" applyFill="1" applyBorder="1" applyAlignment="1">
      <alignment horizontal="left"/>
    </xf>
    <xf numFmtId="173" fontId="48" fillId="2" borderId="1" xfId="0" applyNumberFormat="1" applyFont="1" applyFill="1" applyBorder="1" applyAlignment="1">
      <alignment horizontal="center"/>
    </xf>
    <xf numFmtId="2" fontId="43" fillId="2" borderId="1" xfId="2" applyNumberFormat="1" applyFont="1" applyFill="1" applyBorder="1" applyAlignment="1">
      <alignment horizontal="left" vertical="center"/>
    </xf>
    <xf numFmtId="0" fontId="42" fillId="2" borderId="1" xfId="0" applyFont="1" applyFill="1" applyBorder="1" applyAlignment="1">
      <alignment horizontal="left"/>
    </xf>
    <xf numFmtId="2" fontId="48" fillId="2" borderId="1" xfId="0" applyNumberFormat="1" applyFont="1" applyFill="1" applyBorder="1" applyAlignment="1">
      <alignment horizontal="left"/>
    </xf>
    <xf numFmtId="0" fontId="43" fillId="2" borderId="1" xfId="0" applyFont="1" applyFill="1" applyBorder="1"/>
    <xf numFmtId="0" fontId="46" fillId="2" borderId="1" xfId="0" applyFont="1" applyFill="1" applyBorder="1" applyAlignment="1">
      <alignment horizontal="left" vertical="center"/>
    </xf>
    <xf numFmtId="2" fontId="48" fillId="2" borderId="1" xfId="2" applyNumberFormat="1" applyFont="1" applyFill="1" applyBorder="1" applyAlignment="1">
      <alignment horizontal="left"/>
    </xf>
    <xf numFmtId="0" fontId="43" fillId="2" borderId="1" xfId="0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0" fontId="43" fillId="2" borderId="1" xfId="0" applyFont="1" applyFill="1" applyBorder="1" applyAlignment="1">
      <alignment horizontal="center"/>
    </xf>
    <xf numFmtId="0" fontId="46" fillId="2" borderId="1" xfId="0" applyFont="1" applyFill="1" applyBorder="1" applyAlignment="1">
      <alignment horizontal="center"/>
    </xf>
    <xf numFmtId="0" fontId="47" fillId="2" borderId="1" xfId="0" applyFont="1" applyFill="1" applyBorder="1" applyAlignment="1">
      <alignment horizontal="center" vertical="center"/>
    </xf>
    <xf numFmtId="0" fontId="51" fillId="2" borderId="1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vertical="center"/>
    </xf>
    <xf numFmtId="167" fontId="5" fillId="2" borderId="1" xfId="0" applyNumberFormat="1" applyFont="1" applyFill="1" applyBorder="1" applyAlignment="1">
      <alignment horizontal="right" vertical="center"/>
    </xf>
    <xf numFmtId="165" fontId="5" fillId="2" borderId="1" xfId="0" applyNumberFormat="1" applyFont="1" applyFill="1" applyBorder="1" applyAlignment="1">
      <alignment horizontal="right" vertical="center"/>
    </xf>
    <xf numFmtId="0" fontId="5" fillId="6" borderId="1" xfId="0" applyFont="1" applyFill="1" applyBorder="1" applyAlignment="1">
      <alignment horizontal="right" vertical="center"/>
    </xf>
    <xf numFmtId="167" fontId="9" fillId="2" borderId="0" xfId="0" applyNumberFormat="1" applyFont="1" applyFill="1" applyBorder="1" applyAlignment="1">
      <alignment horizontal="center" vertical="center"/>
    </xf>
    <xf numFmtId="0" fontId="52" fillId="2" borderId="1" xfId="0" applyFon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/>
    </xf>
    <xf numFmtId="173" fontId="5" fillId="2" borderId="1" xfId="0" applyNumberFormat="1" applyFont="1" applyFill="1" applyBorder="1" applyAlignment="1">
      <alignment horizontal="right" vertical="center"/>
    </xf>
    <xf numFmtId="0" fontId="23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justify" vertical="center" wrapText="1"/>
    </xf>
    <xf numFmtId="0" fontId="0" fillId="2" borderId="0" xfId="0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49" fontId="9" fillId="2" borderId="1" xfId="0" applyNumberFormat="1" applyFont="1" applyFill="1" applyBorder="1" applyAlignment="1">
      <alignment horizontal="center" vertical="center"/>
    </xf>
    <xf numFmtId="176" fontId="9" fillId="2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7" xfId="0" applyFill="1" applyBorder="1" applyAlignment="1">
      <alignment vertical="center"/>
    </xf>
    <xf numFmtId="2" fontId="0" fillId="8" borderId="1" xfId="0" applyNumberFormat="1" applyFont="1" applyFill="1" applyBorder="1" applyAlignment="1">
      <alignment horizontal="right" vertical="center"/>
    </xf>
    <xf numFmtId="0" fontId="0" fillId="2" borderId="0" xfId="0" applyFill="1" applyBorder="1" applyAlignment="1">
      <alignment vertical="top"/>
    </xf>
    <xf numFmtId="0" fontId="1" fillId="3" borderId="6" xfId="0" applyFont="1" applyFill="1" applyBorder="1" applyAlignment="1">
      <alignment vertical="center"/>
    </xf>
    <xf numFmtId="0" fontId="1" fillId="3" borderId="4" xfId="0" applyFont="1" applyFill="1" applyBorder="1" applyAlignment="1">
      <alignment vertical="center"/>
    </xf>
    <xf numFmtId="0" fontId="0" fillId="3" borderId="10" xfId="0" applyFill="1" applyBorder="1" applyAlignment="1">
      <alignment vertical="center"/>
    </xf>
    <xf numFmtId="0" fontId="0" fillId="3" borderId="15" xfId="0" applyFill="1" applyBorder="1" applyAlignment="1">
      <alignment vertical="center"/>
    </xf>
    <xf numFmtId="0" fontId="0" fillId="3" borderId="12" xfId="0" applyFill="1" applyBorder="1" applyAlignment="1">
      <alignment vertical="center"/>
    </xf>
    <xf numFmtId="0" fontId="0" fillId="3" borderId="10" xfId="0" applyFill="1" applyBorder="1" applyAlignment="1">
      <alignment vertical="top" wrapText="1"/>
    </xf>
    <xf numFmtId="0" fontId="0" fillId="3" borderId="15" xfId="0" applyFill="1" applyBorder="1" applyAlignment="1">
      <alignment vertical="top" wrapText="1"/>
    </xf>
    <xf numFmtId="0" fontId="0" fillId="3" borderId="12" xfId="0" applyFill="1" applyBorder="1" applyAlignment="1">
      <alignment vertical="top" wrapText="1"/>
    </xf>
    <xf numFmtId="0" fontId="0" fillId="3" borderId="10" xfId="0" applyFill="1" applyBorder="1" applyAlignment="1">
      <alignment vertical="center" wrapText="1"/>
    </xf>
    <xf numFmtId="0" fontId="0" fillId="3" borderId="15" xfId="0" applyFill="1" applyBorder="1" applyAlignment="1">
      <alignment vertical="center" wrapText="1"/>
    </xf>
    <xf numFmtId="0" fontId="0" fillId="3" borderId="12" xfId="0" applyFill="1" applyBorder="1" applyAlignment="1">
      <alignment vertical="center" wrapText="1"/>
    </xf>
    <xf numFmtId="49" fontId="0" fillId="3" borderId="9" xfId="0" applyNumberFormat="1" applyFill="1" applyBorder="1" applyAlignment="1">
      <alignment vertical="center"/>
    </xf>
    <xf numFmtId="49" fontId="0" fillId="3" borderId="14" xfId="0" applyNumberFormat="1" applyFill="1" applyBorder="1" applyAlignment="1">
      <alignment vertical="center"/>
    </xf>
    <xf numFmtId="49" fontId="0" fillId="3" borderId="11" xfId="0" applyNumberFormat="1" applyFill="1" applyBorder="1" applyAlignment="1">
      <alignment vertical="center"/>
    </xf>
    <xf numFmtId="49" fontId="0" fillId="3" borderId="9" xfId="0" applyNumberFormat="1" applyFill="1" applyBorder="1" applyAlignment="1">
      <alignment vertical="top" wrapText="1"/>
    </xf>
    <xf numFmtId="49" fontId="0" fillId="3" borderId="14" xfId="0" applyNumberFormat="1" applyFill="1" applyBorder="1" applyAlignment="1">
      <alignment vertical="top" wrapText="1"/>
    </xf>
    <xf numFmtId="49" fontId="0" fillId="3" borderId="11" xfId="0" applyNumberFormat="1" applyFill="1" applyBorder="1" applyAlignment="1">
      <alignment vertical="top" wrapText="1"/>
    </xf>
    <xf numFmtId="49" fontId="0" fillId="3" borderId="14" xfId="0" applyNumberFormat="1" applyFill="1" applyBorder="1" applyAlignment="1">
      <alignment vertical="center" wrapText="1"/>
    </xf>
    <xf numFmtId="49" fontId="0" fillId="3" borderId="11" xfId="0" applyNumberFormat="1" applyFill="1" applyBorder="1" applyAlignment="1">
      <alignment vertical="center" wrapText="1"/>
    </xf>
    <xf numFmtId="0" fontId="0" fillId="3" borderId="14" xfId="0" applyFill="1" applyBorder="1" applyAlignment="1">
      <alignment vertical="top" wrapText="1"/>
    </xf>
    <xf numFmtId="0" fontId="0" fillId="3" borderId="11" xfId="0" applyFill="1" applyBorder="1" applyAlignment="1">
      <alignment vertical="top" wrapText="1"/>
    </xf>
    <xf numFmtId="0" fontId="0" fillId="3" borderId="9" xfId="0" applyFill="1" applyBorder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4" xfId="0" applyFill="1" applyBorder="1" applyAlignment="1">
      <alignment vertical="top"/>
    </xf>
    <xf numFmtId="0" fontId="0" fillId="3" borderId="15" xfId="0" applyFill="1" applyBorder="1" applyAlignment="1">
      <alignment vertical="top"/>
    </xf>
    <xf numFmtId="0" fontId="0" fillId="3" borderId="11" xfId="0" applyFill="1" applyBorder="1" applyAlignment="1">
      <alignment vertical="top"/>
    </xf>
    <xf numFmtId="0" fontId="0" fillId="3" borderId="12" xfId="0" applyFill="1" applyBorder="1" applyAlignment="1">
      <alignment vertical="top"/>
    </xf>
    <xf numFmtId="0" fontId="0" fillId="3" borderId="1" xfId="0" applyFill="1" applyBorder="1" applyAlignment="1">
      <alignment vertical="center" wrapText="1"/>
    </xf>
    <xf numFmtId="1" fontId="0" fillId="3" borderId="1" xfId="0" applyNumberFormat="1" applyFill="1" applyBorder="1" applyAlignment="1">
      <alignment horizontal="left" vertical="center" wrapText="1"/>
    </xf>
    <xf numFmtId="171" fontId="0" fillId="3" borderId="1" xfId="0" applyNumberFormat="1" applyFill="1" applyBorder="1" applyAlignment="1">
      <alignment horizontal="left" vertical="center" wrapText="1"/>
    </xf>
    <xf numFmtId="173" fontId="0" fillId="3" borderId="1" xfId="0" applyNumberFormat="1" applyFill="1" applyBorder="1" applyAlignment="1">
      <alignment horizontal="left" vertical="center" wrapText="1"/>
    </xf>
    <xf numFmtId="0" fontId="0" fillId="2" borderId="0" xfId="0" applyFill="1" applyBorder="1" applyAlignment="1">
      <alignment horizontal="center"/>
    </xf>
    <xf numFmtId="0" fontId="5" fillId="2" borderId="6" xfId="0" applyFont="1" applyFill="1" applyBorder="1" applyAlignment="1">
      <alignment horizontal="center" vertical="center"/>
    </xf>
    <xf numFmtId="165" fontId="9" fillId="2" borderId="1" xfId="0" applyNumberFormat="1" applyFont="1" applyFill="1" applyBorder="1" applyAlignme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49" fontId="9" fillId="2" borderId="1" xfId="0" applyNumberFormat="1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2" fontId="9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173" fontId="5" fillId="8" borderId="1" xfId="0" applyNumberFormat="1" applyFont="1" applyFill="1" applyBorder="1" applyAlignment="1">
      <alignment horizontal="right" vertical="center"/>
    </xf>
    <xf numFmtId="9" fontId="5" fillId="2" borderId="3" xfId="0" applyNumberFormat="1" applyFont="1" applyFill="1" applyBorder="1" applyAlignment="1">
      <alignment horizontal="center" vertical="center"/>
    </xf>
    <xf numFmtId="9" fontId="5" fillId="2" borderId="2" xfId="0" applyNumberFormat="1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173" fontId="5" fillId="2" borderId="2" xfId="0" applyNumberFormat="1" applyFont="1" applyFill="1" applyBorder="1" applyAlignment="1">
      <alignment horizontal="right" vertical="center"/>
    </xf>
    <xf numFmtId="2" fontId="5" fillId="2" borderId="3" xfId="0" applyNumberFormat="1" applyFont="1" applyFill="1" applyBorder="1" applyAlignment="1">
      <alignment horizontal="right" vertical="center"/>
    </xf>
    <xf numFmtId="0" fontId="55" fillId="2" borderId="0" xfId="0" applyFont="1" applyFill="1" applyAlignment="1">
      <alignment vertical="center"/>
    </xf>
    <xf numFmtId="0" fontId="55" fillId="2" borderId="0" xfId="0" applyFont="1" applyFill="1" applyBorder="1" applyAlignment="1">
      <alignment vertical="center"/>
    </xf>
    <xf numFmtId="0" fontId="5" fillId="2" borderId="14" xfId="0" applyFont="1" applyFill="1" applyBorder="1" applyAlignment="1">
      <alignment vertical="center"/>
    </xf>
    <xf numFmtId="49" fontId="9" fillId="2" borderId="0" xfId="0" applyNumberFormat="1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horizontal="left" vertical="center"/>
    </xf>
    <xf numFmtId="9" fontId="56" fillId="2" borderId="0" xfId="0" applyNumberFormat="1" applyFont="1" applyFill="1" applyBorder="1" applyAlignment="1">
      <alignment horizontal="center" vertical="center"/>
    </xf>
    <xf numFmtId="173" fontId="56" fillId="2" borderId="0" xfId="0" applyNumberFormat="1" applyFont="1" applyFill="1" applyBorder="1" applyAlignment="1">
      <alignment horizontal="right" vertical="center"/>
    </xf>
    <xf numFmtId="2" fontId="56" fillId="2" borderId="0" xfId="0" applyNumberFormat="1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right" vertical="center"/>
    </xf>
    <xf numFmtId="9" fontId="9" fillId="2" borderId="0" xfId="0" applyNumberFormat="1" applyFont="1" applyFill="1" applyBorder="1" applyAlignment="1">
      <alignment horizontal="center" vertical="center"/>
    </xf>
    <xf numFmtId="173" fontId="9" fillId="2" borderId="0" xfId="0" applyNumberFormat="1" applyFont="1" applyFill="1" applyBorder="1" applyAlignment="1">
      <alignment horizontal="right" vertical="center"/>
    </xf>
    <xf numFmtId="173" fontId="9" fillId="8" borderId="1" xfId="0" applyNumberFormat="1" applyFont="1" applyFill="1" applyBorder="1" applyAlignment="1">
      <alignment horizontal="right" vertical="center"/>
    </xf>
    <xf numFmtId="168" fontId="0" fillId="2" borderId="0" xfId="0" applyNumberFormat="1" applyFill="1" applyBorder="1" applyAlignment="1">
      <alignment horizontal="center"/>
    </xf>
    <xf numFmtId="173" fontId="0" fillId="2" borderId="0" xfId="0" applyNumberFormat="1" applyFill="1" applyAlignment="1">
      <alignment vertical="center"/>
    </xf>
    <xf numFmtId="2" fontId="5" fillId="8" borderId="1" xfId="0" applyNumberFormat="1" applyFont="1" applyFill="1" applyBorder="1" applyAlignment="1">
      <alignment horizontal="right" vertical="center"/>
    </xf>
    <xf numFmtId="1" fontId="5" fillId="8" borderId="1" xfId="0" applyNumberFormat="1" applyFont="1" applyFill="1" applyBorder="1" applyAlignment="1">
      <alignment horizontal="right" vertical="center"/>
    </xf>
    <xf numFmtId="0" fontId="5" fillId="8" borderId="1" xfId="0" applyFont="1" applyFill="1" applyBorder="1" applyAlignment="1">
      <alignment horizontal="right" vertical="center"/>
    </xf>
    <xf numFmtId="173" fontId="9" fillId="2" borderId="1" xfId="0" applyNumberFormat="1" applyFont="1" applyFill="1" applyBorder="1" applyAlignment="1">
      <alignment vertical="center"/>
    </xf>
    <xf numFmtId="167" fontId="0" fillId="3" borderId="1" xfId="0" applyNumberFormat="1" applyFill="1" applyBorder="1" applyAlignment="1">
      <alignment horizontal="right" vertical="center"/>
    </xf>
    <xf numFmtId="12" fontId="9" fillId="6" borderId="1" xfId="0" applyNumberFormat="1" applyFont="1" applyFill="1" applyBorder="1" applyAlignment="1">
      <alignment horizontal="right" vertical="center"/>
    </xf>
    <xf numFmtId="2" fontId="0" fillId="2" borderId="0" xfId="0" applyNumberFormat="1" applyFill="1" applyAlignment="1">
      <alignment vertical="center"/>
    </xf>
    <xf numFmtId="173" fontId="53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right" vertical="center"/>
    </xf>
    <xf numFmtId="9" fontId="5" fillId="2" borderId="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right" vertical="center"/>
    </xf>
    <xf numFmtId="0" fontId="0" fillId="7" borderId="1" xfId="0" applyFill="1" applyBorder="1" applyAlignment="1">
      <alignment horizontal="center" vertical="center"/>
    </xf>
    <xf numFmtId="12" fontId="0" fillId="3" borderId="1" xfId="0" applyNumberFormat="1" applyFill="1" applyBorder="1" applyAlignment="1">
      <alignment vertical="center"/>
    </xf>
    <xf numFmtId="1" fontId="0" fillId="3" borderId="1" xfId="0" applyNumberFormat="1" applyFill="1" applyBorder="1" applyAlignment="1">
      <alignment vertical="center"/>
    </xf>
    <xf numFmtId="167" fontId="0" fillId="3" borderId="1" xfId="0" applyNumberFormat="1" applyFill="1" applyBorder="1" applyAlignment="1">
      <alignment vertical="center"/>
    </xf>
    <xf numFmtId="171" fontId="0" fillId="3" borderId="1" xfId="0" applyNumberFormat="1" applyFill="1" applyBorder="1" applyAlignment="1">
      <alignment vertical="center"/>
    </xf>
    <xf numFmtId="173" fontId="9" fillId="8" borderId="2" xfId="0" applyNumberFormat="1" applyFont="1" applyFill="1" applyBorder="1" applyAlignment="1">
      <alignment horizontal="right" vertical="center"/>
    </xf>
    <xf numFmtId="173" fontId="9" fillId="2" borderId="2" xfId="0" applyNumberFormat="1" applyFont="1" applyFill="1" applyBorder="1" applyAlignment="1">
      <alignment vertical="center"/>
    </xf>
    <xf numFmtId="0" fontId="9" fillId="2" borderId="9" xfId="0" applyFont="1" applyFill="1" applyBorder="1" applyAlignment="1">
      <alignment horizontal="center" vertical="center"/>
    </xf>
    <xf numFmtId="167" fontId="0" fillId="2" borderId="0" xfId="0" applyNumberFormat="1" applyFill="1" applyBorder="1" applyAlignment="1">
      <alignment horizontal="right" vertical="center"/>
    </xf>
    <xf numFmtId="12" fontId="9" fillId="6" borderId="2" xfId="0" applyNumberFormat="1" applyFont="1" applyFill="1" applyBorder="1" applyAlignment="1">
      <alignment horizontal="right" vertical="center"/>
    </xf>
    <xf numFmtId="0" fontId="43" fillId="2" borderId="0" xfId="0" applyFont="1" applyFill="1"/>
    <xf numFmtId="0" fontId="43" fillId="2" borderId="3" xfId="0" applyFont="1" applyFill="1" applyBorder="1" applyAlignment="1">
      <alignment horizontal="left" vertical="center" wrapText="1"/>
    </xf>
    <xf numFmtId="0" fontId="43" fillId="2" borderId="0" xfId="0" applyFont="1" applyFill="1" applyAlignment="1">
      <alignment horizontal="center" vertical="center"/>
    </xf>
    <xf numFmtId="0" fontId="43" fillId="2" borderId="1" xfId="0" applyFont="1" applyFill="1" applyBorder="1" applyAlignment="1">
      <alignment horizontal="left" vertical="center" wrapText="1"/>
    </xf>
    <xf numFmtId="0" fontId="43" fillId="2" borderId="0" xfId="0" applyFont="1" applyFill="1" applyAlignment="1">
      <alignment wrapText="1"/>
    </xf>
    <xf numFmtId="2" fontId="43" fillId="2" borderId="0" xfId="0" applyNumberFormat="1" applyFont="1" applyFill="1" applyAlignment="1">
      <alignment horizontal="center" vertical="center"/>
    </xf>
    <xf numFmtId="2" fontId="43" fillId="2" borderId="0" xfId="0" applyNumberFormat="1" applyFont="1" applyFill="1"/>
    <xf numFmtId="0" fontId="42" fillId="2" borderId="0" xfId="0" applyFont="1" applyFill="1"/>
    <xf numFmtId="2" fontId="42" fillId="9" borderId="1" xfId="0" applyNumberFormat="1" applyFont="1" applyFill="1" applyBorder="1" applyAlignment="1">
      <alignment horizontal="left" vertical="center"/>
    </xf>
    <xf numFmtId="2" fontId="43" fillId="10" borderId="1" xfId="0" applyNumberFormat="1" applyFont="1" applyFill="1" applyBorder="1" applyAlignment="1">
      <alignment horizontal="left" vertical="center"/>
    </xf>
    <xf numFmtId="2" fontId="43" fillId="11" borderId="1" xfId="0" applyNumberFormat="1" applyFont="1" applyFill="1" applyBorder="1" applyAlignment="1">
      <alignment horizontal="left" vertical="center"/>
    </xf>
    <xf numFmtId="165" fontId="43" fillId="2" borderId="1" xfId="0" applyNumberFormat="1" applyFont="1" applyFill="1" applyBorder="1" applyAlignment="1">
      <alignment horizontal="left" vertical="center"/>
    </xf>
    <xf numFmtId="2" fontId="46" fillId="12" borderId="1" xfId="0" applyNumberFormat="1" applyFont="1" applyFill="1" applyBorder="1" applyAlignment="1">
      <alignment horizontal="left"/>
    </xf>
    <xf numFmtId="0" fontId="47" fillId="2" borderId="1" xfId="0" applyFont="1" applyFill="1" applyBorder="1"/>
    <xf numFmtId="0" fontId="51" fillId="2" borderId="1" xfId="0" applyFont="1" applyFill="1" applyBorder="1"/>
    <xf numFmtId="0" fontId="43" fillId="2" borderId="0" xfId="0" applyFont="1" applyFill="1" applyAlignment="1">
      <alignment horizontal="center"/>
    </xf>
    <xf numFmtId="173" fontId="47" fillId="2" borderId="0" xfId="0" applyNumberFormat="1" applyFont="1" applyFill="1" applyAlignment="1">
      <alignment horizontal="left"/>
    </xf>
    <xf numFmtId="0" fontId="44" fillId="2" borderId="0" xfId="0" applyFont="1" applyFill="1"/>
    <xf numFmtId="173" fontId="47" fillId="2" borderId="0" xfId="0" applyNumberFormat="1" applyFont="1" applyFill="1" applyAlignment="1">
      <alignment horizontal="center"/>
    </xf>
    <xf numFmtId="0" fontId="42" fillId="2" borderId="0" xfId="0" applyFont="1" applyFill="1" applyAlignment="1">
      <alignment horizontal="left"/>
    </xf>
    <xf numFmtId="0" fontId="51" fillId="2" borderId="0" xfId="0" applyFont="1" applyFill="1" applyAlignment="1">
      <alignment horizontal="left"/>
    </xf>
    <xf numFmtId="0" fontId="46" fillId="2" borderId="0" xfId="0" applyFont="1" applyFill="1" applyAlignment="1">
      <alignment horizontal="left"/>
    </xf>
    <xf numFmtId="0" fontId="46" fillId="2" borderId="0" xfId="0" applyFont="1" applyFill="1" applyAlignment="1">
      <alignment horizontal="center" vertical="center"/>
    </xf>
    <xf numFmtId="0" fontId="49" fillId="2" borderId="0" xfId="0" applyFont="1" applyFill="1" applyAlignment="1">
      <alignment horizontal="center"/>
    </xf>
    <xf numFmtId="0" fontId="46" fillId="2" borderId="0" xfId="0" applyFont="1" applyFill="1" applyAlignment="1">
      <alignment horizontal="center"/>
    </xf>
    <xf numFmtId="173" fontId="48" fillId="2" borderId="0" xfId="0" applyNumberFormat="1" applyFont="1" applyFill="1" applyAlignment="1">
      <alignment horizontal="right"/>
    </xf>
    <xf numFmtId="0" fontId="43" fillId="2" borderId="0" xfId="0" applyFont="1" applyFill="1" applyAlignment="1">
      <alignment horizontal="center"/>
    </xf>
    <xf numFmtId="0" fontId="43" fillId="2" borderId="0" xfId="0" applyFont="1" applyFill="1" applyAlignment="1">
      <alignment horizontal="left" vertical="top" wrapText="1"/>
    </xf>
    <xf numFmtId="0" fontId="42" fillId="2" borderId="0" xfId="0" applyFont="1" applyFill="1" applyAlignment="1">
      <alignment horizontal="center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42" fillId="2" borderId="0" xfId="0" applyFont="1" applyFill="1" applyAlignment="1">
      <alignment horizontal="left"/>
    </xf>
    <xf numFmtId="0" fontId="43" fillId="2" borderId="0" xfId="0" applyFont="1" applyFill="1" applyAlignment="1">
      <alignment horizontal="left" vertical="center"/>
    </xf>
    <xf numFmtId="0" fontId="8" fillId="2" borderId="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left" vertical="center"/>
    </xf>
    <xf numFmtId="0" fontId="8" fillId="2" borderId="7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 wrapText="1"/>
    </xf>
    <xf numFmtId="167" fontId="9" fillId="2" borderId="2" xfId="0" applyNumberFormat="1" applyFont="1" applyFill="1" applyBorder="1" applyAlignment="1">
      <alignment horizontal="center" vertical="center"/>
    </xf>
    <xf numFmtId="167" fontId="9" fillId="2" borderId="3" xfId="0" applyNumberFormat="1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left" vertical="center" wrapText="1"/>
    </xf>
    <xf numFmtId="0" fontId="8" fillId="2" borderId="13" xfId="0" applyFont="1" applyFill="1" applyBorder="1" applyAlignment="1">
      <alignment horizontal="left" vertical="center" wrapText="1"/>
    </xf>
    <xf numFmtId="0" fontId="8" fillId="2" borderId="10" xfId="0" applyFont="1" applyFill="1" applyBorder="1" applyAlignment="1">
      <alignment horizontal="left" vertical="center" wrapText="1"/>
    </xf>
    <xf numFmtId="0" fontId="8" fillId="2" borderId="11" xfId="0" applyFont="1" applyFill="1" applyBorder="1" applyAlignment="1">
      <alignment horizontal="left" vertical="center" wrapText="1"/>
    </xf>
    <xf numFmtId="0" fontId="8" fillId="2" borderId="5" xfId="0" applyFont="1" applyFill="1" applyBorder="1" applyAlignment="1">
      <alignment horizontal="left" vertical="center" wrapText="1"/>
    </xf>
    <xf numFmtId="0" fontId="8" fillId="2" borderId="12" xfId="0" applyFont="1" applyFill="1" applyBorder="1" applyAlignment="1">
      <alignment horizontal="left" vertical="center" wrapText="1"/>
    </xf>
    <xf numFmtId="0" fontId="1" fillId="2" borderId="5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2" borderId="0" xfId="0" applyFill="1" applyAlignment="1">
      <alignment horizontal="justify" vertical="center" wrapText="1"/>
    </xf>
    <xf numFmtId="0" fontId="8" fillId="2" borderId="9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8" fillId="7" borderId="9" xfId="0" applyFont="1" applyFill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8" fillId="2" borderId="12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right" vertical="center"/>
    </xf>
    <xf numFmtId="173" fontId="9" fillId="2" borderId="3" xfId="0" applyNumberFormat="1" applyFont="1" applyFill="1" applyBorder="1" applyAlignment="1">
      <alignment horizontal="right" vertical="center"/>
    </xf>
    <xf numFmtId="2" fontId="9" fillId="2" borderId="2" xfId="0" applyNumberFormat="1" applyFont="1" applyFill="1" applyBorder="1" applyAlignment="1">
      <alignment horizontal="center" vertical="center"/>
    </xf>
    <xf numFmtId="2" fontId="9" fillId="2" borderId="3" xfId="0" applyNumberFormat="1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left" vertical="center"/>
    </xf>
    <xf numFmtId="0" fontId="0" fillId="2" borderId="6" xfId="0" applyFont="1" applyFill="1" applyBorder="1" applyAlignment="1">
      <alignment horizontal="left" vertical="center"/>
    </xf>
    <xf numFmtId="0" fontId="0" fillId="2" borderId="7" xfId="0" applyFont="1" applyFill="1" applyBorder="1" applyAlignment="1">
      <alignment horizontal="left" vertical="center"/>
    </xf>
    <xf numFmtId="0" fontId="0" fillId="2" borderId="4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" fontId="9" fillId="2" borderId="2" xfId="0" applyNumberFormat="1" applyFont="1" applyFill="1" applyBorder="1" applyAlignment="1">
      <alignment horizontal="right" vertical="center"/>
    </xf>
    <xf numFmtId="1" fontId="9" fillId="2" borderId="3" xfId="0" applyNumberFormat="1" applyFont="1" applyFill="1" applyBorder="1" applyAlignment="1">
      <alignment horizontal="right" vertical="center"/>
    </xf>
    <xf numFmtId="170" fontId="0" fillId="2" borderId="0" xfId="0" applyNumberForma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7" fillId="2" borderId="5" xfId="0" applyFont="1" applyFill="1" applyBorder="1" applyAlignment="1">
      <alignment horizontal="left" vertical="center"/>
    </xf>
    <xf numFmtId="0" fontId="5" fillId="6" borderId="6" xfId="0" applyFont="1" applyFill="1" applyBorder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4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horizontal="left" vertical="center"/>
    </xf>
    <xf numFmtId="0" fontId="0" fillId="2" borderId="13" xfId="0" applyFont="1" applyFill="1" applyBorder="1" applyAlignment="1">
      <alignment horizontal="left" vertical="center"/>
    </xf>
    <xf numFmtId="0" fontId="0" fillId="2" borderId="10" xfId="0" applyFont="1" applyFill="1" applyBorder="1" applyAlignment="1">
      <alignment horizontal="left" vertical="center"/>
    </xf>
    <xf numFmtId="0" fontId="0" fillId="2" borderId="11" xfId="0" applyFont="1" applyFill="1" applyBorder="1" applyAlignment="1">
      <alignment horizontal="left" vertical="center"/>
    </xf>
    <xf numFmtId="0" fontId="0" fillId="2" borderId="5" xfId="0" applyFont="1" applyFill="1" applyBorder="1" applyAlignment="1">
      <alignment horizontal="left" vertical="center"/>
    </xf>
    <xf numFmtId="0" fontId="0" fillId="2" borderId="12" xfId="0" applyFont="1" applyFill="1" applyBorder="1" applyAlignment="1">
      <alignment horizontal="left" vertical="center"/>
    </xf>
    <xf numFmtId="9" fontId="5" fillId="2" borderId="2" xfId="0" applyNumberFormat="1" applyFont="1" applyFill="1" applyBorder="1" applyAlignment="1">
      <alignment horizontal="center" vertical="center"/>
    </xf>
    <xf numFmtId="9" fontId="5" fillId="2" borderId="3" xfId="0" applyNumberFormat="1" applyFont="1" applyFill="1" applyBorder="1" applyAlignment="1">
      <alignment horizontal="center" vertical="center"/>
    </xf>
    <xf numFmtId="173" fontId="5" fillId="2" borderId="2" xfId="0" applyNumberFormat="1" applyFont="1" applyFill="1" applyBorder="1" applyAlignment="1">
      <alignment horizontal="right" vertical="center"/>
    </xf>
    <xf numFmtId="173" fontId="5" fillId="2" borderId="3" xfId="0" applyNumberFormat="1" applyFont="1" applyFill="1" applyBorder="1" applyAlignment="1">
      <alignment horizontal="right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173" fontId="9" fillId="2" borderId="3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173" fontId="9" fillId="2" borderId="1" xfId="0" applyNumberFormat="1" applyFont="1" applyFill="1" applyBorder="1" applyAlignment="1">
      <alignment horizontal="right" vertical="center"/>
    </xf>
    <xf numFmtId="49" fontId="9" fillId="2" borderId="1" xfId="0" applyNumberFormat="1" applyFont="1" applyFill="1" applyBorder="1" applyAlignment="1">
      <alignment horizontal="center" vertical="center"/>
    </xf>
    <xf numFmtId="2" fontId="5" fillId="2" borderId="2" xfId="0" applyNumberFormat="1" applyFont="1" applyFill="1" applyBorder="1" applyAlignment="1">
      <alignment horizontal="right" vertical="center"/>
    </xf>
    <xf numFmtId="2" fontId="5" fillId="2" borderId="3" xfId="0" applyNumberFormat="1" applyFont="1" applyFill="1" applyBorder="1" applyAlignment="1">
      <alignment horizontal="right" vertical="center"/>
    </xf>
    <xf numFmtId="172" fontId="5" fillId="2" borderId="2" xfId="0" applyNumberFormat="1" applyFont="1" applyFill="1" applyBorder="1" applyAlignment="1">
      <alignment horizontal="right" vertical="center"/>
    </xf>
    <xf numFmtId="172" fontId="5" fillId="2" borderId="3" xfId="0" applyNumberFormat="1" applyFont="1" applyFill="1" applyBorder="1" applyAlignment="1">
      <alignment horizontal="right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8" fillId="2" borderId="14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/>
    </xf>
    <xf numFmtId="0" fontId="8" fillId="2" borderId="15" xfId="0" applyFont="1" applyFill="1" applyBorder="1" applyAlignment="1">
      <alignment horizontal="left" vertical="center"/>
    </xf>
    <xf numFmtId="0" fontId="0" fillId="7" borderId="14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1" fontId="9" fillId="2" borderId="8" xfId="0" applyNumberFormat="1" applyFont="1" applyFill="1" applyBorder="1" applyAlignment="1">
      <alignment horizontal="right" vertical="center"/>
    </xf>
    <xf numFmtId="1" fontId="5" fillId="2" borderId="2" xfId="0" applyNumberFormat="1" applyFont="1" applyFill="1" applyBorder="1" applyAlignment="1">
      <alignment horizontal="right" vertical="center"/>
    </xf>
    <xf numFmtId="1" fontId="5" fillId="2" borderId="3" xfId="0" applyNumberFormat="1" applyFont="1" applyFill="1" applyBorder="1" applyAlignment="1">
      <alignment horizontal="right" vertical="center"/>
    </xf>
    <xf numFmtId="0" fontId="0" fillId="7" borderId="1" xfId="0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13" xfId="0" applyFont="1" applyFill="1" applyBorder="1" applyAlignment="1">
      <alignment vertical="center"/>
    </xf>
    <xf numFmtId="0" fontId="8" fillId="2" borderId="10" xfId="0" applyFont="1" applyFill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8" fillId="2" borderId="12" xfId="0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0" fillId="7" borderId="1" xfId="0" applyFill="1" applyBorder="1" applyAlignment="1">
      <alignment horizontal="center" vertical="center" wrapText="1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9" fontId="5" fillId="2" borderId="1" xfId="0" applyNumberFormat="1" applyFont="1" applyFill="1" applyBorder="1" applyAlignment="1">
      <alignment horizontal="center" vertical="center"/>
    </xf>
    <xf numFmtId="173" fontId="5" fillId="2" borderId="1" xfId="0" applyNumberFormat="1" applyFont="1" applyFill="1" applyBorder="1" applyAlignment="1">
      <alignment horizontal="right" vertical="center"/>
    </xf>
    <xf numFmtId="2" fontId="5" fillId="2" borderId="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8" fillId="2" borderId="9" xfId="0" applyFont="1" applyFill="1" applyBorder="1" applyAlignment="1">
      <alignment horizontal="justify" vertical="center"/>
    </xf>
    <xf numFmtId="0" fontId="8" fillId="2" borderId="13" xfId="0" applyFont="1" applyFill="1" applyBorder="1" applyAlignment="1">
      <alignment horizontal="justify" vertical="center"/>
    </xf>
    <xf numFmtId="0" fontId="8" fillId="2" borderId="10" xfId="0" applyFont="1" applyFill="1" applyBorder="1" applyAlignment="1">
      <alignment horizontal="justify" vertical="center"/>
    </xf>
    <xf numFmtId="0" fontId="8" fillId="2" borderId="11" xfId="0" applyFont="1" applyFill="1" applyBorder="1" applyAlignment="1">
      <alignment horizontal="justify" vertical="center"/>
    </xf>
    <xf numFmtId="0" fontId="8" fillId="2" borderId="5" xfId="0" applyFont="1" applyFill="1" applyBorder="1" applyAlignment="1">
      <alignment horizontal="justify" vertical="center"/>
    </xf>
    <xf numFmtId="0" fontId="8" fillId="2" borderId="12" xfId="0" applyFont="1" applyFill="1" applyBorder="1" applyAlignment="1">
      <alignment horizontal="justify" vertical="center"/>
    </xf>
    <xf numFmtId="2" fontId="9" fillId="2" borderId="2" xfId="0" applyNumberFormat="1" applyFont="1" applyFill="1" applyBorder="1" applyAlignment="1">
      <alignment horizontal="right" vertical="center"/>
    </xf>
    <xf numFmtId="2" fontId="9" fillId="2" borderId="3" xfId="0" applyNumberFormat="1" applyFont="1" applyFill="1" applyBorder="1" applyAlignment="1">
      <alignment horizontal="right" vertical="center"/>
    </xf>
    <xf numFmtId="1" fontId="17" fillId="2" borderId="4" xfId="0" applyNumberFormat="1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1" fontId="17" fillId="2" borderId="1" xfId="0" applyNumberFormat="1" applyFont="1" applyFill="1" applyBorder="1" applyAlignment="1">
      <alignment horizontal="center" vertical="center" wrapText="1"/>
    </xf>
    <xf numFmtId="0" fontId="17" fillId="2" borderId="9" xfId="0" applyFont="1" applyFill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17" fillId="2" borderId="14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1" fontId="17" fillId="2" borderId="2" xfId="0" applyNumberFormat="1" applyFont="1" applyFill="1" applyBorder="1" applyAlignment="1">
      <alignment horizontal="center" vertical="center" wrapText="1"/>
    </xf>
    <xf numFmtId="1" fontId="17" fillId="2" borderId="8" xfId="0" applyNumberFormat="1" applyFont="1" applyFill="1" applyBorder="1" applyAlignment="1">
      <alignment horizontal="center" vertical="center" wrapText="1"/>
    </xf>
    <xf numFmtId="0" fontId="0" fillId="7" borderId="9" xfId="0" applyFont="1" applyFill="1" applyBorder="1" applyAlignment="1">
      <alignment horizontal="center" vertical="center"/>
    </xf>
    <xf numFmtId="0" fontId="0" fillId="7" borderId="13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1" fontId="9" fillId="2" borderId="6" xfId="0" applyNumberFormat="1" applyFont="1" applyFill="1" applyBorder="1" applyAlignment="1">
      <alignment horizontal="left" vertical="center"/>
    </xf>
    <xf numFmtId="1" fontId="9" fillId="2" borderId="7" xfId="0" applyNumberFormat="1" applyFont="1" applyFill="1" applyBorder="1" applyAlignment="1">
      <alignment horizontal="left" vertical="center"/>
    </xf>
    <xf numFmtId="1" fontId="9" fillId="2" borderId="4" xfId="0" applyNumberFormat="1" applyFont="1" applyFill="1" applyBorder="1" applyAlignment="1">
      <alignment horizontal="left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0" fillId="7" borderId="7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172" fontId="9" fillId="2" borderId="2" xfId="0" applyNumberFormat="1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center" vertical="center"/>
    </xf>
    <xf numFmtId="172" fontId="5" fillId="2" borderId="6" xfId="0" applyNumberFormat="1" applyFont="1" applyFill="1" applyBorder="1" applyAlignment="1">
      <alignment horizontal="center" vertical="center"/>
    </xf>
    <xf numFmtId="172" fontId="5" fillId="2" borderId="4" xfId="0" applyNumberFormat="1" applyFont="1" applyFill="1" applyBorder="1" applyAlignment="1">
      <alignment horizontal="center" vertical="center"/>
    </xf>
    <xf numFmtId="1" fontId="10" fillId="2" borderId="2" xfId="0" applyNumberFormat="1" applyFont="1" applyFill="1" applyBorder="1" applyAlignment="1">
      <alignment horizontal="center" vertical="center"/>
    </xf>
    <xf numFmtId="1" fontId="10" fillId="2" borderId="3" xfId="0" applyNumberFormat="1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4" xfId="0" applyFont="1" applyFill="1" applyBorder="1" applyAlignment="1">
      <alignment horizontal="center"/>
    </xf>
    <xf numFmtId="0" fontId="8" fillId="2" borderId="15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173" fontId="9" fillId="2" borderId="6" xfId="0" applyNumberFormat="1" applyFont="1" applyFill="1" applyBorder="1" applyAlignment="1">
      <alignment horizontal="center" vertical="center"/>
    </xf>
    <xf numFmtId="173" fontId="9" fillId="2" borderId="4" xfId="0" applyNumberFormat="1" applyFont="1" applyFill="1" applyBorder="1" applyAlignment="1">
      <alignment horizontal="center" vertical="center"/>
    </xf>
    <xf numFmtId="0" fontId="0" fillId="7" borderId="9" xfId="0" applyFont="1" applyFill="1" applyBorder="1" applyAlignment="1">
      <alignment horizontal="right" vertical="center"/>
    </xf>
    <xf numFmtId="0" fontId="0" fillId="7" borderId="13" xfId="0" applyFont="1" applyFill="1" applyBorder="1" applyAlignment="1">
      <alignment horizontal="right" vertical="center"/>
    </xf>
    <xf numFmtId="0" fontId="0" fillId="7" borderId="10" xfId="0" applyFont="1" applyFill="1" applyBorder="1" applyAlignment="1">
      <alignment horizontal="right" vertical="center"/>
    </xf>
    <xf numFmtId="0" fontId="0" fillId="7" borderId="11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right" vertical="center"/>
    </xf>
    <xf numFmtId="0" fontId="0" fillId="7" borderId="12" xfId="0" applyFont="1" applyFill="1" applyBorder="1" applyAlignment="1">
      <alignment horizontal="right" vertical="center"/>
    </xf>
    <xf numFmtId="173" fontId="8" fillId="2" borderId="1" xfId="0" applyNumberFormat="1" applyFont="1" applyFill="1" applyBorder="1" applyAlignment="1">
      <alignment horizontal="center" vertical="center"/>
    </xf>
    <xf numFmtId="173" fontId="8" fillId="2" borderId="8" xfId="0" applyNumberFormat="1" applyFont="1" applyFill="1" applyBorder="1" applyAlignment="1">
      <alignment horizontal="center" vertical="center"/>
    </xf>
    <xf numFmtId="173" fontId="8" fillId="2" borderId="3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right" vertical="center"/>
    </xf>
    <xf numFmtId="0" fontId="9" fillId="2" borderId="10" xfId="0" applyFont="1" applyFill="1" applyBorder="1" applyAlignment="1">
      <alignment horizontal="right" vertical="center"/>
    </xf>
    <xf numFmtId="0" fontId="9" fillId="2" borderId="14" xfId="0" applyFont="1" applyFill="1" applyBorder="1" applyAlignment="1">
      <alignment horizontal="right" vertical="center"/>
    </xf>
    <xf numFmtId="0" fontId="9" fillId="2" borderId="15" xfId="0" applyFont="1" applyFill="1" applyBorder="1" applyAlignment="1">
      <alignment horizontal="right" vertical="center"/>
    </xf>
    <xf numFmtId="0" fontId="9" fillId="2" borderId="11" xfId="0" applyFont="1" applyFill="1" applyBorder="1" applyAlignment="1">
      <alignment horizontal="right" vertical="center"/>
    </xf>
    <xf numFmtId="0" fontId="9" fillId="2" borderId="12" xfId="0" applyFont="1" applyFill="1" applyBorder="1" applyAlignment="1">
      <alignment horizontal="right" vertical="center"/>
    </xf>
    <xf numFmtId="173" fontId="9" fillId="2" borderId="6" xfId="0" applyNumberFormat="1" applyFont="1" applyFill="1" applyBorder="1" applyAlignment="1">
      <alignment horizontal="right" vertical="center"/>
    </xf>
    <xf numFmtId="173" fontId="9" fillId="2" borderId="4" xfId="0" applyNumberFormat="1" applyFont="1" applyFill="1" applyBorder="1" applyAlignment="1">
      <alignment horizontal="right" vertical="center"/>
    </xf>
    <xf numFmtId="0" fontId="17" fillId="2" borderId="2" xfId="0" applyFont="1" applyFill="1" applyBorder="1" applyAlignment="1">
      <alignment horizontal="center"/>
    </xf>
    <xf numFmtId="0" fontId="17" fillId="2" borderId="8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67" fontId="5" fillId="2" borderId="6" xfId="0" applyNumberFormat="1" applyFont="1" applyFill="1" applyBorder="1" applyAlignment="1">
      <alignment horizontal="right" vertical="center"/>
    </xf>
    <xf numFmtId="167" fontId="5" fillId="2" borderId="4" xfId="0" applyNumberFormat="1" applyFont="1" applyFill="1" applyBorder="1" applyAlignment="1">
      <alignment horizontal="right" vertical="center"/>
    </xf>
    <xf numFmtId="0" fontId="9" fillId="2" borderId="13" xfId="0" applyFont="1" applyFill="1" applyBorder="1" applyAlignment="1">
      <alignment horizontal="right" vertical="center"/>
    </xf>
    <xf numFmtId="0" fontId="9" fillId="2" borderId="0" xfId="0" applyFont="1" applyFill="1" applyBorder="1" applyAlignment="1">
      <alignment horizontal="right" vertical="center"/>
    </xf>
    <xf numFmtId="0" fontId="9" fillId="2" borderId="5" xfId="0" applyFont="1" applyFill="1" applyBorder="1" applyAlignment="1">
      <alignment horizontal="right" vertical="center"/>
    </xf>
    <xf numFmtId="2" fontId="5" fillId="7" borderId="9" xfId="0" applyNumberFormat="1" applyFont="1" applyFill="1" applyBorder="1" applyAlignment="1">
      <alignment horizontal="center" vertical="center"/>
    </xf>
    <xf numFmtId="2" fontId="5" fillId="7" borderId="13" xfId="0" applyNumberFormat="1" applyFont="1" applyFill="1" applyBorder="1" applyAlignment="1">
      <alignment horizontal="center" vertical="center"/>
    </xf>
    <xf numFmtId="2" fontId="5" fillId="7" borderId="10" xfId="0" applyNumberFormat="1" applyFont="1" applyFill="1" applyBorder="1" applyAlignment="1">
      <alignment horizontal="center" vertical="center"/>
    </xf>
    <xf numFmtId="2" fontId="5" fillId="7" borderId="11" xfId="0" applyNumberFormat="1" applyFont="1" applyFill="1" applyBorder="1" applyAlignment="1">
      <alignment horizontal="center" vertical="center"/>
    </xf>
    <xf numFmtId="2" fontId="5" fillId="7" borderId="5" xfId="0" applyNumberFormat="1" applyFont="1" applyFill="1" applyBorder="1" applyAlignment="1">
      <alignment horizontal="center" vertical="center"/>
    </xf>
    <xf numFmtId="2" fontId="5" fillId="7" borderId="12" xfId="0" applyNumberFormat="1" applyFont="1" applyFill="1" applyBorder="1" applyAlignment="1">
      <alignment horizontal="center" vertical="center"/>
    </xf>
    <xf numFmtId="2" fontId="0" fillId="7" borderId="6" xfId="0" applyNumberFormat="1" applyFont="1" applyFill="1" applyBorder="1" applyAlignment="1">
      <alignment horizontal="center" vertical="center"/>
    </xf>
    <xf numFmtId="2" fontId="0" fillId="7" borderId="7" xfId="0" applyNumberFormat="1" applyFont="1" applyFill="1" applyBorder="1" applyAlignment="1">
      <alignment horizontal="center" vertical="center"/>
    </xf>
    <xf numFmtId="2" fontId="0" fillId="7" borderId="4" xfId="0" applyNumberFormat="1" applyFont="1" applyFill="1" applyBorder="1" applyAlignment="1">
      <alignment horizontal="center" vertical="center"/>
    </xf>
    <xf numFmtId="2" fontId="0" fillId="7" borderId="9" xfId="0" applyNumberFormat="1" applyFont="1" applyFill="1" applyBorder="1" applyAlignment="1">
      <alignment horizontal="center" vertical="center"/>
    </xf>
    <xf numFmtId="2" fontId="0" fillId="7" borderId="13" xfId="0" applyNumberFormat="1" applyFont="1" applyFill="1" applyBorder="1" applyAlignment="1">
      <alignment horizontal="center" vertical="center"/>
    </xf>
    <xf numFmtId="2" fontId="0" fillId="7" borderId="10" xfId="0" applyNumberFormat="1" applyFont="1" applyFill="1" applyBorder="1" applyAlignment="1">
      <alignment horizontal="center" vertical="center"/>
    </xf>
    <xf numFmtId="2" fontId="0" fillId="7" borderId="11" xfId="0" applyNumberFormat="1" applyFont="1" applyFill="1" applyBorder="1" applyAlignment="1">
      <alignment horizontal="center" vertical="center"/>
    </xf>
    <xf numFmtId="2" fontId="0" fillId="7" borderId="5" xfId="0" applyNumberFormat="1" applyFont="1" applyFill="1" applyBorder="1" applyAlignment="1">
      <alignment horizontal="center" vertical="center"/>
    </xf>
    <xf numFmtId="2" fontId="0" fillId="7" borderId="12" xfId="0" applyNumberFormat="1" applyFont="1" applyFill="1" applyBorder="1" applyAlignment="1">
      <alignment horizontal="center" vertical="center"/>
    </xf>
    <xf numFmtId="2" fontId="5" fillId="7" borderId="6" xfId="0" applyNumberFormat="1" applyFont="1" applyFill="1" applyBorder="1" applyAlignment="1">
      <alignment horizontal="center" vertical="center"/>
    </xf>
    <xf numFmtId="2" fontId="5" fillId="7" borderId="7" xfId="0" applyNumberFormat="1" applyFont="1" applyFill="1" applyBorder="1" applyAlignment="1">
      <alignment horizontal="center" vertical="center"/>
    </xf>
    <xf numFmtId="2" fontId="5" fillId="7" borderId="4" xfId="0" applyNumberFormat="1" applyFont="1" applyFill="1" applyBorder="1" applyAlignment="1">
      <alignment horizontal="center" vertical="center"/>
    </xf>
    <xf numFmtId="2" fontId="0" fillId="2" borderId="14" xfId="0" applyNumberFormat="1" applyFont="1" applyFill="1" applyBorder="1" applyAlignment="1">
      <alignment horizontal="left" vertical="center"/>
    </xf>
    <xf numFmtId="2" fontId="5" fillId="7" borderId="6" xfId="0" applyNumberFormat="1" applyFont="1" applyFill="1" applyBorder="1" applyAlignment="1">
      <alignment horizontal="left" vertical="center" indent="1"/>
    </xf>
    <xf numFmtId="2" fontId="5" fillId="7" borderId="7" xfId="0" applyNumberFormat="1" applyFont="1" applyFill="1" applyBorder="1" applyAlignment="1">
      <alignment horizontal="left" vertical="center" indent="1"/>
    </xf>
    <xf numFmtId="2" fontId="5" fillId="7" borderId="4" xfId="0" applyNumberFormat="1" applyFont="1" applyFill="1" applyBorder="1" applyAlignment="1">
      <alignment horizontal="left" vertical="center" indent="1"/>
    </xf>
    <xf numFmtId="49" fontId="5" fillId="7" borderId="6" xfId="0" applyNumberFormat="1" applyFont="1" applyFill="1" applyBorder="1" applyAlignment="1">
      <alignment horizontal="left" vertical="center" indent="1"/>
    </xf>
    <xf numFmtId="49" fontId="5" fillId="7" borderId="7" xfId="0" applyNumberFormat="1" applyFont="1" applyFill="1" applyBorder="1" applyAlignment="1">
      <alignment horizontal="left" vertical="center" indent="1"/>
    </xf>
    <xf numFmtId="49" fontId="5" fillId="7" borderId="4" xfId="0" applyNumberFormat="1" applyFont="1" applyFill="1" applyBorder="1" applyAlignment="1">
      <alignment horizontal="left" vertical="center" indent="1"/>
    </xf>
    <xf numFmtId="2" fontId="0" fillId="7" borderId="1" xfId="0" applyNumberFormat="1" applyFont="1" applyFill="1" applyBorder="1" applyAlignment="1">
      <alignment horizontal="center" vertical="center"/>
    </xf>
    <xf numFmtId="167" fontId="5" fillId="2" borderId="2" xfId="0" applyNumberFormat="1" applyFont="1" applyFill="1" applyBorder="1" applyAlignment="1">
      <alignment horizontal="center" vertical="center"/>
    </xf>
    <xf numFmtId="167" fontId="5" fillId="2" borderId="3" xfId="0" applyNumberFormat="1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6" fillId="7" borderId="6" xfId="0" applyFont="1" applyFill="1" applyBorder="1" applyAlignment="1">
      <alignment horizontal="center" vertical="center"/>
    </xf>
    <xf numFmtId="0" fontId="16" fillId="7" borderId="7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horizontal="left" vertical="center"/>
    </xf>
    <xf numFmtId="0" fontId="31" fillId="3" borderId="7" xfId="0" applyFont="1" applyFill="1" applyBorder="1" applyAlignment="1">
      <alignment horizontal="left" vertical="center"/>
    </xf>
    <xf numFmtId="0" fontId="31" fillId="3" borderId="4" xfId="0" applyFont="1" applyFill="1" applyBorder="1" applyAlignment="1">
      <alignment horizontal="left" vertical="center"/>
    </xf>
    <xf numFmtId="0" fontId="30" fillId="3" borderId="6" xfId="0" applyFont="1" applyFill="1" applyBorder="1" applyAlignment="1">
      <alignment horizontal="left" vertical="center"/>
    </xf>
    <xf numFmtId="0" fontId="30" fillId="3" borderId="7" xfId="0" applyFont="1" applyFill="1" applyBorder="1" applyAlignment="1">
      <alignment horizontal="left" vertical="center"/>
    </xf>
    <xf numFmtId="0" fontId="30" fillId="3" borderId="4" xfId="0" applyFont="1" applyFill="1" applyBorder="1" applyAlignment="1">
      <alignment horizontal="left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1" fontId="9" fillId="6" borderId="6" xfId="0" applyNumberFormat="1" applyFont="1" applyFill="1" applyBorder="1" applyAlignment="1">
      <alignment horizontal="left" vertical="center"/>
    </xf>
    <xf numFmtId="1" fontId="9" fillId="6" borderId="7" xfId="0" applyNumberFormat="1" applyFont="1" applyFill="1" applyBorder="1" applyAlignment="1">
      <alignment horizontal="left" vertical="center"/>
    </xf>
    <xf numFmtId="1" fontId="9" fillId="6" borderId="4" xfId="0" applyNumberFormat="1" applyFont="1" applyFill="1" applyBorder="1" applyAlignment="1">
      <alignment horizontal="left" vertical="center"/>
    </xf>
    <xf numFmtId="172" fontId="5" fillId="2" borderId="2" xfId="0" applyNumberFormat="1" applyFont="1" applyFill="1" applyBorder="1" applyAlignment="1">
      <alignment horizontal="center" vertical="center"/>
    </xf>
    <xf numFmtId="172" fontId="5" fillId="2" borderId="3" xfId="0" applyNumberFormat="1" applyFont="1" applyFill="1" applyBorder="1" applyAlignment="1">
      <alignment horizontal="center" vertical="center"/>
    </xf>
    <xf numFmtId="164" fontId="5" fillId="2" borderId="2" xfId="0" applyNumberFormat="1" applyFont="1" applyFill="1" applyBorder="1" applyAlignment="1">
      <alignment horizontal="center" vertical="center"/>
    </xf>
    <xf numFmtId="164" fontId="5" fillId="2" borderId="3" xfId="0" applyNumberFormat="1" applyFont="1" applyFill="1" applyBorder="1" applyAlignment="1">
      <alignment horizontal="center" vertical="center"/>
    </xf>
    <xf numFmtId="173" fontId="5" fillId="2" borderId="2" xfId="0" applyNumberFormat="1" applyFont="1" applyFill="1" applyBorder="1" applyAlignment="1">
      <alignment horizontal="center" vertical="center"/>
    </xf>
    <xf numFmtId="173" fontId="5" fillId="2" borderId="3" xfId="0" applyNumberFormat="1" applyFont="1" applyFill="1" applyBorder="1" applyAlignment="1">
      <alignment horizontal="center" vertical="center"/>
    </xf>
    <xf numFmtId="1" fontId="5" fillId="2" borderId="2" xfId="0" applyNumberFormat="1" applyFont="1" applyFill="1" applyBorder="1" applyAlignment="1">
      <alignment horizontal="center" vertical="center"/>
    </xf>
    <xf numFmtId="1" fontId="5" fillId="2" borderId="3" xfId="0" applyNumberFormat="1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2" fontId="5" fillId="7" borderId="1" xfId="0" applyNumberFormat="1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top" wrapText="1"/>
    </xf>
    <xf numFmtId="0" fontId="17" fillId="2" borderId="8" xfId="0" applyFont="1" applyFill="1" applyBorder="1" applyAlignment="1">
      <alignment horizontal="center" vertical="top" wrapText="1"/>
    </xf>
    <xf numFmtId="0" fontId="17" fillId="2" borderId="3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top" wrapText="1"/>
    </xf>
    <xf numFmtId="0" fontId="1" fillId="2" borderId="8" xfId="0" applyFont="1" applyFill="1" applyBorder="1" applyAlignment="1">
      <alignment horizontal="center" vertical="top" wrapText="1"/>
    </xf>
    <xf numFmtId="0" fontId="1" fillId="2" borderId="3" xfId="0" applyFont="1" applyFill="1" applyBorder="1" applyAlignment="1">
      <alignment horizontal="center" vertical="top" wrapText="1"/>
    </xf>
    <xf numFmtId="0" fontId="8" fillId="2" borderId="13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17" fillId="2" borderId="9" xfId="0" applyFont="1" applyFill="1" applyBorder="1" applyAlignment="1">
      <alignment horizontal="center" vertical="center" wrapText="1"/>
    </xf>
    <xf numFmtId="0" fontId="17" fillId="2" borderId="14" xfId="0" applyFont="1" applyFill="1" applyBorder="1" applyAlignment="1">
      <alignment horizontal="center" vertical="center" wrapText="1"/>
    </xf>
    <xf numFmtId="0" fontId="17" fillId="2" borderId="1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7" fillId="2" borderId="2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17" fillId="2" borderId="8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9" fillId="2" borderId="6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left" vertical="center"/>
    </xf>
    <xf numFmtId="0" fontId="8" fillId="3" borderId="7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 wrapText="1"/>
    </xf>
    <xf numFmtId="0" fontId="17" fillId="2" borderId="6" xfId="0" applyFont="1" applyFill="1" applyBorder="1" applyAlignment="1">
      <alignment horizontal="center" vertical="center" wrapText="1"/>
    </xf>
    <xf numFmtId="0" fontId="17" fillId="2" borderId="4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top" wrapText="1"/>
    </xf>
    <xf numFmtId="0" fontId="8" fillId="2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 wrapText="1"/>
    </xf>
    <xf numFmtId="0" fontId="17" fillId="7" borderId="8" xfId="0" applyFont="1" applyFill="1" applyBorder="1" applyAlignment="1">
      <alignment horizontal="center" vertical="center" wrapText="1"/>
    </xf>
    <xf numFmtId="0" fontId="17" fillId="7" borderId="3" xfId="0" applyFont="1" applyFill="1" applyBorder="1" applyAlignment="1">
      <alignment horizontal="center" vertical="center" wrapText="1"/>
    </xf>
    <xf numFmtId="2" fontId="17" fillId="2" borderId="1" xfId="0" applyNumberFormat="1" applyFont="1" applyFill="1" applyBorder="1" applyAlignment="1">
      <alignment horizontal="center" vertical="top" wrapText="1"/>
    </xf>
    <xf numFmtId="168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172" fontId="8" fillId="2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justify" vertical="center"/>
    </xf>
    <xf numFmtId="0" fontId="9" fillId="6" borderId="6" xfId="0" applyFont="1" applyFill="1" applyBorder="1" applyAlignment="1">
      <alignment horizontal="left" vertical="center"/>
    </xf>
    <xf numFmtId="0" fontId="9" fillId="6" borderId="4" xfId="0" applyFont="1" applyFill="1" applyBorder="1" applyAlignment="1">
      <alignment horizontal="left" vertical="center"/>
    </xf>
    <xf numFmtId="0" fontId="9" fillId="2" borderId="6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left" vertical="top"/>
    </xf>
    <xf numFmtId="0" fontId="8" fillId="3" borderId="13" xfId="0" applyFont="1" applyFill="1" applyBorder="1" applyAlignment="1">
      <alignment horizontal="left" vertical="top"/>
    </xf>
    <xf numFmtId="0" fontId="8" fillId="3" borderId="10" xfId="0" applyFont="1" applyFill="1" applyBorder="1" applyAlignment="1">
      <alignment horizontal="left" vertical="top"/>
    </xf>
    <xf numFmtId="0" fontId="8" fillId="3" borderId="14" xfId="0" applyFont="1" applyFill="1" applyBorder="1" applyAlignment="1">
      <alignment horizontal="left" vertical="top"/>
    </xf>
    <xf numFmtId="0" fontId="8" fillId="3" borderId="0" xfId="0" applyFont="1" applyFill="1" applyBorder="1" applyAlignment="1">
      <alignment horizontal="left" vertical="top"/>
    </xf>
    <xf numFmtId="0" fontId="8" fillId="3" borderId="15" xfId="0" applyFont="1" applyFill="1" applyBorder="1" applyAlignment="1">
      <alignment horizontal="left" vertical="top"/>
    </xf>
    <xf numFmtId="0" fontId="8" fillId="3" borderId="11" xfId="0" applyFont="1" applyFill="1" applyBorder="1" applyAlignment="1">
      <alignment horizontal="left" vertical="top"/>
    </xf>
    <xf numFmtId="0" fontId="8" fillId="3" borderId="5" xfId="0" applyFont="1" applyFill="1" applyBorder="1" applyAlignment="1">
      <alignment horizontal="left" vertical="top"/>
    </xf>
    <xf numFmtId="0" fontId="8" fillId="3" borderId="12" xfId="0" applyFont="1" applyFill="1" applyBorder="1" applyAlignment="1">
      <alignment horizontal="left" vertical="top"/>
    </xf>
    <xf numFmtId="0" fontId="1" fillId="2" borderId="13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 wrapText="1"/>
    </xf>
    <xf numFmtId="0" fontId="0" fillId="2" borderId="14" xfId="0" applyFont="1" applyFill="1" applyBorder="1" applyAlignment="1">
      <alignment horizontal="left" vertical="center"/>
    </xf>
    <xf numFmtId="2" fontId="18" fillId="7" borderId="1" xfId="0" applyNumberFormat="1" applyFont="1" applyFill="1" applyBorder="1" applyAlignment="1">
      <alignment horizontal="center" vertical="center"/>
    </xf>
    <xf numFmtId="2" fontId="19" fillId="7" borderId="6" xfId="0" applyNumberFormat="1" applyFont="1" applyFill="1" applyBorder="1" applyAlignment="1">
      <alignment horizontal="center" vertical="center"/>
    </xf>
    <xf numFmtId="0" fontId="17" fillId="7" borderId="9" xfId="0" applyFont="1" applyFill="1" applyBorder="1" applyAlignment="1">
      <alignment horizontal="center" vertical="center"/>
    </xf>
    <xf numFmtId="0" fontId="17" fillId="7" borderId="13" xfId="0" applyFont="1" applyFill="1" applyBorder="1" applyAlignment="1">
      <alignment horizontal="center" vertical="center"/>
    </xf>
    <xf numFmtId="0" fontId="17" fillId="7" borderId="10" xfId="0" applyFont="1" applyFill="1" applyBorder="1" applyAlignment="1">
      <alignment horizontal="center" vertical="center"/>
    </xf>
    <xf numFmtId="0" fontId="17" fillId="7" borderId="11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7" borderId="12" xfId="0" applyFont="1" applyFill="1" applyBorder="1" applyAlignment="1">
      <alignment horizontal="center" vertical="center"/>
    </xf>
    <xf numFmtId="0" fontId="0" fillId="2" borderId="14" xfId="0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173" fontId="0" fillId="7" borderId="9" xfId="0" applyNumberFormat="1" applyFont="1" applyFill="1" applyBorder="1" applyAlignment="1">
      <alignment horizontal="center" vertical="center"/>
    </xf>
    <xf numFmtId="173" fontId="0" fillId="7" borderId="13" xfId="0" applyNumberFormat="1" applyFont="1" applyFill="1" applyBorder="1" applyAlignment="1">
      <alignment horizontal="center" vertical="center"/>
    </xf>
    <xf numFmtId="173" fontId="0" fillId="7" borderId="10" xfId="0" applyNumberFormat="1" applyFont="1" applyFill="1" applyBorder="1" applyAlignment="1">
      <alignment horizontal="center" vertical="center"/>
    </xf>
    <xf numFmtId="173" fontId="0" fillId="7" borderId="11" xfId="0" applyNumberFormat="1" applyFont="1" applyFill="1" applyBorder="1" applyAlignment="1">
      <alignment horizontal="center" vertical="center"/>
    </xf>
    <xf numFmtId="173" fontId="0" fillId="7" borderId="5" xfId="0" applyNumberFormat="1" applyFont="1" applyFill="1" applyBorder="1" applyAlignment="1">
      <alignment horizontal="center" vertical="center"/>
    </xf>
    <xf numFmtId="173" fontId="0" fillId="7" borderId="12" xfId="0" applyNumberFormat="1" applyFont="1" applyFill="1" applyBorder="1" applyAlignment="1">
      <alignment horizontal="center" vertical="center"/>
    </xf>
    <xf numFmtId="173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73" fontId="0" fillId="7" borderId="6" xfId="0" applyNumberFormat="1" applyFont="1" applyFill="1" applyBorder="1" applyAlignment="1">
      <alignment horizontal="center" vertical="center"/>
    </xf>
    <xf numFmtId="173" fontId="0" fillId="7" borderId="7" xfId="0" applyNumberFormat="1" applyFont="1" applyFill="1" applyBorder="1" applyAlignment="1">
      <alignment horizontal="center" vertical="center"/>
    </xf>
    <xf numFmtId="173" fontId="0" fillId="7" borderId="4" xfId="0" applyNumberFormat="1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 wrapText="1"/>
    </xf>
    <xf numFmtId="173" fontId="8" fillId="2" borderId="0" xfId="0" applyNumberFormat="1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72" fontId="5" fillId="2" borderId="1" xfId="0" applyNumberFormat="1" applyFont="1" applyFill="1" applyBorder="1" applyAlignment="1">
      <alignment horizontal="center" vertical="center"/>
    </xf>
    <xf numFmtId="172" fontId="0" fillId="2" borderId="1" xfId="0" applyNumberFormat="1" applyFont="1" applyFill="1" applyBorder="1" applyAlignment="1">
      <alignment horizontal="center" vertical="center"/>
    </xf>
    <xf numFmtId="173" fontId="0" fillId="2" borderId="2" xfId="0" applyNumberFormat="1" applyFont="1" applyFill="1" applyBorder="1" applyAlignment="1">
      <alignment horizontal="center" vertical="center"/>
    </xf>
    <xf numFmtId="173" fontId="0" fillId="2" borderId="8" xfId="0" applyNumberFormat="1" applyFont="1" applyFill="1" applyBorder="1" applyAlignment="1">
      <alignment horizontal="center" vertical="center"/>
    </xf>
    <xf numFmtId="173" fontId="0" fillId="2" borderId="3" xfId="0" applyNumberFormat="1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right" vertical="center"/>
    </xf>
    <xf numFmtId="0" fontId="5" fillId="2" borderId="10" xfId="0" applyFont="1" applyFill="1" applyBorder="1" applyAlignment="1">
      <alignment horizontal="right" vertical="center"/>
    </xf>
    <xf numFmtId="0" fontId="5" fillId="2" borderId="14" xfId="0" applyFont="1" applyFill="1" applyBorder="1" applyAlignment="1">
      <alignment horizontal="right" vertical="center"/>
    </xf>
    <xf numFmtId="0" fontId="5" fillId="2" borderId="15" xfId="0" applyFont="1" applyFill="1" applyBorder="1" applyAlignment="1">
      <alignment horizontal="right" vertical="center"/>
    </xf>
    <xf numFmtId="0" fontId="5" fillId="2" borderId="11" xfId="0" applyFont="1" applyFill="1" applyBorder="1" applyAlignment="1">
      <alignment horizontal="right" vertical="center"/>
    </xf>
    <xf numFmtId="0" fontId="5" fillId="2" borderId="12" xfId="0" applyFont="1" applyFill="1" applyBorder="1" applyAlignment="1">
      <alignment horizontal="right" vertical="center"/>
    </xf>
    <xf numFmtId="0" fontId="1" fillId="2" borderId="2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42" fillId="13" borderId="0" xfId="0" applyFont="1" applyFill="1"/>
    <xf numFmtId="0" fontId="42" fillId="14" borderId="0" xfId="0" applyFont="1" applyFill="1"/>
    <xf numFmtId="0" fontId="57" fillId="15" borderId="0" xfId="0" applyFont="1" applyFill="1"/>
    <xf numFmtId="172" fontId="43" fillId="2" borderId="1" xfId="0" applyNumberFormat="1" applyFont="1" applyFill="1" applyBorder="1" applyAlignment="1">
      <alignment horizontal="left"/>
    </xf>
    <xf numFmtId="164" fontId="43" fillId="2" borderId="1" xfId="0" applyNumberFormat="1" applyFont="1" applyFill="1" applyBorder="1" applyAlignment="1">
      <alignment horizontal="left"/>
    </xf>
    <xf numFmtId="166" fontId="43" fillId="2" borderId="1" xfId="0" applyNumberFormat="1" applyFont="1" applyFill="1" applyBorder="1" applyAlignment="1">
      <alignment horizontal="left"/>
    </xf>
    <xf numFmtId="165" fontId="43" fillId="2" borderId="1" xfId="0" applyNumberFormat="1" applyFont="1" applyFill="1" applyBorder="1" applyAlignment="1">
      <alignment horizontal="left"/>
    </xf>
    <xf numFmtId="173" fontId="42" fillId="2" borderId="1" xfId="0" applyNumberFormat="1" applyFont="1" applyFill="1" applyBorder="1" applyAlignment="1">
      <alignment horizontal="left" vertical="center"/>
    </xf>
    <xf numFmtId="170" fontId="42" fillId="2" borderId="1" xfId="0" applyNumberFormat="1" applyFont="1" applyFill="1" applyBorder="1" applyAlignment="1">
      <alignment horizontal="left" vertical="center"/>
    </xf>
    <xf numFmtId="173" fontId="43" fillId="2" borderId="1" xfId="2" applyNumberFormat="1" applyFont="1" applyFill="1" applyBorder="1" applyAlignment="1">
      <alignment horizontal="left" vertical="center"/>
    </xf>
    <xf numFmtId="0" fontId="43" fillId="0" borderId="0" xfId="0" applyFont="1" applyFill="1"/>
  </cellXfs>
  <cellStyles count="3">
    <cellStyle name="Millares" xfId="2" builtinId="3"/>
    <cellStyle name="Moneda" xfId="1" builtinId="4"/>
    <cellStyle name="Normal" xfId="0" builtinId="0"/>
  </cellStyles>
  <dxfs count="47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246564</xdr:colOff>
      <xdr:row>34</xdr:row>
      <xdr:rowOff>31327</xdr:rowOff>
    </xdr:from>
    <xdr:to>
      <xdr:col>9</xdr:col>
      <xdr:colOff>630134</xdr:colOff>
      <xdr:row>41</xdr:row>
      <xdr:rowOff>153462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004A0FF-E971-4233-A1E0-937B98244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28364" y="6660727"/>
          <a:ext cx="2669570" cy="1455635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147138</xdr:colOff>
      <xdr:row>10</xdr:row>
      <xdr:rowOff>119580</xdr:rowOff>
    </xdr:from>
    <xdr:to>
      <xdr:col>9</xdr:col>
      <xdr:colOff>592667</xdr:colOff>
      <xdr:row>20</xdr:row>
      <xdr:rowOff>60961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302BB80-C4BC-4EBF-9769-1E1E2EDBD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28938" y="2015055"/>
          <a:ext cx="2731529" cy="1970205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371094</xdr:colOff>
      <xdr:row>44</xdr:row>
      <xdr:rowOff>3123</xdr:rowOff>
    </xdr:from>
    <xdr:to>
      <xdr:col>9</xdr:col>
      <xdr:colOff>504826</xdr:colOff>
      <xdr:row>50</xdr:row>
      <xdr:rowOff>158530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5EB72A1-1CE6-4C93-9881-910CB8CB8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52894" y="8575623"/>
          <a:ext cx="2419732" cy="1298407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94425</xdr:colOff>
      <xdr:row>55</xdr:row>
      <xdr:rowOff>82550</xdr:rowOff>
    </xdr:from>
    <xdr:to>
      <xdr:col>9</xdr:col>
      <xdr:colOff>714375</xdr:colOff>
      <xdr:row>59</xdr:row>
      <xdr:rowOff>142876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A69AB9D-3AA0-4BC5-9E74-0E941894C6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7587" t="10059" r="5336"/>
        <a:stretch/>
      </xdr:blipFill>
      <xdr:spPr>
        <a:xfrm>
          <a:off x="6876225" y="10750550"/>
          <a:ext cx="2905950" cy="822326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270934</xdr:colOff>
      <xdr:row>22</xdr:row>
      <xdr:rowOff>169332</xdr:rowOff>
    </xdr:from>
    <xdr:to>
      <xdr:col>9</xdr:col>
      <xdr:colOff>651575</xdr:colOff>
      <xdr:row>30</xdr:row>
      <xdr:rowOff>150706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C7C45B86-4D5F-4DDC-8DAD-519820C570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2461" t="3541" r="6092" b="10994"/>
        <a:stretch/>
      </xdr:blipFill>
      <xdr:spPr>
        <a:xfrm>
          <a:off x="7045590" y="4503207"/>
          <a:ext cx="2666641" cy="1541093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313371</xdr:colOff>
      <xdr:row>74</xdr:row>
      <xdr:rowOff>9207</xdr:rowOff>
    </xdr:from>
    <xdr:to>
      <xdr:col>10</xdr:col>
      <xdr:colOff>82222</xdr:colOff>
      <xdr:row>80</xdr:row>
      <xdr:rowOff>39688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A276A74-00CD-4C3F-B8D2-CEF4042117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5134" t="9687" r="36677" b="61487"/>
        <a:stretch/>
      </xdr:blipFill>
      <xdr:spPr>
        <a:xfrm>
          <a:off x="7095171" y="14420532"/>
          <a:ext cx="2816851" cy="1173481"/>
        </a:xfrm>
        <a:prstGeom prst="rect">
          <a:avLst/>
        </a:prstGeom>
      </xdr:spPr>
    </xdr:pic>
    <xdr:clientData/>
  </xdr:twoCellAnchor>
  <xdr:twoCellAnchor editAs="oneCell">
    <xdr:from>
      <xdr:col>7</xdr:col>
      <xdr:colOff>223084</xdr:colOff>
      <xdr:row>62</xdr:row>
      <xdr:rowOff>26035</xdr:rowOff>
    </xdr:from>
    <xdr:to>
      <xdr:col>9</xdr:col>
      <xdr:colOff>175783</xdr:colOff>
      <xdr:row>65</xdr:row>
      <xdr:rowOff>160546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3C792C3-5B9F-48FE-B8DD-CA38C0E86A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15831" t="87169" r="63548" b="3802"/>
        <a:stretch/>
      </xdr:blipFill>
      <xdr:spPr>
        <a:xfrm>
          <a:off x="7766884" y="12113260"/>
          <a:ext cx="1476699" cy="706011"/>
        </a:xfrm>
        <a:prstGeom prst="rect">
          <a:avLst/>
        </a:prstGeom>
      </xdr:spPr>
    </xdr:pic>
    <xdr:clientData/>
  </xdr:twoCellAnchor>
  <xdr:twoCellAnchor editAs="oneCell">
    <xdr:from>
      <xdr:col>7</xdr:col>
      <xdr:colOff>97113</xdr:colOff>
      <xdr:row>69</xdr:row>
      <xdr:rowOff>74588</xdr:rowOff>
    </xdr:from>
    <xdr:to>
      <xdr:col>8</xdr:col>
      <xdr:colOff>544423</xdr:colOff>
      <xdr:row>72</xdr:row>
      <xdr:rowOff>2333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9F9F01A-8A72-492C-BF0C-BDEAC419CB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38283" t="19252" r="47524" b="69852"/>
        <a:stretch/>
      </xdr:blipFill>
      <xdr:spPr>
        <a:xfrm>
          <a:off x="7640913" y="13495313"/>
          <a:ext cx="1209310" cy="537344"/>
        </a:xfrm>
        <a:prstGeom prst="rect">
          <a:avLst/>
        </a:prstGeom>
      </xdr:spPr>
    </xdr:pic>
    <xdr:clientData/>
  </xdr:twoCellAnchor>
  <xdr:twoCellAnchor editAs="oneCell">
    <xdr:from>
      <xdr:col>1</xdr:col>
      <xdr:colOff>1202531</xdr:colOff>
      <xdr:row>1</xdr:row>
      <xdr:rowOff>0</xdr:rowOff>
    </xdr:from>
    <xdr:to>
      <xdr:col>1</xdr:col>
      <xdr:colOff>1944331</xdr:colOff>
      <xdr:row>4</xdr:row>
      <xdr:rowOff>172243</xdr:rowOff>
    </xdr:to>
    <xdr:pic>
      <xdr:nvPicPr>
        <xdr:cNvPr id="10" name="Imagen 9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35326E93-6929-4142-95FA-05560EDA3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4531" y="190500"/>
          <a:ext cx="741800" cy="7723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507207</xdr:colOff>
      <xdr:row>106</xdr:row>
      <xdr:rowOff>0</xdr:rowOff>
    </xdr:from>
    <xdr:ext cx="714376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20700207" y="26205656"/>
              <a:ext cx="714376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𝑅𝑒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.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20271582" y="17125950"/>
              <a:ext cx="714376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𝑅𝑒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=(𝑉_0  .𝑒)/𝑣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3175</xdr:colOff>
      <xdr:row>106</xdr:row>
      <xdr:rowOff>0</xdr:rowOff>
    </xdr:from>
    <xdr:ext cx="65" cy="172227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789863" y="262056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8</xdr:col>
      <xdr:colOff>247650</xdr:colOff>
      <xdr:row>106</xdr:row>
      <xdr:rowOff>0</xdr:rowOff>
    </xdr:from>
    <xdr:ext cx="65" cy="172227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7105650" y="262056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twoCellAnchor editAs="oneCell">
    <xdr:from>
      <xdr:col>1</xdr:col>
      <xdr:colOff>812008</xdr:colOff>
      <xdr:row>1</xdr:row>
      <xdr:rowOff>1324</xdr:rowOff>
    </xdr:from>
    <xdr:to>
      <xdr:col>2</xdr:col>
      <xdr:colOff>625121</xdr:colOff>
      <xdr:row>4</xdr:row>
      <xdr:rowOff>175949</xdr:rowOff>
    </xdr:to>
    <xdr:pic>
      <xdr:nvPicPr>
        <xdr:cNvPr id="23" name="Imagen 22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3958" y="191824"/>
          <a:ext cx="737038" cy="746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8</xdr:col>
      <xdr:colOff>114301</xdr:colOff>
      <xdr:row>106</xdr:row>
      <xdr:rowOff>42862</xdr:rowOff>
    </xdr:from>
    <xdr:ext cx="635791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6972301" y="26248518"/>
              <a:ext cx="635791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</m:oMath>
                </m:oMathPara>
              </a14:m>
              <a:endParaRPr lang="es-MX" sz="1100" b="0" i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6972301" y="27439143"/>
              <a:ext cx="635791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endParaRPr lang="es-MX" sz="1100" b="0" i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66676</xdr:colOff>
      <xdr:row>108</xdr:row>
      <xdr:rowOff>42862</xdr:rowOff>
    </xdr:from>
    <xdr:ext cx="192559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6924676" y="26748581"/>
              <a:ext cx="192559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4"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&lt;3,5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6924676" y="26748581"/>
              <a:ext cx="192559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4" si 〖2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&lt;L〗_m&lt;3,5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8</xdr:col>
      <xdr:colOff>54239</xdr:colOff>
      <xdr:row>109</xdr:row>
      <xdr:rowOff>43919</xdr:rowOff>
    </xdr:from>
    <xdr:ext cx="20136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6912239" y="26999669"/>
              <a:ext cx="2013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6"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3,5 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&lt;6,5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6912239" y="26999669"/>
              <a:ext cx="2013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6" si 〖3,5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&lt;L〗_m&lt;6,5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7</xdr:col>
      <xdr:colOff>881062</xdr:colOff>
      <xdr:row>110</xdr:row>
      <xdr:rowOff>7144</xdr:rowOff>
    </xdr:from>
    <xdr:ext cx="233362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6810375" y="27212925"/>
              <a:ext cx="233362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8"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6,5 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&lt;12,0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6810375" y="27212925"/>
              <a:ext cx="233362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8" si 〖6,5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&lt;L〗_m&lt;12,0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8</xdr:col>
      <xdr:colOff>83345</xdr:colOff>
      <xdr:row>115</xdr:row>
      <xdr:rowOff>11905</xdr:rowOff>
    </xdr:from>
    <xdr:ext cx="119693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SpPr txBox="1"/>
          </xdr:nvSpPr>
          <xdr:spPr>
            <a:xfrm>
              <a:off x="6941345" y="28467843"/>
              <a:ext cx="119693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=1,16 </m:t>
                    </m:r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ad>
                      <m:radPr>
                        <m:degHide m:val="o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o</m:t>
                                </m:r>
                              </m:sub>
                              <m:sup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0,5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a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SpPr txBox="1"/>
          </xdr:nvSpPr>
          <xdr:spPr>
            <a:xfrm>
              <a:off x="6941345" y="28467843"/>
              <a:ext cx="119693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X_o=1,16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D_o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√((T_o^0,5)/v_a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871802</xdr:colOff>
      <xdr:row>121</xdr:row>
      <xdr:rowOff>96572</xdr:rowOff>
    </xdr:from>
    <xdr:ext cx="878416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 txBox="1"/>
          </xdr:nvSpPr>
          <xdr:spPr>
            <a:xfrm>
              <a:off x="6801115" y="30124135"/>
              <a:ext cx="878416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 txBox="1"/>
          </xdr:nvSpPr>
          <xdr:spPr>
            <a:xfrm>
              <a:off x="6801115" y="30124135"/>
              <a:ext cx="878416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=L_m/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o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119062</xdr:colOff>
      <xdr:row>53</xdr:row>
      <xdr:rowOff>71437</xdr:rowOff>
    </xdr:from>
    <xdr:ext cx="682430" cy="3671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901221F3-CABF-413F-92B1-04B0B932E6D9}"/>
                </a:ext>
              </a:extLst>
            </xdr:cNvPr>
            <xdr:cNvSpPr txBox="1"/>
          </xdr:nvSpPr>
          <xdr:spPr>
            <a:xfrm>
              <a:off x="6977062" y="12965906"/>
              <a:ext cx="682430" cy="3671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901221F3-CABF-413F-92B1-04B0B932E6D9}"/>
                </a:ext>
              </a:extLst>
            </xdr:cNvPr>
            <xdr:cNvSpPr txBox="1"/>
          </xdr:nvSpPr>
          <xdr:spPr>
            <a:xfrm>
              <a:off x="6977062" y="12965906"/>
              <a:ext cx="682430" cy="3671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CS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=Q_und/(L_p  a)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55</xdr:row>
      <xdr:rowOff>107156</xdr:rowOff>
    </xdr:from>
    <xdr:ext cx="1051378" cy="3284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95C426A6-0062-4870-A3A4-E6FFA716796D}"/>
                </a:ext>
              </a:extLst>
            </xdr:cNvPr>
            <xdr:cNvSpPr txBox="1"/>
          </xdr:nvSpPr>
          <xdr:spPr>
            <a:xfrm>
              <a:off x="7000875" y="13501687"/>
              <a:ext cx="1051378" cy="3284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N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senθ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w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w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95C426A6-0062-4870-A3A4-E6FFA716796D}"/>
                </a:ext>
              </a:extLst>
            </xdr:cNvPr>
            <xdr:cNvSpPr txBox="1"/>
          </xdr:nvSpPr>
          <xdr:spPr>
            <a:xfrm>
              <a:off x="7000875" y="13501687"/>
              <a:ext cx="1051378" cy="3284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=(L_p  senθ+w)/(e+w)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904872</xdr:colOff>
      <xdr:row>57</xdr:row>
      <xdr:rowOff>47625</xdr:rowOff>
    </xdr:from>
    <xdr:ext cx="964407" cy="500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33AD8315-0281-45D1-ABDE-78CC1FFA7DE8}"/>
                </a:ext>
              </a:extLst>
            </xdr:cNvPr>
            <xdr:cNvSpPr txBox="1"/>
          </xdr:nvSpPr>
          <xdr:spPr>
            <a:xfrm>
              <a:off x="6834185" y="14001750"/>
              <a:ext cx="964407" cy="500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den>
                    </m:f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33AD8315-0281-45D1-ABDE-78CC1FFA7DE8}"/>
                </a:ext>
              </a:extLst>
            </xdr:cNvPr>
            <xdr:cNvSpPr txBox="1"/>
          </xdr:nvSpPr>
          <xdr:spPr>
            <a:xfrm>
              <a:off x="6834185" y="14001750"/>
              <a:ext cx="964407" cy="500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und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 e 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821530</xdr:colOff>
      <xdr:row>59</xdr:row>
      <xdr:rowOff>95251</xdr:rowOff>
    </xdr:from>
    <xdr:ext cx="857250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5A5C0644-6991-4F7D-A1A0-7AC184F935B1}"/>
                </a:ext>
              </a:extLst>
            </xdr:cNvPr>
            <xdr:cNvSpPr txBox="1"/>
          </xdr:nvSpPr>
          <xdr:spPr>
            <a:xfrm>
              <a:off x="6750843" y="14549439"/>
              <a:ext cx="857250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den>
                    </m:f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5A5C0644-6991-4F7D-A1A0-7AC184F935B1}"/>
                </a:ext>
              </a:extLst>
            </xdr:cNvPr>
            <xdr:cNvSpPr txBox="1"/>
          </xdr:nvSpPr>
          <xdr:spPr>
            <a:xfrm>
              <a:off x="6750843" y="14549439"/>
              <a:ext cx="857250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i="0">
                  <a:latin typeface="Cambria Math" panose="02040503050406030204" pitchFamily="18" charset="0"/>
                </a:rPr>
                <a:t>L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e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119062</xdr:colOff>
      <xdr:row>61</xdr:row>
      <xdr:rowOff>107156</xdr:rowOff>
    </xdr:from>
    <xdr:ext cx="3085717" cy="3214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66582F65-3423-49A7-828B-8846F3596B48}"/>
                </a:ext>
              </a:extLst>
            </xdr:cNvPr>
            <xdr:cNvSpPr txBox="1"/>
          </xdr:nvSpPr>
          <xdr:spPr>
            <a:xfrm>
              <a:off x="6977062" y="15001875"/>
              <a:ext cx="3085717" cy="3214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0,058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Yao</m:t>
                        </m:r>
                      </m:e>
                    </m:d>
                    <m:sSup>
                      <m:sSup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;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0,013</m:t>
                        </m:r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den>
                    </m:f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Schulze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66582F65-3423-49A7-828B-8846F3596B48}"/>
                </a:ext>
              </a:extLst>
            </xdr:cNvPr>
            <xdr:cNvSpPr txBox="1"/>
          </xdr:nvSpPr>
          <xdr:spPr>
            <a:xfrm>
              <a:off x="6977062" y="15001875"/>
              <a:ext cx="3085717" cy="3214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L^′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=(0,058〖 v〗_0  e)/𝑣   (Yao)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 ; L〗^′=(0,013〖 v〗_0  e)/𝑣   (Schulze)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</xdr:colOff>
      <xdr:row>63</xdr:row>
      <xdr:rowOff>47625</xdr:rowOff>
    </xdr:from>
    <xdr:ext cx="1571626" cy="2262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47BD4240-E633-4B5B-8C3D-3A78E31A9EDC}"/>
                </a:ext>
              </a:extLst>
            </xdr:cNvPr>
            <xdr:cNvSpPr txBox="1"/>
          </xdr:nvSpPr>
          <xdr:spPr>
            <a:xfrm>
              <a:off x="6869906" y="15442406"/>
              <a:ext cx="1571626" cy="2262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∴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′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47BD4240-E633-4B5B-8C3D-3A78E31A9EDC}"/>
                </a:ext>
              </a:extLst>
            </xdr:cNvPr>
            <xdr:cNvSpPr txBox="1"/>
          </xdr:nvSpPr>
          <xdr:spPr>
            <a:xfrm>
              <a:off x="6869906" y="15442406"/>
              <a:ext cx="1571626" cy="2262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L^′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 ∴ L_( c)=L−L′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130968</xdr:colOff>
      <xdr:row>64</xdr:row>
      <xdr:rowOff>83343</xdr:rowOff>
    </xdr:from>
    <xdr:ext cx="1296316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EC759A8B-4B85-4BAD-8438-BAE310761C6B}"/>
                </a:ext>
              </a:extLst>
            </xdr:cNvPr>
            <xdr:cNvSpPr txBox="1"/>
          </xdr:nvSpPr>
          <xdr:spPr>
            <a:xfrm>
              <a:off x="6988968" y="15728156"/>
              <a:ext cx="129631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S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Sen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θ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cosθ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EC759A8B-4B85-4BAD-8438-BAE310761C6B}"/>
                </a:ext>
              </a:extLst>
            </xdr:cNvPr>
            <xdr:cNvSpPr txBox="1"/>
          </xdr:nvSpPr>
          <xdr:spPr>
            <a:xfrm>
              <a:off x="6988968" y="15728156"/>
              <a:ext cx="129631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sc=(S_c 〖 v〗_0)/(Sen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θ+L_c  cosθ)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66</xdr:row>
      <xdr:rowOff>119062</xdr:rowOff>
    </xdr:from>
    <xdr:ext cx="647613" cy="2899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7C81327B-B997-4714-9436-DE676FD229CD}"/>
                </a:ext>
              </a:extLst>
            </xdr:cNvPr>
            <xdr:cNvSpPr txBox="1"/>
          </xdr:nvSpPr>
          <xdr:spPr>
            <a:xfrm>
              <a:off x="7000875" y="16263937"/>
              <a:ext cx="647613" cy="289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7C81327B-B997-4714-9436-DE676FD229CD}"/>
                </a:ext>
              </a:extLst>
            </xdr:cNvPr>
            <xdr:cNvSpPr txBox="1"/>
          </xdr:nvSpPr>
          <xdr:spPr>
            <a:xfrm>
              <a:off x="7000875" y="16263937"/>
              <a:ext cx="647613" cy="289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 v〗_0  e)/𝑣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95250</xdr:colOff>
      <xdr:row>68</xdr:row>
      <xdr:rowOff>71437</xdr:rowOff>
    </xdr:from>
    <xdr:ext cx="590550" cy="3500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295E3DC7-687A-440D-BD52-DF7EF31B1E3A}"/>
                </a:ext>
              </a:extLst>
            </xdr:cNvPr>
            <xdr:cNvSpPr txBox="1"/>
          </xdr:nvSpPr>
          <xdr:spPr>
            <a:xfrm>
              <a:off x="6953250" y="16716375"/>
              <a:ext cx="590550" cy="35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sSub>
                          <m:sSub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295E3DC7-687A-440D-BD52-DF7EF31B1E3A}"/>
                </a:ext>
              </a:extLst>
            </xdr:cNvPr>
            <xdr:cNvSpPr txBox="1"/>
          </xdr:nvSpPr>
          <xdr:spPr>
            <a:xfrm>
              <a:off x="6953250" y="16716375"/>
              <a:ext cx="590550" cy="35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t_c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80</xdr:row>
      <xdr:rowOff>47625</xdr:rowOff>
    </xdr:from>
    <xdr:ext cx="718402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8F8CDF1B-2979-41FD-891A-F2EB629291DF}"/>
                </a:ext>
              </a:extLst>
            </xdr:cNvPr>
            <xdr:cNvSpPr txBox="1"/>
          </xdr:nvSpPr>
          <xdr:spPr>
            <a:xfrm>
              <a:off x="7000875" y="17942719"/>
              <a:ext cx="718402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senθ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8F8CDF1B-2979-41FD-891A-F2EB629291DF}"/>
                </a:ext>
              </a:extLst>
            </xdr:cNvPr>
            <xdr:cNvSpPr txBox="1"/>
          </xdr:nvSpPr>
          <xdr:spPr>
            <a:xfrm>
              <a:off x="7000875" y="17942719"/>
              <a:ext cx="718402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p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 senθ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119063</xdr:colOff>
      <xdr:row>83</xdr:row>
      <xdr:rowOff>47625</xdr:rowOff>
    </xdr:from>
    <xdr:ext cx="1122743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E0936E7B-D796-40DC-B075-021067CD1C16}"/>
                </a:ext>
              </a:extLst>
            </xdr:cNvPr>
            <xdr:cNvSpPr txBox="1"/>
          </xdr:nvSpPr>
          <xdr:spPr>
            <a:xfrm>
              <a:off x="6977063" y="18442781"/>
              <a:ext cx="1122743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E0936E7B-D796-40DC-B075-021067CD1C16}"/>
                </a:ext>
              </a:extLst>
            </xdr:cNvPr>
            <xdr:cNvSpPr txBox="1"/>
          </xdr:nvSpPr>
          <xdr:spPr>
            <a:xfrm>
              <a:off x="6977063" y="18442781"/>
              <a:ext cx="1122743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d+h_p+h_a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130968</xdr:colOff>
      <xdr:row>84</xdr:row>
      <xdr:rowOff>35719</xdr:rowOff>
    </xdr:from>
    <xdr:ext cx="1691682" cy="18428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553A066D-05DF-4131-BC68-234D26535883}"/>
                </a:ext>
              </a:extLst>
            </xdr:cNvPr>
            <xdr:cNvSpPr txBox="1"/>
          </xdr:nvSpPr>
          <xdr:spPr>
            <a:xfrm>
              <a:off x="6988968" y="20740688"/>
              <a:ext cx="1691682" cy="1842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</m:t>
                    </m:r>
                    <m:r>
                      <a:rPr lang="es-CO" sz="1100" b="0" i="0">
                        <a:latin typeface="Cambria Math" panose="02040503050406030204" pitchFamily="18" charset="0"/>
                        <a:ea typeface="+mn-ea"/>
                      </a:rPr>
                      <m:t>−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+mn-ea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+mn-ea"/>
                          </a:rPr>
                          <m:t>N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+mn-ea"/>
                          </a:rPr>
                          <m:t>−1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a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w</m:t>
                    </m:r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553A066D-05DF-4131-BC68-234D26535883}"/>
                </a:ext>
              </a:extLst>
            </xdr:cNvPr>
            <xdr:cNvSpPr txBox="1"/>
          </xdr:nvSpPr>
          <xdr:spPr>
            <a:xfrm>
              <a:off x="6988968" y="20740688"/>
              <a:ext cx="1691682" cy="1842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  L_p  a</a:t>
              </a:r>
              <a:r>
                <a:rPr lang="es-CO" sz="1100" b="0" i="0">
                  <a:latin typeface="Cambria Math" panose="02040503050406030204" pitchFamily="18" charset="0"/>
                  <a:ea typeface="+mn-ea"/>
                </a:rPr>
                <a:t>−</a:t>
              </a:r>
              <a:r>
                <a:rPr lang="es-MX" sz="1100" b="0" i="0">
                  <a:latin typeface="Cambria Math" panose="02040503050406030204" pitchFamily="18" charset="0"/>
                  <a:ea typeface="+mn-ea"/>
                </a:rPr>
                <a:t>(N−1)  l a w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23811</xdr:colOff>
      <xdr:row>85</xdr:row>
      <xdr:rowOff>71437</xdr:rowOff>
    </xdr:from>
    <xdr:ext cx="904875" cy="3455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F6B02C-FA16-465C-B1A2-5D8FB50D6107}"/>
                </a:ext>
              </a:extLst>
            </xdr:cNvPr>
            <xdr:cNvSpPr txBox="1"/>
          </xdr:nvSpPr>
          <xdr:spPr>
            <a:xfrm>
              <a:off x="6881811" y="21026437"/>
              <a:ext cx="904875" cy="3455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F6B02C-FA16-465C-B1A2-5D8FB50D6107}"/>
                </a:ext>
              </a:extLst>
            </xdr:cNvPr>
            <xdr:cNvSpPr txBox="1"/>
          </xdr:nvSpPr>
          <xdr:spPr>
            <a:xfrm>
              <a:off x="6881811" y="19216687"/>
              <a:ext cx="904875" cy="3455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und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202405</xdr:colOff>
      <xdr:row>73</xdr:row>
      <xdr:rowOff>59532</xdr:rowOff>
    </xdr:from>
    <xdr:ext cx="504625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10C35645-C5CD-493D-9440-0873AA39ECFB}"/>
                </a:ext>
              </a:extLst>
            </xdr:cNvPr>
            <xdr:cNvSpPr txBox="1"/>
          </xdr:nvSpPr>
          <xdr:spPr>
            <a:xfrm>
              <a:off x="7060405" y="17954626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10C35645-C5CD-493D-9440-0873AA39ECFB}"/>
                </a:ext>
              </a:extLst>
            </xdr:cNvPr>
            <xdr:cNvSpPr txBox="1"/>
          </xdr:nvSpPr>
          <xdr:spPr>
            <a:xfrm>
              <a:off x="7060405" y="17954626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202407</xdr:colOff>
      <xdr:row>75</xdr:row>
      <xdr:rowOff>83344</xdr:rowOff>
    </xdr:from>
    <xdr:ext cx="504625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525C74A6-6607-4352-8C2E-2E123E024084}"/>
                </a:ext>
              </a:extLst>
            </xdr:cNvPr>
            <xdr:cNvSpPr txBox="1"/>
          </xdr:nvSpPr>
          <xdr:spPr>
            <a:xfrm>
              <a:off x="7060407" y="23979188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525C74A6-6607-4352-8C2E-2E123E024084}"/>
                </a:ext>
              </a:extLst>
            </xdr:cNvPr>
            <xdr:cNvSpPr txBox="1"/>
          </xdr:nvSpPr>
          <xdr:spPr>
            <a:xfrm>
              <a:off x="7060407" y="23979188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726280</xdr:colOff>
      <xdr:row>81</xdr:row>
      <xdr:rowOff>59531</xdr:rowOff>
    </xdr:from>
    <xdr:ext cx="1381125" cy="3466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1616C7B9-6DB8-434F-AB5C-8E1CE2CB6A73}"/>
                </a:ext>
              </a:extLst>
            </xdr:cNvPr>
            <xdr:cNvSpPr txBox="1"/>
          </xdr:nvSpPr>
          <xdr:spPr>
            <a:xfrm>
              <a:off x="6655593" y="19954875"/>
              <a:ext cx="1381125" cy="3466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den>
                    </m:f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432</m:t>
                        </m:r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1616C7B9-6DB8-434F-AB5C-8E1CE2CB6A73}"/>
                </a:ext>
              </a:extLst>
            </xdr:cNvPr>
            <xdr:cNvSpPr txBox="1"/>
          </xdr:nvSpPr>
          <xdr:spPr>
            <a:xfrm>
              <a:off x="6655593" y="19954875"/>
              <a:ext cx="1381125" cy="3466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a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432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  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93</xdr:row>
      <xdr:rowOff>59530</xdr:rowOff>
    </xdr:from>
    <xdr:ext cx="639406" cy="3391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7C55B18C-31F8-4E73-A234-11CEA82F0E14}"/>
                </a:ext>
              </a:extLst>
            </xdr:cNvPr>
            <xdr:cNvSpPr txBox="1"/>
          </xdr:nvSpPr>
          <xdr:spPr>
            <a:xfrm>
              <a:off x="6965156" y="23014780"/>
              <a:ext cx="639406" cy="3391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A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 :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p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7C55B18C-31F8-4E73-A234-11CEA82F0E14}"/>
                </a:ext>
              </a:extLst>
            </xdr:cNvPr>
            <xdr:cNvSpPr txBox="1"/>
          </xdr:nvSpPr>
          <xdr:spPr>
            <a:xfrm>
              <a:off x="6965156" y="23205280"/>
              <a:ext cx="639406" cy="3391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 :L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L_p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59531</xdr:colOff>
      <xdr:row>95</xdr:row>
      <xdr:rowOff>95250</xdr:rowOff>
    </xdr:from>
    <xdr:ext cx="1209675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9AE8CAC6-F10D-4834-8CF6-220F664BF223}"/>
                </a:ext>
              </a:extLst>
            </xdr:cNvPr>
            <xdr:cNvSpPr txBox="1"/>
          </xdr:nvSpPr>
          <xdr:spPr>
            <a:xfrm>
              <a:off x="6917531" y="23550563"/>
              <a:ext cx="1209675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a</m:t>
                            </m:r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b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e>
                    </m:d>
                    <m:func>
                      <m:func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tan</m:t>
                        </m:r>
                      </m:fName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α</m:t>
                        </m:r>
                      </m:e>
                    </m:func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9AE8CAC6-F10D-4834-8CF6-220F664BF223}"/>
                </a:ext>
              </a:extLst>
            </xdr:cNvPr>
            <xdr:cNvSpPr txBox="1"/>
          </xdr:nvSpPr>
          <xdr:spPr>
            <a:xfrm>
              <a:off x="6917531" y="23550563"/>
              <a:ext cx="1209675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a−b_t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tan⁡α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99</xdr:row>
      <xdr:rowOff>59531</xdr:rowOff>
    </xdr:from>
    <xdr:ext cx="887935" cy="3571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88C69A79-826C-4265-ABA1-C853676591DE}"/>
                </a:ext>
              </a:extLst>
            </xdr:cNvPr>
            <xdr:cNvSpPr txBox="1"/>
          </xdr:nvSpPr>
          <xdr:spPr>
            <a:xfrm>
              <a:off x="6965156" y="24514969"/>
              <a:ext cx="887935" cy="3571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=2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88C69A79-826C-4265-ABA1-C853676591DE}"/>
                </a:ext>
              </a:extLst>
            </xdr:cNvPr>
            <xdr:cNvSpPr txBox="1"/>
          </xdr:nvSpPr>
          <xdr:spPr>
            <a:xfrm>
              <a:off x="6965156" y="24514969"/>
              <a:ext cx="887935" cy="3571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=2e_c+L_p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95251</xdr:colOff>
      <xdr:row>100</xdr:row>
      <xdr:rowOff>35718</xdr:rowOff>
    </xdr:from>
    <xdr:ext cx="1333500" cy="2500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291449C6-FF32-4E4A-BC65-7ABBB3DA3506}"/>
                </a:ext>
              </a:extLst>
            </xdr:cNvPr>
            <xdr:cNvSpPr txBox="1"/>
          </xdr:nvSpPr>
          <xdr:spPr>
            <a:xfrm>
              <a:off x="6953251" y="24741187"/>
              <a:ext cx="1333500" cy="250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c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291449C6-FF32-4E4A-BC65-7ABBB3DA3506}"/>
                </a:ext>
              </a:extLst>
            </xdr:cNvPr>
            <xdr:cNvSpPr txBox="1"/>
          </xdr:nvSpPr>
          <xdr:spPr>
            <a:xfrm>
              <a:off x="6953251" y="24741187"/>
              <a:ext cx="1333500" cy="250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=m (a+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e_c 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+e_c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702469</xdr:colOff>
      <xdr:row>101</xdr:row>
      <xdr:rowOff>23813</xdr:rowOff>
    </xdr:from>
    <xdr:ext cx="2066207" cy="2976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F1B42D2C-7459-4AC5-84FE-2E15B5132805}"/>
                </a:ext>
              </a:extLst>
            </xdr:cNvPr>
            <xdr:cNvSpPr txBox="1"/>
          </xdr:nvSpPr>
          <xdr:spPr>
            <a:xfrm>
              <a:off x="6631782" y="24979313"/>
              <a:ext cx="2066207" cy="297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bl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F1B42D2C-7459-4AC5-84FE-2E15B5132805}"/>
                </a:ext>
              </a:extLst>
            </xdr:cNvPr>
            <xdr:cNvSpPr txBox="1"/>
          </xdr:nvSpPr>
          <xdr:spPr>
            <a:xfrm>
              <a:off x="6631782" y="24979313"/>
              <a:ext cx="2066207" cy="297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=e_c+h_t+h_s+bl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844549</xdr:colOff>
      <xdr:row>97</xdr:row>
      <xdr:rowOff>61384</xdr:rowOff>
    </xdr:from>
    <xdr:ext cx="173778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F35DFE00-1466-48C8-BEFC-DE918941CDFB}"/>
                </a:ext>
              </a:extLst>
            </xdr:cNvPr>
            <xdr:cNvSpPr txBox="1"/>
          </xdr:nvSpPr>
          <xdr:spPr>
            <a:xfrm>
              <a:off x="6773862" y="24016759"/>
              <a:ext cx="173778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</m:sub>
                        </m:s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b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F35DFE00-1466-48C8-BEFC-DE918941CDFB}"/>
                </a:ext>
              </a:extLst>
            </xdr:cNvPr>
            <xdr:cNvSpPr txBox="1"/>
          </xdr:nvSpPr>
          <xdr:spPr>
            <a:xfrm>
              <a:off x="6728882" y="23598717"/>
              <a:ext cx="173778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t+(a−b_t)/2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119</xdr:row>
      <xdr:rowOff>47625</xdr:rowOff>
    </xdr:from>
    <xdr:ext cx="1627946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EF459797-5D93-426C-AA61-9F08B3602FE6}"/>
                </a:ext>
              </a:extLst>
            </xdr:cNvPr>
            <xdr:cNvSpPr txBox="1"/>
          </xdr:nvSpPr>
          <xdr:spPr>
            <a:xfrm>
              <a:off x="6965156" y="29551313"/>
              <a:ext cx="1627946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0">
                        <a:latin typeface="Cambria Math" panose="02040503050406030204" pitchFamily="18" charset="0"/>
                      </a:rPr>
                      <m:t>0,40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o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m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&lt;0,45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EF459797-5D93-426C-AA61-9F08B3602FE6}"/>
                </a:ext>
              </a:extLst>
            </xdr:cNvPr>
            <xdr:cNvSpPr txBox="1"/>
          </xdr:nvSpPr>
          <xdr:spPr>
            <a:xfrm>
              <a:off x="6965156" y="29551313"/>
              <a:ext cx="1627946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0,40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D_o/D_m 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2∙n_o  &lt;0,45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916781</xdr:colOff>
      <xdr:row>107</xdr:row>
      <xdr:rowOff>47625</xdr:rowOff>
    </xdr:from>
    <xdr:ext cx="952500" cy="178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6AE87FEA-E14D-4AB7-AD3E-D85D35399188}"/>
                </a:ext>
              </a:extLst>
            </xdr:cNvPr>
            <xdr:cNvSpPr txBox="1"/>
          </xdr:nvSpPr>
          <xdr:spPr>
            <a:xfrm>
              <a:off x="6846094" y="26503313"/>
              <a:ext cx="952500" cy="178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6AE87FEA-E14D-4AB7-AD3E-D85D35399188}"/>
                </a:ext>
              </a:extLst>
            </xdr:cNvPr>
            <xdr:cNvSpPr txBox="1"/>
          </xdr:nvSpPr>
          <xdr:spPr>
            <a:xfrm>
              <a:off x="6846094" y="26503313"/>
              <a:ext cx="952500" cy="178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T_o=h_t+h_s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869155</xdr:colOff>
      <xdr:row>117</xdr:row>
      <xdr:rowOff>107156</xdr:rowOff>
    </xdr:from>
    <xdr:ext cx="1559719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2E362EA1-1F55-4CDF-ACBA-FE591A2D93BE}"/>
                </a:ext>
              </a:extLst>
            </xdr:cNvPr>
            <xdr:cNvSpPr txBox="1"/>
          </xdr:nvSpPr>
          <xdr:spPr>
            <a:xfrm>
              <a:off x="6798468" y="29063156"/>
              <a:ext cx="1559719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;  </m:t>
                    </m:r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≥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2E362EA1-1F55-4CDF-ACBA-FE591A2D93BE}"/>
                </a:ext>
              </a:extLst>
            </xdr:cNvPr>
            <xdr:cNvSpPr txBox="1"/>
          </xdr:nvSpPr>
          <xdr:spPr>
            <a:xfrm>
              <a:off x="6798468" y="29063156"/>
              <a:ext cx="1559719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=L_m/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X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o   ;  X_o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≥L_m/n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 </a:t>
              </a:r>
              <a:endParaRPr lang="es-CO" sz="1100" i="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19050</xdr:rowOff>
    </xdr:from>
    <xdr:to>
      <xdr:col>4</xdr:col>
      <xdr:colOff>741800</xdr:colOff>
      <xdr:row>4</xdr:row>
      <xdr:rowOff>29368</xdr:rowOff>
    </xdr:to>
    <xdr:pic>
      <xdr:nvPicPr>
        <xdr:cNvPr id="30" name="Imagen 29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209550"/>
          <a:ext cx="741800" cy="746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27</xdr:col>
      <xdr:colOff>0</xdr:colOff>
      <xdr:row>405</xdr:row>
      <xdr:rowOff>28574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32985075" y="999172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D</m:t>
                                </m:r>
                                <m: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f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g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32985075" y="999172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C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 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f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)/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d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g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9525</xdr:colOff>
      <xdr:row>96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4105275" y="2159211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" name="CuadroTexto 9"/>
            <xdr:cNvSpPr txBox="1"/>
          </xdr:nvSpPr>
          <xdr:spPr>
            <a:xfrm>
              <a:off x="4105275" y="2159211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11</xdr:col>
      <xdr:colOff>338667</xdr:colOff>
      <xdr:row>94</xdr:row>
      <xdr:rowOff>224366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SpPr txBox="1"/>
          </xdr:nvSpPr>
          <xdr:spPr>
            <a:xfrm>
              <a:off x="8255000" y="21158199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4" name="CuadroTexto 13"/>
            <xdr:cNvSpPr txBox="1"/>
          </xdr:nvSpPr>
          <xdr:spPr>
            <a:xfrm>
              <a:off x="8255000" y="21158199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10</xdr:col>
      <xdr:colOff>395817</xdr:colOff>
      <xdr:row>107</xdr:row>
      <xdr:rowOff>153458</xdr:rowOff>
    </xdr:from>
    <xdr:ext cx="45025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400-00000F000000}"/>
                </a:ext>
              </a:extLst>
            </xdr:cNvPr>
            <xdr:cNvSpPr txBox="1"/>
          </xdr:nvSpPr>
          <xdr:spPr>
            <a:xfrm>
              <a:off x="7391400" y="24251708"/>
              <a:ext cx="45025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f>
                          <m:f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p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g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7391400" y="24251708"/>
              <a:ext cx="45025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p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g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12</xdr:col>
      <xdr:colOff>111655</xdr:colOff>
      <xdr:row>95</xdr:row>
      <xdr:rowOff>243417</xdr:rowOff>
    </xdr:from>
    <xdr:ext cx="162307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400-000010000000}"/>
                </a:ext>
              </a:extLst>
            </xdr:cNvPr>
            <xdr:cNvSpPr txBox="1"/>
          </xdr:nvSpPr>
          <xdr:spPr>
            <a:xfrm>
              <a:off x="8938155" y="21650855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8938155" y="21650855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𝐯〗_𝐚^𝟐)/𝐠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148167</xdr:colOff>
      <xdr:row>95</xdr:row>
      <xdr:rowOff>196850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400-000012000000}"/>
                </a:ext>
              </a:extLst>
            </xdr:cNvPr>
            <xdr:cNvSpPr txBox="1"/>
          </xdr:nvSpPr>
          <xdr:spPr>
            <a:xfrm>
              <a:off x="6223000" y="21374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8" name="CuadroTexto 17"/>
            <xdr:cNvSpPr txBox="1"/>
          </xdr:nvSpPr>
          <xdr:spPr>
            <a:xfrm>
              <a:off x="6223000" y="21374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twoCellAnchor editAs="oneCell">
    <xdr:from>
      <xdr:col>0</xdr:col>
      <xdr:colOff>0</xdr:colOff>
      <xdr:row>4</xdr:row>
      <xdr:rowOff>104775</xdr:rowOff>
    </xdr:from>
    <xdr:to>
      <xdr:col>0</xdr:col>
      <xdr:colOff>304800</xdr:colOff>
      <xdr:row>5</xdr:row>
      <xdr:rowOff>164307</xdr:rowOff>
    </xdr:to>
    <xdr:sp macro="" textlink="">
      <xdr:nvSpPr>
        <xdr:cNvPr id="26" name="AutoShape 1" descr="Inicio de Sesion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3552825" y="86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9</xdr:col>
      <xdr:colOff>352425</xdr:colOff>
      <xdr:row>229</xdr:row>
      <xdr:rowOff>0</xdr:rowOff>
    </xdr:from>
    <xdr:ext cx="65" cy="172227"/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6553200" y="12192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228601</xdr:colOff>
      <xdr:row>52</xdr:row>
      <xdr:rowOff>85725</xdr:rowOff>
    </xdr:from>
    <xdr:ext cx="256222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 txBox="1"/>
          </xdr:nvSpPr>
          <xdr:spPr>
            <a:xfrm>
              <a:off x="3431382" y="283749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</m:func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×</m:t>
                        </m:r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d>
                              <m:d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</m:func>
                      </m:e>
                    </m:func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4" name="CuadroTexto 33"/>
            <xdr:cNvSpPr txBox="1"/>
          </xdr:nvSpPr>
          <xdr:spPr>
            <a:xfrm>
              <a:off x="3431382" y="283749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log⁡〖</a:t>
              </a:r>
              <a:r>
                <a:rPr lang="es-MX" sz="1100" b="0" i="0">
                  <a:latin typeface="Cambria Math" panose="02040503050406030204" pitchFamily="18" charset="0"/>
                </a:rPr>
                <a:t>(d_10)</a:t>
              </a:r>
              <a:r>
                <a:rPr lang="es-CO" sz="1100" b="0" i="0">
                  <a:latin typeface="Cambria Math" panose="02040503050406030204" pitchFamily="18" charset="0"/>
                </a:rPr>
                <a:t>〗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=log⁡〖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1+(𝑦−𝑦_1)/(𝑦_2−𝑦_1 )  ×log⁡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(𝑥_2/𝑥_1 )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352425</xdr:colOff>
      <xdr:row>62</xdr:row>
      <xdr:rowOff>38100</xdr:rowOff>
    </xdr:from>
    <xdr:ext cx="65" cy="172227"/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6460331" y="3068478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9</xdr:col>
      <xdr:colOff>95250</xdr:colOff>
      <xdr:row>54</xdr:row>
      <xdr:rowOff>0</xdr:rowOff>
    </xdr:from>
    <xdr:ext cx="820033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00000000-0008-0000-0400-000028000000}"/>
                </a:ext>
              </a:extLst>
            </xdr:cNvPr>
            <xdr:cNvSpPr txBox="1"/>
          </xdr:nvSpPr>
          <xdr:spPr>
            <a:xfrm>
              <a:off x="6203156" y="28932188"/>
              <a:ext cx="820033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0" name="CuadroTexto 39"/>
            <xdr:cNvSpPr txBox="1"/>
          </xdr:nvSpPr>
          <xdr:spPr>
            <a:xfrm>
              <a:off x="6203156" y="28932188"/>
              <a:ext cx="820033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d_10=〖10〗^log⁡𝑥 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6</xdr:col>
      <xdr:colOff>228601</xdr:colOff>
      <xdr:row>59</xdr:row>
      <xdr:rowOff>85725</xdr:rowOff>
    </xdr:from>
    <xdr:ext cx="256222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00000000-0008-0000-0400-000029000000}"/>
                </a:ext>
              </a:extLst>
            </xdr:cNvPr>
            <xdr:cNvSpPr txBox="1"/>
          </xdr:nvSpPr>
          <xdr:spPr>
            <a:xfrm>
              <a:off x="3431382" y="300894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60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</m:func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×</m:t>
                        </m:r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d>
                              <m:d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</m:func>
                      </m:e>
                    </m:func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1" name="CuadroTexto 40"/>
            <xdr:cNvSpPr txBox="1"/>
          </xdr:nvSpPr>
          <xdr:spPr>
            <a:xfrm>
              <a:off x="3431382" y="300894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log⁡〖</a:t>
              </a:r>
              <a:r>
                <a:rPr lang="es-MX" sz="1100" b="0" i="0">
                  <a:latin typeface="Cambria Math" panose="02040503050406030204" pitchFamily="18" charset="0"/>
                </a:rPr>
                <a:t>(d_60)</a:t>
              </a:r>
              <a:r>
                <a:rPr lang="es-CO" sz="1100" b="0" i="0">
                  <a:latin typeface="Cambria Math" panose="02040503050406030204" pitchFamily="18" charset="0"/>
                </a:rPr>
                <a:t>〗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=log⁡〖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1+(𝑦−𝑦_1)/(𝑦_2−𝑦_1 )  ×log⁡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(𝑥_2/𝑥_1 )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95250</xdr:colOff>
      <xdr:row>61</xdr:row>
      <xdr:rowOff>0</xdr:rowOff>
    </xdr:from>
    <xdr:ext cx="819776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00000000-0008-0000-0400-00002A000000}"/>
                </a:ext>
              </a:extLst>
            </xdr:cNvPr>
            <xdr:cNvSpPr txBox="1"/>
          </xdr:nvSpPr>
          <xdr:spPr>
            <a:xfrm>
              <a:off x="6203156" y="30432375"/>
              <a:ext cx="819776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60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2" name="CuadroTexto 41"/>
            <xdr:cNvSpPr txBox="1"/>
          </xdr:nvSpPr>
          <xdr:spPr>
            <a:xfrm>
              <a:off x="6203156" y="30432375"/>
              <a:ext cx="819776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d_60=〖10〗^log⁡𝑥 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5</xdr:col>
      <xdr:colOff>542925</xdr:colOff>
      <xdr:row>67</xdr:row>
      <xdr:rowOff>11903</xdr:rowOff>
    </xdr:from>
    <xdr:ext cx="589584" cy="3930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00000000-0008-0000-0400-00002B000000}"/>
                </a:ext>
              </a:extLst>
            </xdr:cNvPr>
            <xdr:cNvSpPr txBox="1"/>
          </xdr:nvSpPr>
          <xdr:spPr>
            <a:xfrm>
              <a:off x="2769394" y="31730153"/>
              <a:ext cx="589584" cy="3930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CU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60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3" name="CuadroTexto 42"/>
            <xdr:cNvSpPr txBox="1"/>
          </xdr:nvSpPr>
          <xdr:spPr>
            <a:xfrm>
              <a:off x="2769394" y="31730153"/>
              <a:ext cx="589584" cy="3930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CU=d_60/d_10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124883</xdr:colOff>
      <xdr:row>221</xdr:row>
      <xdr:rowOff>52121</xdr:rowOff>
    </xdr:from>
    <xdr:ext cx="139076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7161477" y="40414309"/>
              <a:ext cx="13907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7161477" y="40414309"/>
              <a:ext cx="13907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1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L(1−e)  (S_s−1)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717549</xdr:colOff>
      <xdr:row>157</xdr:row>
      <xdr:rowOff>42332</xdr:rowOff>
    </xdr:from>
    <xdr:ext cx="1134534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6834716" y="25653999"/>
              <a:ext cx="1134534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6834716" y="25653999"/>
              <a:ext cx="1134534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A_T=Q/v_f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63500</xdr:colOff>
      <xdr:row>159</xdr:row>
      <xdr:rowOff>42334</xdr:rowOff>
    </xdr:from>
    <xdr:ext cx="793750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00000000-0008-0000-0400-00002C000000}"/>
                </a:ext>
              </a:extLst>
            </xdr:cNvPr>
            <xdr:cNvSpPr txBox="1"/>
          </xdr:nvSpPr>
          <xdr:spPr>
            <a:xfrm>
              <a:off x="7101417" y="26077334"/>
              <a:ext cx="79375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4" name="CuadroTexto 43"/>
            <xdr:cNvSpPr txBox="1"/>
          </xdr:nvSpPr>
          <xdr:spPr>
            <a:xfrm>
              <a:off x="7101417" y="26077334"/>
              <a:ext cx="79375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A_t=Q/v_(f max)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135467</xdr:colOff>
      <xdr:row>161</xdr:row>
      <xdr:rowOff>29633</xdr:rowOff>
    </xdr:from>
    <xdr:ext cx="83676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7131050" y="26487966"/>
              <a:ext cx="8367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7131050" y="26487966"/>
              <a:ext cx="8367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T−A_t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29633</xdr:colOff>
      <xdr:row>162</xdr:row>
      <xdr:rowOff>50799</xdr:rowOff>
    </xdr:from>
    <xdr:ext cx="954617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0000000-0008-0000-0400-000017000000}"/>
                </a:ext>
              </a:extLst>
            </xdr:cNvPr>
            <xdr:cNvSpPr txBox="1"/>
          </xdr:nvSpPr>
          <xdr:spPr>
            <a:xfrm>
              <a:off x="7025216" y="26752549"/>
              <a:ext cx="954617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min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3" name="CuadroTexto 22"/>
            <xdr:cNvSpPr txBox="1"/>
          </xdr:nvSpPr>
          <xdr:spPr>
            <a:xfrm>
              <a:off x="7025216" y="26752549"/>
              <a:ext cx="954617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N_(f min)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=A_T/A_x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146049</xdr:colOff>
      <xdr:row>167</xdr:row>
      <xdr:rowOff>19050</xdr:rowOff>
    </xdr:from>
    <xdr:ext cx="571310" cy="204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400-00001F000000}"/>
                </a:ext>
              </a:extLst>
            </xdr:cNvPr>
            <xdr:cNvSpPr txBox="1"/>
          </xdr:nvSpPr>
          <xdr:spPr>
            <a:xfrm>
              <a:off x="7183966" y="27144133"/>
              <a:ext cx="571310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e>
                    </m:ra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1" name="CuadroTexto 30"/>
            <xdr:cNvSpPr txBox="1"/>
          </xdr:nvSpPr>
          <xdr:spPr>
            <a:xfrm>
              <a:off x="7183966" y="27144133"/>
              <a:ext cx="571310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=√(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858276</xdr:colOff>
      <xdr:row>181</xdr:row>
      <xdr:rowOff>50994</xdr:rowOff>
    </xdr:from>
    <xdr:ext cx="1575890" cy="3809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SpPr txBox="1"/>
          </xdr:nvSpPr>
          <xdr:spPr>
            <a:xfrm>
              <a:off x="6928299" y="35960244"/>
              <a:ext cx="1575890" cy="380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ori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ori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lat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5" name="CuadroTexto 24"/>
            <xdr:cNvSpPr txBox="1"/>
          </xdr:nvSpPr>
          <xdr:spPr>
            <a:xfrm>
              <a:off x="6928299" y="35960244"/>
              <a:ext cx="1575890" cy="380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ori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ori/lat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106362</xdr:colOff>
      <xdr:row>177</xdr:row>
      <xdr:rowOff>37571</xdr:rowOff>
    </xdr:from>
    <xdr:ext cx="848181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400-000021000000}"/>
                </a:ext>
              </a:extLst>
            </xdr:cNvPr>
            <xdr:cNvSpPr txBox="1"/>
          </xdr:nvSpPr>
          <xdr:spPr>
            <a:xfrm>
              <a:off x="7142956" y="29969884"/>
              <a:ext cx="84818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2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3" name="CuadroTexto 32"/>
            <xdr:cNvSpPr txBox="1"/>
          </xdr:nvSpPr>
          <xdr:spPr>
            <a:xfrm>
              <a:off x="7142956" y="29969884"/>
              <a:ext cx="84818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2∙L_f/X_lat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38101</xdr:colOff>
      <xdr:row>174</xdr:row>
      <xdr:rowOff>38101</xdr:rowOff>
    </xdr:from>
    <xdr:ext cx="3143250" cy="171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00000000-0008-0000-0400-000035000000}"/>
                </a:ext>
              </a:extLst>
            </xdr:cNvPr>
            <xdr:cNvSpPr txBox="1"/>
          </xdr:nvSpPr>
          <xdr:spPr>
            <a:xfrm>
              <a:off x="7067551" y="31089601"/>
              <a:ext cx="3143250" cy="171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 </m:t>
                    </m:r>
                    <m:f>
                      <m:fPr>
                        <m:type m:val="li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f>
                      <m:fPr>
                        <m:type m:val="li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mul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−0,05;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mul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3" name="CuadroTexto 52"/>
            <xdr:cNvSpPr txBox="1"/>
          </xdr:nvSpPr>
          <xdr:spPr>
            <a:xfrm>
              <a:off x="7067551" y="31089601"/>
              <a:ext cx="3143250" cy="171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L_lat=  L_f∕2−B_mul∕2−0,05;  L_f  [m]  ; 〖 B〗_mul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781050</xdr:colOff>
      <xdr:row>193</xdr:row>
      <xdr:rowOff>29826</xdr:rowOff>
    </xdr:from>
    <xdr:ext cx="14520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00000000-0008-0000-0400-00003C000000}"/>
                </a:ext>
              </a:extLst>
            </xdr:cNvPr>
            <xdr:cNvSpPr txBox="1"/>
          </xdr:nvSpPr>
          <xdr:spPr>
            <a:xfrm>
              <a:off x="6886575" y="28395276"/>
              <a:ext cx="1452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60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CU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0" name="CuadroTexto 59"/>
            <xdr:cNvSpPr txBox="1"/>
          </xdr:nvSpPr>
          <xdr:spPr>
            <a:xfrm>
              <a:off x="6886575" y="28395276"/>
              <a:ext cx="1452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60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10∙CU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157595</xdr:colOff>
      <xdr:row>194</xdr:row>
      <xdr:rowOff>17318</xdr:rowOff>
    </xdr:from>
    <xdr:ext cx="1643495" cy="1905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00000000-0008-0000-0400-00003D000000}"/>
                </a:ext>
              </a:extLst>
            </xdr:cNvPr>
            <xdr:cNvSpPr txBox="1"/>
          </xdr:nvSpPr>
          <xdr:spPr>
            <a:xfrm>
              <a:off x="7187045" y="28630418"/>
              <a:ext cx="1643495" cy="1905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s</m:t>
                      </m:r>
                      <m:r>
                        <a:rPr lang="es-MX" sz="1100" b="0" i="0">
                          <a:latin typeface="Cambria Math" panose="02040503050406030204" pitchFamily="18" charset="0"/>
                        </a:rPr>
                        <m:t>20</m:t>
                      </m:r>
                    </m:sub>
                  </m:sSub>
                  <m:r>
                    <a:rPr lang="es-CO" sz="110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s-MX" sz="1100" b="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10</m:t>
                  </m:r>
                  <m:r>
                    <a:rPr lang="es-MX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b>
                    <m:sSubPr>
                      <m:ctrlPr>
                        <a:rPr lang="es-MX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D</m:t>
                      </m:r>
                    </m:e>
                    <m:sub>
                      <m: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60</m:t>
                      </m:r>
                    </m:sub>
                  </m:sSub>
                </m:oMath>
              </a14:m>
              <a:r>
                <a:rPr lang="es-CO" sz="1100" i="0"/>
                <a:t> ; </a:t>
              </a:r>
              <a14:m>
                <m:oMath xmlns:m="http://schemas.openxmlformats.org/officeDocument/2006/math">
                  <m:sSub>
                    <m:sSubPr>
                      <m:ctrlPr>
                        <a:rPr lang="es-MX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 </m:t>
                      </m:r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D</m:t>
                      </m:r>
                    </m:e>
                    <m:sub>
                      <m: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60</m:t>
                      </m:r>
                    </m:sub>
                  </m:sSub>
                  <m:d>
                    <m:dPr>
                      <m:begChr m:val="["/>
                      <m:endChr m:val="]"/>
                      <m:ctrlPr>
                        <a:rPr lang="es-MX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mm</m:t>
                      </m:r>
                    </m:e>
                  </m:d>
                </m:oMath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1" name="CuadroTexto 60"/>
            <xdr:cNvSpPr txBox="1"/>
          </xdr:nvSpPr>
          <xdr:spPr>
            <a:xfrm>
              <a:off x="7187045" y="28630418"/>
              <a:ext cx="1643495" cy="1905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s20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10∙D_60</a:t>
              </a:r>
              <a:r>
                <a:rPr lang="es-CO" sz="1100" i="0"/>
                <a:t> ;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  D〗_60 [mm]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114301</xdr:colOff>
      <xdr:row>195</xdr:row>
      <xdr:rowOff>39831</xdr:rowOff>
    </xdr:from>
    <xdr:ext cx="1547860" cy="1821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00000000-0008-0000-0400-00003E000000}"/>
                </a:ext>
              </a:extLst>
            </xdr:cNvPr>
            <xdr:cNvSpPr txBox="1"/>
          </xdr:nvSpPr>
          <xdr:spPr>
            <a:xfrm>
              <a:off x="7105651" y="36730131"/>
              <a:ext cx="1547860" cy="182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20</m:t>
                        </m:r>
                      </m:sub>
                    </m:sSub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μ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−1/3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;  </m:t>
                    </m:r>
                    <m:r>
                      <m:rPr>
                        <m:sty m:val="p"/>
                      </m:rPr>
                      <a:rPr lang="el-GR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μ</m:t>
                    </m:r>
                    <m:d>
                      <m:dPr>
                        <m:begChr m:val="["/>
                        <m:endChr m:val="]"/>
                        <m:ctrl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cP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2" name="CuadroTexto 61"/>
            <xdr:cNvSpPr txBox="1"/>
          </xdr:nvSpPr>
          <xdr:spPr>
            <a:xfrm>
              <a:off x="7105651" y="36730131"/>
              <a:ext cx="1547860" cy="182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s20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〖∙μ〗^(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−1/3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;  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μ[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cP]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140278</xdr:colOff>
      <xdr:row>197</xdr:row>
      <xdr:rowOff>39831</xdr:rowOff>
    </xdr:from>
    <xdr:ext cx="164224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00000000-0008-0000-0400-00003F000000}"/>
                </a:ext>
              </a:extLst>
            </xdr:cNvPr>
            <xdr:cNvSpPr txBox="1"/>
          </xdr:nvSpPr>
          <xdr:spPr>
            <a:xfrm>
              <a:off x="7134349" y="48290760"/>
              <a:ext cx="16422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bT</m:t>
                      </m:r>
                    </m:sub>
                  </m:sSub>
                  <m:r>
                    <a:rPr lang="es-CO" sz="110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s-MX" sz="1100" b="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0,1</m:t>
                  </m:r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tT</m:t>
                      </m:r>
                    </m:sub>
                  </m:sSub>
                </m:oMath>
              </a14:m>
              <a:r>
                <a:rPr lang="es-CO" sz="1100" i="0"/>
                <a:t>     </a:t>
              </a:r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bT</m:t>
                      </m:r>
                    </m:sub>
                  </m:sSub>
                  <m:r>
                    <a:rPr lang="es-MX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&gt;</m:t>
                  </m:r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flT</m:t>
                      </m:r>
                    </m:sub>
                  </m:sSub>
                </m:oMath>
              </a14:m>
              <a:r>
                <a:rPr lang="es-CO" sz="1100" i="0"/>
                <a:t>   </a:t>
              </a:r>
            </a:p>
          </xdr:txBody>
        </xdr:sp>
      </mc:Choice>
      <mc:Fallback xmlns="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00000000-0008-0000-0400-00003F000000}"/>
                </a:ext>
              </a:extLst>
            </xdr:cNvPr>
            <xdr:cNvSpPr txBox="1"/>
          </xdr:nvSpPr>
          <xdr:spPr>
            <a:xfrm>
              <a:off x="7134349" y="48290760"/>
              <a:ext cx="16422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bT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0,1v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tT</a:t>
              </a:r>
              <a:r>
                <a:rPr lang="es-CO" sz="1100" i="0"/>
                <a:t>    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v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bT&gt;v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flT</a:t>
              </a:r>
              <a:r>
                <a:rPr lang="es-CO" sz="1100" i="0"/>
                <a:t>   </a:t>
              </a:r>
            </a:p>
          </xdr:txBody>
        </xdr:sp>
      </mc:Fallback>
    </mc:AlternateContent>
    <xdr:clientData/>
  </xdr:oneCellAnchor>
  <xdr:oneCellAnchor>
    <xdr:from>
      <xdr:col>10</xdr:col>
      <xdr:colOff>133350</xdr:colOff>
      <xdr:row>196</xdr:row>
      <xdr:rowOff>28575</xdr:rowOff>
    </xdr:from>
    <xdr:ext cx="894155" cy="2333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CuadroTexto 63">
              <a:extLst>
                <a:ext uri="{FF2B5EF4-FFF2-40B4-BE49-F238E27FC236}">
                  <a16:creationId xmlns:a16="http://schemas.microsoft.com/office/drawing/2014/main" id="{00000000-0008-0000-0400-000040000000}"/>
                </a:ext>
              </a:extLst>
            </xdr:cNvPr>
            <xdr:cNvSpPr txBox="1"/>
          </xdr:nvSpPr>
          <xdr:spPr>
            <a:xfrm>
              <a:off x="7127421" y="48034575"/>
              <a:ext cx="894155" cy="2333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flT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sT</m:t>
                        </m:r>
                      </m:sub>
                    </m:sSub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4,5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4" name="CuadroTexto 63">
              <a:extLst>
                <a:ext uri="{FF2B5EF4-FFF2-40B4-BE49-F238E27FC236}">
                  <a16:creationId xmlns:a16="http://schemas.microsoft.com/office/drawing/2014/main" id="{00000000-0008-0000-0400-000040000000}"/>
                </a:ext>
              </a:extLst>
            </xdr:cNvPr>
            <xdr:cNvSpPr txBox="1"/>
          </xdr:nvSpPr>
          <xdr:spPr>
            <a:xfrm>
              <a:off x="7127421" y="48034575"/>
              <a:ext cx="894155" cy="2333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flT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e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4,5 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42862</xdr:colOff>
      <xdr:row>213</xdr:row>
      <xdr:rowOff>31749</xdr:rowOff>
    </xdr:from>
    <xdr:ext cx="1375306" cy="2169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7038445" y="41232666"/>
              <a:ext cx="1375306" cy="216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lav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7038445" y="41232666"/>
              <a:ext cx="1375306" cy="216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788986</xdr:colOff>
      <xdr:row>214</xdr:row>
      <xdr:rowOff>55563</xdr:rowOff>
    </xdr:from>
    <xdr:ext cx="169942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6896892" y="38810407"/>
              <a:ext cx="16994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ciclo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6896892" y="38810407"/>
              <a:ext cx="16994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f∙t_ciclo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59531</xdr:colOff>
      <xdr:row>242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00000000-0008-0000-0400-000020000000}"/>
                </a:ext>
              </a:extLst>
            </xdr:cNvPr>
            <xdr:cNvSpPr txBox="1"/>
          </xdr:nvSpPr>
          <xdr:spPr>
            <a:xfrm>
              <a:off x="7096125" y="44488893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2" name="CuadroTexto 31"/>
            <xdr:cNvSpPr txBox="1"/>
          </xdr:nvSpPr>
          <xdr:spPr>
            <a:xfrm>
              <a:off x="7096125" y="44488893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78580</xdr:colOff>
      <xdr:row>247</xdr:row>
      <xdr:rowOff>66676</xdr:rowOff>
    </xdr:from>
    <xdr:ext cx="1195388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SpPr txBox="1"/>
          </xdr:nvSpPr>
          <xdr:spPr>
            <a:xfrm>
              <a:off x="7115174" y="45215176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7" name="CuadroTexto 36"/>
            <xdr:cNvSpPr txBox="1"/>
          </xdr:nvSpPr>
          <xdr:spPr>
            <a:xfrm>
              <a:off x="7115174" y="45215176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=(v_tlav∙D_tlav)/𝑣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105039</xdr:colOff>
      <xdr:row>250</xdr:row>
      <xdr:rowOff>31750</xdr:rowOff>
    </xdr:from>
    <xdr:ext cx="3429794" cy="370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00000000-0008-0000-0400-000027000000}"/>
                </a:ext>
              </a:extLst>
            </xdr:cNvPr>
            <xdr:cNvSpPr txBox="1"/>
          </xdr:nvSpPr>
          <xdr:spPr>
            <a:xfrm>
              <a:off x="7142956" y="45582417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Re</m:t>
                            </m:r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9" name="CuadroTexto 38"/>
            <xdr:cNvSpPr txBox="1"/>
          </xdr:nvSpPr>
          <xdr:spPr>
            <a:xfrm>
              <a:off x="7142956" y="45582417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D〗_tlav )+2,51/(Re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198965</xdr:colOff>
      <xdr:row>255</xdr:row>
      <xdr:rowOff>29633</xdr:rowOff>
    </xdr:from>
    <xdr:ext cx="1130438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00000000-0008-0000-0400-00002D000000}"/>
                </a:ext>
              </a:extLst>
            </xdr:cNvPr>
            <xdr:cNvSpPr txBox="1"/>
          </xdr:nvSpPr>
          <xdr:spPr>
            <a:xfrm>
              <a:off x="7236882" y="46638633"/>
              <a:ext cx="1130438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5" name="CuadroTexto 44"/>
            <xdr:cNvSpPr txBox="1"/>
          </xdr:nvSpPr>
          <xdr:spPr>
            <a:xfrm>
              <a:off x="7236882" y="46638633"/>
              <a:ext cx="1130438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4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L_tlav/D_tlav    〖v_tlav〗^2/2g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114300</xdr:colOff>
      <xdr:row>265</xdr:row>
      <xdr:rowOff>21167</xdr:rowOff>
    </xdr:from>
    <xdr:ext cx="3076548" cy="4291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SpPr txBox="1"/>
          </xdr:nvSpPr>
          <xdr:spPr>
            <a:xfrm>
              <a:off x="7152217" y="49032584"/>
              <a:ext cx="3076548" cy="429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Q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lav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0,2785 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C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D</m:t>
                                    </m:r>
                                  </m:e>
                                  <m:sup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2,63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0,54</m:t>
                            </m:r>
                          </m:den>
                        </m:f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tlav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0,3546 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C</m:t>
                                </m:r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 </m:t>
                                </m:r>
                                <m:sSup>
                                  <m:sSup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p>
                                    <m: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0,63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0,54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 i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SpPr txBox="1"/>
          </xdr:nvSpPr>
          <xdr:spPr>
            <a:xfrm>
              <a:off x="7152217" y="49032584"/>
              <a:ext cx="3076548" cy="429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S=[Q_lav/(0,2785 C D^2,63 )]^(1/0,54)   ; S=[v_tlav/(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0,3546 C D^0,63 )]^(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1/0,54)</a:t>
              </a:r>
              <a:endParaRPr lang="es-CO" sz="1100" i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114299</xdr:colOff>
      <xdr:row>267</xdr:row>
      <xdr:rowOff>19049</xdr:rowOff>
    </xdr:from>
    <xdr:ext cx="82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00000000-0008-0000-0400-00002F000000}"/>
                </a:ext>
              </a:extLst>
            </xdr:cNvPr>
            <xdr:cNvSpPr txBox="1"/>
          </xdr:nvSpPr>
          <xdr:spPr>
            <a:xfrm>
              <a:off x="7152216" y="49760716"/>
              <a:ext cx="82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tlav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7" name="CuadroTexto 46"/>
            <xdr:cNvSpPr txBox="1"/>
          </xdr:nvSpPr>
          <xdr:spPr>
            <a:xfrm>
              <a:off x="7152216" y="49760716"/>
              <a:ext cx="82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4=S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∙L_tlav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261937</xdr:colOff>
      <xdr:row>244</xdr:row>
      <xdr:rowOff>47625</xdr:rowOff>
    </xdr:from>
    <xdr:ext cx="399025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00000000-0008-0000-0400-000038000000}"/>
                </a:ext>
              </a:extLst>
            </xdr:cNvPr>
            <xdr:cNvSpPr txBox="1"/>
          </xdr:nvSpPr>
          <xdr:spPr>
            <a:xfrm>
              <a:off x="4357687" y="45374719"/>
              <a:ext cx="39902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6" name="CuadroTexto 55"/>
            <xdr:cNvSpPr txBox="1"/>
          </xdr:nvSpPr>
          <xdr:spPr>
            <a:xfrm>
              <a:off x="4357687" y="45374719"/>
              <a:ext cx="39902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〖v_tlav〗^2/2g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90488</xdr:colOff>
      <xdr:row>282</xdr:row>
      <xdr:rowOff>66674</xdr:rowOff>
    </xdr:from>
    <xdr:ext cx="1108765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7091363" y="54359174"/>
              <a:ext cx="1108765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5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7091363" y="54359174"/>
              <a:ext cx="1108765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〖v_tlav〗^2/2g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10</xdr:col>
      <xdr:colOff>145089</xdr:colOff>
      <xdr:row>226</xdr:row>
      <xdr:rowOff>47690</xdr:rowOff>
    </xdr:from>
    <xdr:ext cx="2157962" cy="3240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CuadroTexto 65">
              <a:extLst>
                <a:ext uri="{FF2B5EF4-FFF2-40B4-BE49-F238E27FC236}">
                  <a16:creationId xmlns:a16="http://schemas.microsoft.com/office/drawing/2014/main" id="{00000000-0008-0000-0400-000042000000}"/>
                </a:ext>
              </a:extLst>
            </xdr:cNvPr>
            <xdr:cNvSpPr txBox="1"/>
          </xdr:nvSpPr>
          <xdr:spPr>
            <a:xfrm>
              <a:off x="7145964" y="41517159"/>
              <a:ext cx="2157962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6" name="CuadroTexto 65"/>
            <xdr:cNvSpPr txBox="1"/>
          </xdr:nvSpPr>
          <xdr:spPr>
            <a:xfrm>
              <a:off x="7145964" y="41517159"/>
              <a:ext cx="2157962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2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42862</xdr:colOff>
      <xdr:row>233</xdr:row>
      <xdr:rowOff>42862</xdr:rowOff>
    </xdr:from>
    <xdr:ext cx="113585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00000000-0008-0000-0400-000034000000}"/>
                </a:ext>
              </a:extLst>
            </xdr:cNvPr>
            <xdr:cNvSpPr txBox="1"/>
          </xdr:nvSpPr>
          <xdr:spPr>
            <a:xfrm>
              <a:off x="7043737" y="44512706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b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2" name="CuadroTexto 51"/>
            <xdr:cNvSpPr txBox="1"/>
          </xdr:nvSpPr>
          <xdr:spPr>
            <a:xfrm>
              <a:off x="7043737" y="44512706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3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142875</xdr:colOff>
      <xdr:row>198</xdr:row>
      <xdr:rowOff>28575</xdr:rowOff>
    </xdr:from>
    <xdr:ext cx="86927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00000000-0008-0000-0400-000031000000}"/>
                </a:ext>
              </a:extLst>
            </xdr:cNvPr>
            <xdr:cNvSpPr txBox="1"/>
          </xdr:nvSpPr>
          <xdr:spPr>
            <a:xfrm>
              <a:off x="7134225" y="37461825"/>
              <a:ext cx="86927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bT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sT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0,22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9" name="CuadroTexto 48"/>
            <xdr:cNvSpPr txBox="1"/>
          </xdr:nvSpPr>
          <xdr:spPr>
            <a:xfrm>
              <a:off x="7134225" y="37461825"/>
              <a:ext cx="86927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e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e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0,22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85724</xdr:colOff>
      <xdr:row>201</xdr:row>
      <xdr:rowOff>85725</xdr:rowOff>
    </xdr:from>
    <xdr:ext cx="1000126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00000000-0008-0000-0400-000036000000}"/>
                </a:ext>
              </a:extLst>
            </xdr:cNvPr>
            <xdr:cNvSpPr txBox="1"/>
          </xdr:nvSpPr>
          <xdr:spPr>
            <a:xfrm>
              <a:off x="7077074" y="38261925"/>
              <a:ext cx="100012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L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4" name="CuadroTexto 53"/>
            <xdr:cNvSpPr txBox="1"/>
          </xdr:nvSpPr>
          <xdr:spPr>
            <a:xfrm>
              <a:off x="7077074" y="38261925"/>
              <a:ext cx="100012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e=L (1−e)/(1−e_e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180975</xdr:colOff>
      <xdr:row>203</xdr:row>
      <xdr:rowOff>66675</xdr:rowOff>
    </xdr:from>
    <xdr:ext cx="1345560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000000-0008-0000-0400-000037000000}"/>
                </a:ext>
              </a:extLst>
            </xdr:cNvPr>
            <xdr:cNvSpPr txBox="1"/>
          </xdr:nvSpPr>
          <xdr:spPr>
            <a:xfrm>
              <a:off x="7172325" y="38738175"/>
              <a:ext cx="1345560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5" name="CuadroTexto 54"/>
            <xdr:cNvSpPr txBox="1"/>
          </xdr:nvSpPr>
          <xdr:spPr>
            <a:xfrm>
              <a:off x="7172325" y="38738175"/>
              <a:ext cx="1345560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=(L_e−L)/L=(e_e−e)/(1−e_e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177799</xdr:colOff>
      <xdr:row>212</xdr:row>
      <xdr:rowOff>8466</xdr:rowOff>
    </xdr:from>
    <xdr:ext cx="84285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CuadroTexto 67">
              <a:extLst>
                <a:ext uri="{FF2B5EF4-FFF2-40B4-BE49-F238E27FC236}">
                  <a16:creationId xmlns:a16="http://schemas.microsoft.com/office/drawing/2014/main" id="{00000000-0008-0000-0400-000044000000}"/>
                </a:ext>
              </a:extLst>
            </xdr:cNvPr>
            <xdr:cNvSpPr txBox="1"/>
          </xdr:nvSpPr>
          <xdr:spPr>
            <a:xfrm>
              <a:off x="7173382" y="40965966"/>
              <a:ext cx="84285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8" name="CuadroTexto 67"/>
            <xdr:cNvSpPr txBox="1"/>
          </xdr:nvSpPr>
          <xdr:spPr>
            <a:xfrm>
              <a:off x="7173382" y="40965966"/>
              <a:ext cx="84285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93133</xdr:colOff>
      <xdr:row>367</xdr:row>
      <xdr:rowOff>40216</xdr:rowOff>
    </xdr:from>
    <xdr:ext cx="689420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CuadroTexto 69">
              <a:extLst>
                <a:ext uri="{FF2B5EF4-FFF2-40B4-BE49-F238E27FC236}">
                  <a16:creationId xmlns:a16="http://schemas.microsoft.com/office/drawing/2014/main" id="{00000000-0008-0000-0400-000046000000}"/>
                </a:ext>
              </a:extLst>
            </xdr:cNvPr>
            <xdr:cNvSpPr txBox="1"/>
          </xdr:nvSpPr>
          <xdr:spPr>
            <a:xfrm>
              <a:off x="7088716" y="60703883"/>
              <a:ext cx="68942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ca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0" name="CuadroTexto 69"/>
            <xdr:cNvSpPr txBox="1"/>
          </xdr:nvSpPr>
          <xdr:spPr>
            <a:xfrm>
              <a:off x="7088716" y="60703883"/>
              <a:ext cx="68942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ca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8467</xdr:colOff>
      <xdr:row>370</xdr:row>
      <xdr:rowOff>8465</xdr:rowOff>
    </xdr:from>
    <xdr:ext cx="1388533" cy="4287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CuadroTexto 70">
              <a:extLst>
                <a:ext uri="{FF2B5EF4-FFF2-40B4-BE49-F238E27FC236}">
                  <a16:creationId xmlns:a16="http://schemas.microsoft.com/office/drawing/2014/main" id="{00000000-0008-0000-0400-000047000000}"/>
                </a:ext>
              </a:extLst>
            </xdr:cNvPr>
            <xdr:cNvSpPr txBox="1"/>
          </xdr:nvSpPr>
          <xdr:spPr>
            <a:xfrm>
              <a:off x="7004050" y="61095465"/>
              <a:ext cx="1388533" cy="4287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ca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Q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ca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1,38</m:t>
                                </m:r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 </m:t>
                                    </m:r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W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ca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type m:val="lin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1" name="CuadroTexto 70"/>
            <xdr:cNvSpPr txBox="1"/>
          </xdr:nvSpPr>
          <xdr:spPr>
            <a:xfrm>
              <a:off x="7004050" y="61095465"/>
              <a:ext cx="1388533" cy="4287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ca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1,38〖 W〗_ca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))^(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∕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twoCellAnchor>
    <xdr:from>
      <xdr:col>9</xdr:col>
      <xdr:colOff>836083</xdr:colOff>
      <xdr:row>372</xdr:row>
      <xdr:rowOff>52916</xdr:rowOff>
    </xdr:from>
    <xdr:to>
      <xdr:col>12</xdr:col>
      <xdr:colOff>867833</xdr:colOff>
      <xdr:row>372</xdr:row>
      <xdr:rowOff>218282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CuadroTexto 71">
              <a:extLst>
                <a:ext uri="{FF2B5EF4-FFF2-40B4-BE49-F238E27FC236}">
                  <a16:creationId xmlns:a16="http://schemas.microsoft.com/office/drawing/2014/main" id="{00000000-0008-0000-0400-000049000000}"/>
                </a:ext>
              </a:extLst>
            </xdr:cNvPr>
            <xdr:cNvSpPr txBox="1"/>
          </xdr:nvSpPr>
          <xdr:spPr>
            <a:xfrm>
              <a:off x="6910916" y="61626749"/>
              <a:ext cx="279400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/>
            <a:p>
              <a:pPr>
                <a:spcAft>
                  <a:spcPts val="0"/>
                </a:spcAft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BL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=0,5</m:t>
                    </m:r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   ;0,05 </m:t>
                    </m:r>
                    <m:r>
                      <m:rPr>
                        <m:sty m:val="p"/>
                      </m:rP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m</m:t>
                    </m:r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≤</m:t>
                    </m:r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BL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≤</m:t>
                    </m:r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0,10 </m:t>
                    </m:r>
                    <m:r>
                      <m:rPr>
                        <m:sty m:val="p"/>
                      </m:rP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m</m:t>
                    </m:r>
                  </m:oMath>
                </m:oMathPara>
              </a14:m>
              <a:endParaRPr lang="es-CO" sz="1200" i="0">
                <a:effectLst/>
                <a:latin typeface="Times New Roman" panose="02020603050405020304" pitchFamily="18" charset="0"/>
                <a:ea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73" name="CuadroTexto 71"/>
            <xdr:cNvSpPr txBox="1"/>
          </xdr:nvSpPr>
          <xdr:spPr>
            <a:xfrm>
              <a:off x="6910916" y="61626749"/>
              <a:ext cx="279400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/>
            <a:p>
              <a:pPr>
                <a:spcAft>
                  <a:spcPts val="0"/>
                </a:spcAft>
              </a:pP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BL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ca=0,5H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    ;0,05 m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≤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BL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≤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0,10 m</a:t>
              </a:r>
              <a:endParaRPr lang="es-CO" sz="1200" i="0">
                <a:effectLst/>
                <a:latin typeface="Times New Roman" panose="02020603050405020304" pitchFamily="18" charset="0"/>
                <a:ea typeface="Times New Roman" panose="02020603050405020304" pitchFamily="18" charset="0"/>
              </a:endParaRPr>
            </a:p>
          </xdr:txBody>
        </xdr:sp>
      </mc:Fallback>
    </mc:AlternateContent>
    <xdr:clientData/>
  </xdr:twoCellAnchor>
  <xdr:oneCellAnchor>
    <xdr:from>
      <xdr:col>10</xdr:col>
      <xdr:colOff>125942</xdr:colOff>
      <xdr:row>377</xdr:row>
      <xdr:rowOff>27516</xdr:rowOff>
    </xdr:from>
    <xdr:ext cx="106054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CuadroTexto 75">
              <a:extLst>
                <a:ext uri="{FF2B5EF4-FFF2-40B4-BE49-F238E27FC236}">
                  <a16:creationId xmlns:a16="http://schemas.microsoft.com/office/drawing/2014/main" id="{00000000-0008-0000-0400-00004C000000}"/>
                </a:ext>
              </a:extLst>
            </xdr:cNvPr>
            <xdr:cNvSpPr txBox="1"/>
          </xdr:nvSpPr>
          <xdr:spPr>
            <a:xfrm>
              <a:off x="7121525" y="62818433"/>
              <a:ext cx="10605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1,5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6" name="CuadroTexto 75"/>
            <xdr:cNvSpPr txBox="1"/>
          </xdr:nvSpPr>
          <xdr:spPr>
            <a:xfrm>
              <a:off x="7121525" y="62818433"/>
              <a:ext cx="10605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1,5H_o&lt;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&lt;〖2H〗_o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781048</xdr:colOff>
      <xdr:row>376</xdr:row>
      <xdr:rowOff>21167</xdr:rowOff>
    </xdr:from>
    <xdr:ext cx="23939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CuadroTexto 76">
              <a:extLst>
                <a:ext uri="{FF2B5EF4-FFF2-40B4-BE49-F238E27FC236}">
                  <a16:creationId xmlns:a16="http://schemas.microsoft.com/office/drawing/2014/main" id="{00000000-0008-0000-0400-00004D000000}"/>
                </a:ext>
              </a:extLst>
            </xdr:cNvPr>
            <xdr:cNvSpPr txBox="1"/>
          </xdr:nvSpPr>
          <xdr:spPr>
            <a:xfrm>
              <a:off x="6855881" y="62780334"/>
              <a:ext cx="23939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0,75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P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e>
                    </m:d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7" name="CuadroTexto 76"/>
            <xdr:cNvSpPr txBox="1"/>
          </xdr:nvSpPr>
          <xdr:spPr>
            <a:xfrm>
              <a:off x="6855881" y="62780334"/>
              <a:ext cx="23939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CO" sz="1100" i="0">
                  <a:latin typeface="Cambria Math" panose="02040503050406030204" pitchFamily="18" charset="0"/>
                </a:rPr>
                <a:t>(</a:t>
              </a:r>
              <a:r>
                <a:rPr lang="es-MX" sz="1100" b="0" i="0">
                  <a:latin typeface="Cambria Math" panose="02040503050406030204" pitchFamily="18" charset="0"/>
                </a:rPr>
                <a:t>0,75L+P_ca</a:t>
              </a:r>
              <a:r>
                <a:rPr lang="es-CO" sz="1100" b="0" i="0">
                  <a:latin typeface="Cambria Math" panose="02040503050406030204" pitchFamily="18" charset="0"/>
                </a:rPr>
                <a:t> 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o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L+P_ca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146050</xdr:colOff>
      <xdr:row>378</xdr:row>
      <xdr:rowOff>40217</xdr:rowOff>
    </xdr:from>
    <xdr:ext cx="122475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CuadroTexto 79">
              <a:extLst>
                <a:ext uri="{FF2B5EF4-FFF2-40B4-BE49-F238E27FC236}">
                  <a16:creationId xmlns:a16="http://schemas.microsoft.com/office/drawing/2014/main" id="{00000000-0008-0000-0400-000050000000}"/>
                </a:ext>
              </a:extLst>
            </xdr:cNvPr>
            <xdr:cNvSpPr txBox="1"/>
          </xdr:nvSpPr>
          <xdr:spPr>
            <a:xfrm>
              <a:off x="7141633" y="63074550"/>
              <a:ext cx="122475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</m:e>
                    </m:d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80" name="CuadroTexto 79"/>
            <xdr:cNvSpPr txBox="1"/>
          </xdr:nvSpPr>
          <xdr:spPr>
            <a:xfrm>
              <a:off x="7141633" y="63074550"/>
              <a:ext cx="122475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o−(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L_e−L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93132</xdr:colOff>
      <xdr:row>164</xdr:row>
      <xdr:rowOff>29633</xdr:rowOff>
    </xdr:from>
    <xdr:ext cx="1683923" cy="204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00000000-0008-0000-0400-000030000000}"/>
                </a:ext>
              </a:extLst>
            </xdr:cNvPr>
            <xdr:cNvSpPr txBox="1"/>
          </xdr:nvSpPr>
          <xdr:spPr>
            <a:xfrm>
              <a:off x="7088715" y="27154716"/>
              <a:ext cx="1683923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=0,044</m:t>
                    </m:r>
                    <m:rad>
                      <m:radPr>
                        <m:degHide m:val="on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</m:rad>
                    <m:r>
                      <a:rPr lang="es-MX" sz="1100" b="0" i="0">
                        <a:latin typeface="Cambria Math" panose="02040503050406030204" pitchFamily="18" charset="0"/>
                      </a:rPr>
                      <m:t>  ;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Q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type m:val="lin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</a:rPr>
                                  <m:t>m</m:t>
                                </m:r>
                              </m:e>
                              <m:sup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</a:rPr>
                                  <m:t>3</m:t>
                                </m:r>
                              </m:sup>
                            </m:sSup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í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8" name="CuadroTexto 47"/>
            <xdr:cNvSpPr txBox="1"/>
          </xdr:nvSpPr>
          <xdr:spPr>
            <a:xfrm>
              <a:off x="7088715" y="27154716"/>
              <a:ext cx="1683923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f=0,044√Q   ; Q[m^3∕día]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135466</xdr:colOff>
      <xdr:row>165</xdr:row>
      <xdr:rowOff>40217</xdr:rowOff>
    </xdr:from>
    <xdr:ext cx="511935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00000000-0008-0000-0400-000039000000}"/>
                </a:ext>
              </a:extLst>
            </xdr:cNvPr>
            <xdr:cNvSpPr txBox="1"/>
          </xdr:nvSpPr>
          <xdr:spPr>
            <a:xfrm>
              <a:off x="7131049" y="27408717"/>
              <a:ext cx="51193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7" name="CuadroTexto 56"/>
            <xdr:cNvSpPr txBox="1"/>
          </xdr:nvSpPr>
          <xdr:spPr>
            <a:xfrm>
              <a:off x="7131049" y="27408717"/>
              <a:ext cx="51193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f=A_T/N_f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145089</xdr:colOff>
      <xdr:row>307</xdr:row>
      <xdr:rowOff>48780</xdr:rowOff>
    </xdr:from>
    <xdr:ext cx="2099549" cy="321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CuadroTexto 73">
              <a:extLst>
                <a:ext uri="{FF2B5EF4-FFF2-40B4-BE49-F238E27FC236}">
                  <a16:creationId xmlns:a16="http://schemas.microsoft.com/office/drawing/2014/main" id="{00000000-0008-0000-0400-00004A000000}"/>
                </a:ext>
              </a:extLst>
            </xdr:cNvPr>
            <xdr:cNvSpPr txBox="1"/>
          </xdr:nvSpPr>
          <xdr:spPr>
            <a:xfrm>
              <a:off x="7145964" y="24694718"/>
              <a:ext cx="2099549" cy="321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4" name="CuadroTexto 73"/>
            <xdr:cNvSpPr txBox="1"/>
          </xdr:nvSpPr>
          <xdr:spPr>
            <a:xfrm>
              <a:off x="7145964" y="24694718"/>
              <a:ext cx="2099549" cy="321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66674</xdr:colOff>
      <xdr:row>314</xdr:row>
      <xdr:rowOff>19049</xdr:rowOff>
    </xdr:from>
    <xdr:ext cx="113585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CuadroTexto 74">
              <a:extLst>
                <a:ext uri="{FF2B5EF4-FFF2-40B4-BE49-F238E27FC236}">
                  <a16:creationId xmlns:a16="http://schemas.microsoft.com/office/drawing/2014/main" id="{00000000-0008-0000-0400-00004B000000}"/>
                </a:ext>
              </a:extLst>
            </xdr:cNvPr>
            <xdr:cNvSpPr txBox="1"/>
          </xdr:nvSpPr>
          <xdr:spPr>
            <a:xfrm>
              <a:off x="7067549" y="35023424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f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5" name="CuadroTexto 74"/>
            <xdr:cNvSpPr txBox="1"/>
          </xdr:nvSpPr>
          <xdr:spPr>
            <a:xfrm>
              <a:off x="7067549" y="35023424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d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907256</xdr:colOff>
      <xdr:row>324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CuadroTexto 77">
              <a:extLst>
                <a:ext uri="{FF2B5EF4-FFF2-40B4-BE49-F238E27FC236}">
                  <a16:creationId xmlns:a16="http://schemas.microsoft.com/office/drawing/2014/main" id="{00000000-0008-0000-0400-00004E000000}"/>
                </a:ext>
              </a:extLst>
            </xdr:cNvPr>
            <xdr:cNvSpPr txBox="1"/>
          </xdr:nvSpPr>
          <xdr:spPr>
            <a:xfrm>
              <a:off x="6974681" y="62179199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8" name="CuadroTexto 77"/>
            <xdr:cNvSpPr txBox="1"/>
          </xdr:nvSpPr>
          <xdr:spPr>
            <a:xfrm>
              <a:off x="6974681" y="62179199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tef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78580</xdr:colOff>
      <xdr:row>329</xdr:row>
      <xdr:rowOff>66676</xdr:rowOff>
    </xdr:from>
    <xdr:ext cx="1195388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CuadroTexto 78">
              <a:extLst>
                <a:ext uri="{FF2B5EF4-FFF2-40B4-BE49-F238E27FC236}">
                  <a16:creationId xmlns:a16="http://schemas.microsoft.com/office/drawing/2014/main" id="{00000000-0008-0000-0400-00004F000000}"/>
                </a:ext>
              </a:extLst>
            </xdr:cNvPr>
            <xdr:cNvSpPr txBox="1"/>
          </xdr:nvSpPr>
          <xdr:spPr>
            <a:xfrm>
              <a:off x="7079455" y="47751207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79" name="CuadroTexto 78"/>
            <xdr:cNvSpPr txBox="1"/>
          </xdr:nvSpPr>
          <xdr:spPr>
            <a:xfrm>
              <a:off x="7079455" y="47751207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=(v_tef∙D_tef)/𝑣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105039</xdr:colOff>
      <xdr:row>332</xdr:row>
      <xdr:rowOff>31750</xdr:rowOff>
    </xdr:from>
    <xdr:ext cx="3429794" cy="370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CuadroTexto 80">
              <a:extLst>
                <a:ext uri="{FF2B5EF4-FFF2-40B4-BE49-F238E27FC236}">
                  <a16:creationId xmlns:a16="http://schemas.microsoft.com/office/drawing/2014/main" id="{00000000-0008-0000-0400-000051000000}"/>
                </a:ext>
              </a:extLst>
            </xdr:cNvPr>
            <xdr:cNvSpPr txBox="1"/>
          </xdr:nvSpPr>
          <xdr:spPr>
            <a:xfrm>
              <a:off x="7105914" y="48359219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Re</m:t>
                            </m:r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1" name="CuadroTexto 80"/>
            <xdr:cNvSpPr txBox="1"/>
          </xdr:nvSpPr>
          <xdr:spPr>
            <a:xfrm>
              <a:off x="7105914" y="48359219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D〗_tef )+2,51/(Re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198965</xdr:colOff>
      <xdr:row>337</xdr:row>
      <xdr:rowOff>29633</xdr:rowOff>
    </xdr:from>
    <xdr:ext cx="1125565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2" name="CuadroTexto 81">
              <a:extLst>
                <a:ext uri="{FF2B5EF4-FFF2-40B4-BE49-F238E27FC236}">
                  <a16:creationId xmlns:a16="http://schemas.microsoft.com/office/drawing/2014/main" id="{00000000-0008-0000-0400-000052000000}"/>
                </a:ext>
              </a:extLst>
            </xdr:cNvPr>
            <xdr:cNvSpPr txBox="1"/>
          </xdr:nvSpPr>
          <xdr:spPr>
            <a:xfrm>
              <a:off x="7199840" y="66180758"/>
              <a:ext cx="112556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2" name="CuadroTexto 81"/>
            <xdr:cNvSpPr txBox="1"/>
          </xdr:nvSpPr>
          <xdr:spPr>
            <a:xfrm>
              <a:off x="7199840" y="66180758"/>
              <a:ext cx="112556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L_tef/D_tef    〖v_tef〗^2/2g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261937</xdr:colOff>
      <xdr:row>326</xdr:row>
      <xdr:rowOff>47625</xdr:rowOff>
    </xdr:from>
    <xdr:ext cx="399025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3" name="CuadroTexto 82">
              <a:extLst>
                <a:ext uri="{FF2B5EF4-FFF2-40B4-BE49-F238E27FC236}">
                  <a16:creationId xmlns:a16="http://schemas.microsoft.com/office/drawing/2014/main" id="{00000000-0008-0000-0400-000053000000}"/>
                </a:ext>
              </a:extLst>
            </xdr:cNvPr>
            <xdr:cNvSpPr txBox="1"/>
          </xdr:nvSpPr>
          <xdr:spPr>
            <a:xfrm>
              <a:off x="4357687" y="63841313"/>
              <a:ext cx="39902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3" name="CuadroTexto 82"/>
            <xdr:cNvSpPr txBox="1"/>
          </xdr:nvSpPr>
          <xdr:spPr>
            <a:xfrm>
              <a:off x="4357687" y="63841313"/>
              <a:ext cx="39902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〖v_tef〗^2/2g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150018</xdr:colOff>
      <xdr:row>323</xdr:row>
      <xdr:rowOff>36407</xdr:rowOff>
    </xdr:from>
    <xdr:ext cx="7033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00000000-0008-0000-0400-00003A000000}"/>
                </a:ext>
              </a:extLst>
            </xdr:cNvPr>
            <xdr:cNvSpPr txBox="1"/>
          </xdr:nvSpPr>
          <xdr:spPr>
            <a:xfrm>
              <a:off x="7150893" y="63151438"/>
              <a:ext cx="703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8" name="CuadroTexto 57"/>
            <xdr:cNvSpPr txBox="1"/>
          </xdr:nvSpPr>
          <xdr:spPr>
            <a:xfrm>
              <a:off x="7150893" y="63151438"/>
              <a:ext cx="703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f=v_f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∙A_f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90488</xdr:colOff>
      <xdr:row>350</xdr:row>
      <xdr:rowOff>66674</xdr:rowOff>
    </xdr:from>
    <xdr:ext cx="1217193" cy="424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4" name="CuadroTexto 83">
              <a:extLst>
                <a:ext uri="{FF2B5EF4-FFF2-40B4-BE49-F238E27FC236}">
                  <a16:creationId xmlns:a16="http://schemas.microsoft.com/office/drawing/2014/main" id="{00000000-0008-0000-0400-000054000000}"/>
                </a:ext>
              </a:extLst>
            </xdr:cNvPr>
            <xdr:cNvSpPr txBox="1"/>
          </xdr:nvSpPr>
          <xdr:spPr>
            <a:xfrm>
              <a:off x="7091363" y="69003862"/>
              <a:ext cx="1217193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acc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84" name="CuadroTexto 83"/>
            <xdr:cNvSpPr txBox="1"/>
          </xdr:nvSpPr>
          <xdr:spPr>
            <a:xfrm>
              <a:off x="7091363" y="69003862"/>
              <a:ext cx="1217193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h_acc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〖v_tlav〗^2/2g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9</xdr:col>
      <xdr:colOff>726280</xdr:colOff>
      <xdr:row>297</xdr:row>
      <xdr:rowOff>11906</xdr:rowOff>
    </xdr:from>
    <xdr:ext cx="1512094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9" name="CuadroTexto 88">
              <a:extLst>
                <a:ext uri="{FF2B5EF4-FFF2-40B4-BE49-F238E27FC236}">
                  <a16:creationId xmlns:a16="http://schemas.microsoft.com/office/drawing/2014/main" id="{00000000-0008-0000-0400-000059000000}"/>
                </a:ext>
              </a:extLst>
            </xdr:cNvPr>
            <xdr:cNvSpPr txBox="1"/>
          </xdr:nvSpPr>
          <xdr:spPr>
            <a:xfrm>
              <a:off x="6798468" y="74842687"/>
              <a:ext cx="1512094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mul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mul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9" name="CuadroTexto 88"/>
            <xdr:cNvSpPr txBox="1"/>
          </xdr:nvSpPr>
          <xdr:spPr>
            <a:xfrm>
              <a:off x="6798468" y="74842687"/>
              <a:ext cx="1512094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mul lav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mul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35719</xdr:colOff>
      <xdr:row>299</xdr:row>
      <xdr:rowOff>47624</xdr:rowOff>
    </xdr:from>
    <xdr:ext cx="1273968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0" name="CuadroTexto 89">
              <a:extLst>
                <a:ext uri="{FF2B5EF4-FFF2-40B4-BE49-F238E27FC236}">
                  <a16:creationId xmlns:a16="http://schemas.microsoft.com/office/drawing/2014/main" id="{00000000-0008-0000-0400-00005A000000}"/>
                </a:ext>
              </a:extLst>
            </xdr:cNvPr>
            <xdr:cNvSpPr txBox="1"/>
          </xdr:nvSpPr>
          <xdr:spPr>
            <a:xfrm>
              <a:off x="7036594" y="75307030"/>
              <a:ext cx="127396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90" name="CuadroTexto 89"/>
            <xdr:cNvSpPr txBox="1"/>
          </xdr:nvSpPr>
          <xdr:spPr>
            <a:xfrm>
              <a:off x="7036594" y="75307030"/>
              <a:ext cx="127396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lat lav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∙N_lat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93133</xdr:colOff>
      <xdr:row>173</xdr:row>
      <xdr:rowOff>0</xdr:rowOff>
    </xdr:from>
    <xdr:ext cx="647699" cy="172227"/>
    <xdr:sp macro="" textlink="">
      <xdr:nvSpPr>
        <xdr:cNvPr id="85" name="CuadroTexto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7094008" y="33283789"/>
          <a:ext cx="647699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endParaRPr lang="es-CO" sz="1100" i="0"/>
        </a:p>
      </xdr:txBody>
    </xdr:sp>
    <xdr:clientData/>
  </xdr:oneCellAnchor>
  <xdr:oneCellAnchor>
    <xdr:from>
      <xdr:col>10</xdr:col>
      <xdr:colOff>130969</xdr:colOff>
      <xdr:row>179</xdr:row>
      <xdr:rowOff>59531</xdr:rowOff>
    </xdr:from>
    <xdr:ext cx="1117101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6" name="CuadroTexto 85">
              <a:extLst>
                <a:ext uri="{FF2B5EF4-FFF2-40B4-BE49-F238E27FC236}">
                  <a16:creationId xmlns:a16="http://schemas.microsoft.com/office/drawing/2014/main" id="{00000000-0008-0000-0400-000056000000}"/>
                </a:ext>
              </a:extLst>
            </xdr:cNvPr>
            <xdr:cNvSpPr txBox="1"/>
          </xdr:nvSpPr>
          <xdr:spPr>
            <a:xfrm>
              <a:off x="7127514" y="35466554"/>
              <a:ext cx="111710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ori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lat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ori</m:t>
                            </m:r>
                          </m:sub>
                        </m:sSub>
                      </m:den>
                    </m:f>
                    <m:r>
                      <a:rPr lang="es-CO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6" name="CuadroTexto 85"/>
            <xdr:cNvSpPr txBox="1"/>
          </xdr:nvSpPr>
          <xdr:spPr>
            <a:xfrm>
              <a:off x="7127514" y="35466554"/>
              <a:ext cx="111710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ori/lat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lat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ori 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9525</xdr:colOff>
      <xdr:row>114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8" name="CuadroTexto 87">
              <a:extLst>
                <a:ext uri="{FF2B5EF4-FFF2-40B4-BE49-F238E27FC236}">
                  <a16:creationId xmlns:a16="http://schemas.microsoft.com/office/drawing/2014/main" id="{00000000-0008-0000-0400-000058000000}"/>
                </a:ext>
              </a:extLst>
            </xdr:cNvPr>
            <xdr:cNvSpPr txBox="1"/>
          </xdr:nvSpPr>
          <xdr:spPr>
            <a:xfrm>
              <a:off x="4105275" y="21725164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88" name="CuadroTexto 87"/>
            <xdr:cNvSpPr txBox="1"/>
          </xdr:nvSpPr>
          <xdr:spPr>
            <a:xfrm>
              <a:off x="4105275" y="21725164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438150</xdr:colOff>
      <xdr:row>113</xdr:row>
      <xdr:rowOff>57150</xdr:rowOff>
    </xdr:from>
    <xdr:ext cx="185627" cy="3526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2" name="CuadroTexto 91">
              <a:extLst>
                <a:ext uri="{FF2B5EF4-FFF2-40B4-BE49-F238E27FC236}">
                  <a16:creationId xmlns:a16="http://schemas.microsoft.com/office/drawing/2014/main" id="{00000000-0008-0000-0400-00005C000000}"/>
                </a:ext>
              </a:extLst>
            </xdr:cNvPr>
            <xdr:cNvSpPr txBox="1"/>
          </xdr:nvSpPr>
          <xdr:spPr>
            <a:xfrm>
              <a:off x="5500007" y="21365936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Sup>
                          <m:sSubSup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2" name="CuadroTexto 91"/>
            <xdr:cNvSpPr txBox="1"/>
          </xdr:nvSpPr>
          <xdr:spPr>
            <a:xfrm>
              <a:off x="5500007" y="21365936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/(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𝐠^𝟐 </a:t>
              </a:r>
              <a:r>
                <a:rPr lang="es-CO" sz="1100" b="1" i="0">
                  <a:latin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516731</xdr:colOff>
      <xdr:row>125</xdr:row>
      <xdr:rowOff>154781</xdr:rowOff>
    </xdr:from>
    <xdr:ext cx="396199" cy="4643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3" name="CuadroTexto 92">
              <a:extLst>
                <a:ext uri="{FF2B5EF4-FFF2-40B4-BE49-F238E27FC236}">
                  <a16:creationId xmlns:a16="http://schemas.microsoft.com/office/drawing/2014/main" id="{00000000-0008-0000-0400-00005D000000}"/>
                </a:ext>
              </a:extLst>
            </xdr:cNvPr>
            <xdr:cNvSpPr txBox="1"/>
          </xdr:nvSpPr>
          <xdr:spPr>
            <a:xfrm>
              <a:off x="4612481" y="29658469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3" name="CuadroTexto 92"/>
            <xdr:cNvSpPr txBox="1"/>
          </xdr:nvSpPr>
          <xdr:spPr>
            <a:xfrm>
              <a:off x="4612481" y="29658469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200025</xdr:colOff>
      <xdr:row>113</xdr:row>
      <xdr:rowOff>121444</xdr:rowOff>
    </xdr:from>
    <xdr:ext cx="2238433" cy="458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4" name="CuadroTexto 93">
              <a:extLst>
                <a:ext uri="{FF2B5EF4-FFF2-40B4-BE49-F238E27FC236}">
                  <a16:creationId xmlns:a16="http://schemas.microsoft.com/office/drawing/2014/main" id="{00000000-0008-0000-0400-00005E000000}"/>
                </a:ext>
              </a:extLst>
            </xdr:cNvPr>
            <xdr:cNvSpPr txBox="1"/>
          </xdr:nvSpPr>
          <xdr:spPr>
            <a:xfrm>
              <a:off x="6274858" y="26897277"/>
              <a:ext cx="2238433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𝐤</m:t>
                        </m:r>
                      </m:sub>
                    </m:sSub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𝒗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𝛆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𝟔</m:t>
                                </m:r>
                              </m:num>
                              <m:den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∅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94" name="CuadroTexto 93"/>
            <xdr:cNvSpPr txBox="1"/>
          </xdr:nvSpPr>
          <xdr:spPr>
            <a:xfrm>
              <a:off x="6274858" y="26897277"/>
              <a:ext cx="2238433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𝐂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𝐤  𝒗 (𝟏−𝛆)^𝟐/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(𝐋 𝐯_𝐚)/𝐠 (𝟔/∅)^𝟐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15</xdr:col>
      <xdr:colOff>285750</xdr:colOff>
      <xdr:row>113</xdr:row>
      <xdr:rowOff>76200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5" name="CuadroTexto 94">
              <a:extLst>
                <a:ext uri="{FF2B5EF4-FFF2-40B4-BE49-F238E27FC236}">
                  <a16:creationId xmlns:a16="http://schemas.microsoft.com/office/drawing/2014/main" id="{00000000-0008-0000-0400-00005F000000}"/>
                </a:ext>
              </a:extLst>
            </xdr:cNvPr>
            <xdr:cNvSpPr txBox="1"/>
          </xdr:nvSpPr>
          <xdr:spPr>
            <a:xfrm>
              <a:off x="11906250" y="21384986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5" name="CuadroTexto 94"/>
            <xdr:cNvSpPr txBox="1"/>
          </xdr:nvSpPr>
          <xdr:spPr>
            <a:xfrm>
              <a:off x="11906250" y="21384986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14</xdr:col>
      <xdr:colOff>342900</xdr:colOff>
      <xdr:row>125</xdr:row>
      <xdr:rowOff>142875</xdr:rowOff>
    </xdr:from>
    <xdr:ext cx="47250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6" name="CuadroTexto 95">
              <a:extLst>
                <a:ext uri="{FF2B5EF4-FFF2-40B4-BE49-F238E27FC236}">
                  <a16:creationId xmlns:a16="http://schemas.microsoft.com/office/drawing/2014/main" id="{00000000-0008-0000-0400-000060000000}"/>
                </a:ext>
              </a:extLst>
            </xdr:cNvPr>
            <xdr:cNvSpPr txBox="1"/>
          </xdr:nvSpPr>
          <xdr:spPr>
            <a:xfrm>
              <a:off x="11058525" y="29646563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6" name="CuadroTexto 95"/>
            <xdr:cNvSpPr txBox="1"/>
          </xdr:nvSpPr>
          <xdr:spPr>
            <a:xfrm>
              <a:off x="11058525" y="29646563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16</xdr:col>
      <xdr:colOff>161925</xdr:colOff>
      <xdr:row>113</xdr:row>
      <xdr:rowOff>107156</xdr:rowOff>
    </xdr:from>
    <xdr:ext cx="162307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7" name="CuadroTexto 96">
              <a:extLst>
                <a:ext uri="{FF2B5EF4-FFF2-40B4-BE49-F238E27FC236}">
                  <a16:creationId xmlns:a16="http://schemas.microsoft.com/office/drawing/2014/main" id="{00000000-0008-0000-0400-000061000000}"/>
                </a:ext>
              </a:extLst>
            </xdr:cNvPr>
            <xdr:cNvSpPr txBox="1"/>
          </xdr:nvSpPr>
          <xdr:spPr>
            <a:xfrm>
              <a:off x="12671425" y="27666156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7" name="CuadroTexto 96"/>
            <xdr:cNvSpPr txBox="1"/>
          </xdr:nvSpPr>
          <xdr:spPr>
            <a:xfrm>
              <a:off x="12671425" y="27666156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𝐯〗_𝐚^𝟐)/𝐠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12</xdr:col>
      <xdr:colOff>28575</xdr:colOff>
      <xdr:row>113</xdr:row>
      <xdr:rowOff>152400</xdr:rowOff>
    </xdr:from>
    <xdr:ext cx="770181" cy="330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8" name="CuadroTexto 97">
              <a:extLst>
                <a:ext uri="{FF2B5EF4-FFF2-40B4-BE49-F238E27FC236}">
                  <a16:creationId xmlns:a16="http://schemas.microsoft.com/office/drawing/2014/main" id="{00000000-0008-0000-0400-000062000000}"/>
                </a:ext>
              </a:extLst>
            </xdr:cNvPr>
            <xdr:cNvSpPr txBox="1"/>
          </xdr:nvSpPr>
          <xdr:spPr>
            <a:xfrm>
              <a:off x="8873218" y="21461186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98" name="CuadroTexto 97"/>
            <xdr:cNvSpPr txBox="1"/>
          </xdr:nvSpPr>
          <xdr:spPr>
            <a:xfrm>
              <a:off x="8873218" y="21461186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13</xdr:col>
      <xdr:colOff>333375</xdr:colOff>
      <xdr:row>113</xdr:row>
      <xdr:rowOff>228600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9" name="CuadroTexto 98">
              <a:extLst>
                <a:ext uri="{FF2B5EF4-FFF2-40B4-BE49-F238E27FC236}">
                  <a16:creationId xmlns:a16="http://schemas.microsoft.com/office/drawing/2014/main" id="{00000000-0008-0000-0400-000063000000}"/>
                </a:ext>
              </a:extLst>
            </xdr:cNvPr>
            <xdr:cNvSpPr txBox="1"/>
          </xdr:nvSpPr>
          <xdr:spPr>
            <a:xfrm>
              <a:off x="10120313" y="28232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9" name="CuadroTexto 98"/>
            <xdr:cNvSpPr txBox="1"/>
          </xdr:nvSpPr>
          <xdr:spPr>
            <a:xfrm>
              <a:off x="10120313" y="28232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18</xdr:col>
      <xdr:colOff>150585</xdr:colOff>
      <xdr:row>114</xdr:row>
      <xdr:rowOff>11642</xdr:rowOff>
    </xdr:from>
    <xdr:ext cx="653256" cy="328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0" name="CuadroTexto 99">
              <a:extLst>
                <a:ext uri="{FF2B5EF4-FFF2-40B4-BE49-F238E27FC236}">
                  <a16:creationId xmlns:a16="http://schemas.microsoft.com/office/drawing/2014/main" id="{00000000-0008-0000-0400-000064000000}"/>
                </a:ext>
              </a:extLst>
            </xdr:cNvPr>
            <xdr:cNvSpPr txBox="1"/>
          </xdr:nvSpPr>
          <xdr:spPr>
            <a:xfrm>
              <a:off x="16279585" y="28004559"/>
              <a:ext cx="653256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00" name="CuadroTexto 99"/>
            <xdr:cNvSpPr txBox="1"/>
          </xdr:nvSpPr>
          <xdr:spPr>
            <a:xfrm>
              <a:off x="16279585" y="28004559"/>
              <a:ext cx="653256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19</xdr:col>
      <xdr:colOff>115660</xdr:colOff>
      <xdr:row>113</xdr:row>
      <xdr:rowOff>219075</xdr:rowOff>
    </xdr:from>
    <xdr:ext cx="1464568" cy="319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1" name="CuadroTexto 100">
              <a:extLst>
                <a:ext uri="{FF2B5EF4-FFF2-40B4-BE49-F238E27FC236}">
                  <a16:creationId xmlns:a16="http://schemas.microsoft.com/office/drawing/2014/main" id="{00000000-0008-0000-0400-000065000000}"/>
                </a:ext>
              </a:extLst>
            </xdr:cNvPr>
            <xdr:cNvSpPr txBox="1"/>
          </xdr:nvSpPr>
          <xdr:spPr>
            <a:xfrm>
              <a:off x="15668624" y="27651075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𝐃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𝟐𝟒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𝟑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𝐑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𝟏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/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𝟑𝟒</m:t>
                    </m:r>
                  </m:oMath>
                </m:oMathPara>
              </a14:m>
              <a:endParaRPr lang="es-CO" sz="1100" b="1" i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01" name="CuadroTexto 100"/>
            <xdr:cNvSpPr txBox="1"/>
          </xdr:nvSpPr>
          <xdr:spPr>
            <a:xfrm>
              <a:off x="15668624" y="27651075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𝐃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𝐑+𝟑/𝐑^(𝟏/𝟐) +𝟎,𝟑𝟒</a:t>
              </a:r>
              <a:endParaRPr lang="es-CO" sz="1100" b="1" i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21</xdr:col>
      <xdr:colOff>238126</xdr:colOff>
      <xdr:row>113</xdr:row>
      <xdr:rowOff>133350</xdr:rowOff>
    </xdr:from>
    <xdr:ext cx="466724" cy="372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2" name="CuadroTexto 101">
              <a:extLst>
                <a:ext uri="{FF2B5EF4-FFF2-40B4-BE49-F238E27FC236}">
                  <a16:creationId xmlns:a16="http://schemas.microsoft.com/office/drawing/2014/main" id="{00000000-0008-0000-0400-000066000000}"/>
                </a:ext>
              </a:extLst>
            </xdr:cNvPr>
            <xdr:cNvSpPr txBox="1"/>
          </xdr:nvSpPr>
          <xdr:spPr>
            <a:xfrm>
              <a:off x="17396733" y="275653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𝐃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02" name="CuadroTexto 101"/>
            <xdr:cNvSpPr txBox="1"/>
          </xdr:nvSpPr>
          <xdr:spPr>
            <a:xfrm>
              <a:off x="17396733" y="275653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885825</xdr:colOff>
      <xdr:row>125</xdr:row>
      <xdr:rowOff>161925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3" name="CuadroTexto 102">
              <a:extLst>
                <a:ext uri="{FF2B5EF4-FFF2-40B4-BE49-F238E27FC236}">
                  <a16:creationId xmlns:a16="http://schemas.microsoft.com/office/drawing/2014/main" id="{00000000-0008-0000-0400-000067000000}"/>
                </a:ext>
              </a:extLst>
            </xdr:cNvPr>
            <xdr:cNvSpPr txBox="1"/>
          </xdr:nvSpPr>
          <xdr:spPr>
            <a:xfrm>
              <a:off x="20901932" y="2440985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3" name="CuadroTexto 102"/>
            <xdr:cNvSpPr txBox="1"/>
          </xdr:nvSpPr>
          <xdr:spPr>
            <a:xfrm>
              <a:off x="20901932" y="2440985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121709</xdr:colOff>
      <xdr:row>96</xdr:row>
      <xdr:rowOff>7938</xdr:rowOff>
    </xdr:from>
    <xdr:ext cx="770181" cy="330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0" name="CuadroTexto 109">
              <a:extLst>
                <a:ext uri="{FF2B5EF4-FFF2-40B4-BE49-F238E27FC236}">
                  <a16:creationId xmlns:a16="http://schemas.microsoft.com/office/drawing/2014/main" id="{00000000-0008-0000-0400-00006E000000}"/>
                </a:ext>
              </a:extLst>
            </xdr:cNvPr>
            <xdr:cNvSpPr txBox="1"/>
          </xdr:nvSpPr>
          <xdr:spPr>
            <a:xfrm>
              <a:off x="5193772" y="22010688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0" name="CuadroTexto 109"/>
            <xdr:cNvSpPr txBox="1"/>
          </xdr:nvSpPr>
          <xdr:spPr>
            <a:xfrm>
              <a:off x="5193772" y="22010688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14</xdr:col>
      <xdr:colOff>387615</xdr:colOff>
      <xdr:row>94</xdr:row>
      <xdr:rowOff>192616</xdr:rowOff>
    </xdr:from>
    <xdr:ext cx="179601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1" name="CuadroTexto 110">
              <a:extLst>
                <a:ext uri="{FF2B5EF4-FFF2-40B4-BE49-F238E27FC236}">
                  <a16:creationId xmlns:a16="http://schemas.microsoft.com/office/drawing/2014/main" id="{00000000-0008-0000-0400-00006F000000}"/>
                </a:ext>
              </a:extLst>
            </xdr:cNvPr>
            <xdr:cNvSpPr txBox="1"/>
          </xdr:nvSpPr>
          <xdr:spPr>
            <a:xfrm>
              <a:off x="11066198" y="21126449"/>
              <a:ext cx="179601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1" name="CuadroTexto 110"/>
            <xdr:cNvSpPr txBox="1"/>
          </xdr:nvSpPr>
          <xdr:spPr>
            <a:xfrm>
              <a:off x="11066198" y="21126449"/>
              <a:ext cx="179601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13</xdr:col>
      <xdr:colOff>525199</xdr:colOff>
      <xdr:row>107</xdr:row>
      <xdr:rowOff>183886</xdr:rowOff>
    </xdr:from>
    <xdr:ext cx="390170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2" name="CuadroTexto 111">
              <a:extLst>
                <a:ext uri="{FF2B5EF4-FFF2-40B4-BE49-F238E27FC236}">
                  <a16:creationId xmlns:a16="http://schemas.microsoft.com/office/drawing/2014/main" id="{00000000-0008-0000-0400-000070000000}"/>
                </a:ext>
              </a:extLst>
            </xdr:cNvPr>
            <xdr:cNvSpPr txBox="1"/>
          </xdr:nvSpPr>
          <xdr:spPr>
            <a:xfrm>
              <a:off x="10283032" y="24282136"/>
              <a:ext cx="390170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2" name="CuadroTexto 111"/>
            <xdr:cNvSpPr txBox="1"/>
          </xdr:nvSpPr>
          <xdr:spPr>
            <a:xfrm>
              <a:off x="10283032" y="24282136"/>
              <a:ext cx="390170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15</xdr:col>
      <xdr:colOff>317500</xdr:colOff>
      <xdr:row>95</xdr:row>
      <xdr:rowOff>127000</xdr:rowOff>
    </xdr:from>
    <xdr:ext cx="2201334" cy="5357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1" name="CuadroTexto 90">
              <a:extLst>
                <a:ext uri="{FF2B5EF4-FFF2-40B4-BE49-F238E27FC236}">
                  <a16:creationId xmlns:a16="http://schemas.microsoft.com/office/drawing/2014/main" id="{00000000-0008-0000-0400-00005B000000}"/>
                </a:ext>
              </a:extLst>
            </xdr:cNvPr>
            <xdr:cNvSpPr txBox="1"/>
          </xdr:nvSpPr>
          <xdr:spPr>
            <a:xfrm>
              <a:off x="11916833" y="21060833"/>
              <a:ext cx="2201334" cy="535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𝐤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𝛄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𝛍</m:t>
                        </m:r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𝐤</m:t>
                            </m:r>
                          </m:sub>
                        </m:sSub>
                      </m:den>
                    </m:f>
                    <m:f>
                      <m:fPr>
                        <m:ctrlPr>
                          <a:rPr lang="es-MX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𝛂</m:t>
                                </m:r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/</m:t>
                                </m:r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𝛃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nary>
                              <m:naryPr>
                                <m:chr m:val="∑"/>
                                <m:subHide m:val="on"/>
                                <m:supHide m:val="on"/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naryPr>
                              <m:sub/>
                              <m:sup/>
                              <m:e>
                                <m:f>
                                  <m:fPr>
                                    <m:ctrlPr>
                                      <a:rPr lang="es-CO" sz="11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MX" sz="1100" b="1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𝐩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1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1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𝐝</m:t>
                                        </m:r>
                                      </m:e>
                                      <m:sub>
                                        <m:r>
                                          <a:rPr lang="es-MX" sz="1100" b="1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𝐠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nary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1" name="CuadroTexto 90"/>
            <xdr:cNvSpPr txBox="1"/>
          </xdr:nvSpPr>
          <xdr:spPr>
            <a:xfrm>
              <a:off x="11916833" y="21060833"/>
              <a:ext cx="2201334" cy="535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𝐤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𝛄/𝛍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𝟏/𝐂_𝐤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𝟏/(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𝛂/𝛃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)^𝟐  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𝛆^𝟑/(𝟏−𝛆) (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)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𝟐)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9525</xdr:colOff>
      <xdr:row>132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5" name="CuadroTexto 104">
              <a:extLst>
                <a:ext uri="{FF2B5EF4-FFF2-40B4-BE49-F238E27FC236}">
                  <a16:creationId xmlns:a16="http://schemas.microsoft.com/office/drawing/2014/main" id="{00000000-0008-0000-0400-000069000000}"/>
                </a:ext>
              </a:extLst>
            </xdr:cNvPr>
            <xdr:cNvSpPr txBox="1"/>
          </xdr:nvSpPr>
          <xdr:spPr>
            <a:xfrm>
              <a:off x="4105275" y="2816436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5" name="CuadroTexto 104"/>
            <xdr:cNvSpPr txBox="1"/>
          </xdr:nvSpPr>
          <xdr:spPr>
            <a:xfrm>
              <a:off x="4105275" y="2816436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438150</xdr:colOff>
      <xdr:row>131</xdr:row>
      <xdr:rowOff>57150</xdr:rowOff>
    </xdr:from>
    <xdr:ext cx="185627" cy="3526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6" name="CuadroTexto 105">
              <a:extLst>
                <a:ext uri="{FF2B5EF4-FFF2-40B4-BE49-F238E27FC236}">
                  <a16:creationId xmlns:a16="http://schemas.microsoft.com/office/drawing/2014/main" id="{00000000-0008-0000-0400-00006A000000}"/>
                </a:ext>
              </a:extLst>
            </xdr:cNvPr>
            <xdr:cNvSpPr txBox="1"/>
          </xdr:nvSpPr>
          <xdr:spPr>
            <a:xfrm>
              <a:off x="5507567" y="27806650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Sup>
                          <m:sSubSup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6" name="CuadroTexto 105"/>
            <xdr:cNvSpPr txBox="1"/>
          </xdr:nvSpPr>
          <xdr:spPr>
            <a:xfrm>
              <a:off x="5507567" y="27806650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/(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𝐠^𝟐 </a:t>
              </a:r>
              <a:r>
                <a:rPr lang="es-CO" sz="1100" b="1" i="0">
                  <a:latin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516731</xdr:colOff>
      <xdr:row>143</xdr:row>
      <xdr:rowOff>154781</xdr:rowOff>
    </xdr:from>
    <xdr:ext cx="396199" cy="4643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7" name="CuadroTexto 106">
              <a:extLst>
                <a:ext uri="{FF2B5EF4-FFF2-40B4-BE49-F238E27FC236}">
                  <a16:creationId xmlns:a16="http://schemas.microsoft.com/office/drawing/2014/main" id="{00000000-0008-0000-0400-00006B000000}"/>
                </a:ext>
              </a:extLst>
            </xdr:cNvPr>
            <xdr:cNvSpPr txBox="1"/>
          </xdr:nvSpPr>
          <xdr:spPr>
            <a:xfrm>
              <a:off x="4612481" y="30825281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7" name="CuadroTexto 106"/>
            <xdr:cNvSpPr txBox="1"/>
          </xdr:nvSpPr>
          <xdr:spPr>
            <a:xfrm>
              <a:off x="4612481" y="30825281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200025</xdr:colOff>
      <xdr:row>131</xdr:row>
      <xdr:rowOff>121444</xdr:rowOff>
    </xdr:from>
    <xdr:ext cx="2363660" cy="458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8" name="CuadroTexto 107">
              <a:extLst>
                <a:ext uri="{FF2B5EF4-FFF2-40B4-BE49-F238E27FC236}">
                  <a16:creationId xmlns:a16="http://schemas.microsoft.com/office/drawing/2014/main" id="{00000000-0008-0000-0400-00006C000000}"/>
                </a:ext>
              </a:extLst>
            </xdr:cNvPr>
            <xdr:cNvSpPr txBox="1"/>
          </xdr:nvSpPr>
          <xdr:spPr>
            <a:xfrm>
              <a:off x="6274858" y="32252444"/>
              <a:ext cx="2363660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𝐤</m:t>
                        </m:r>
                      </m:sub>
                    </m:sSub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𝒗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𝛆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</m:sSub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𝟔</m:t>
                                </m:r>
                              </m:num>
                              <m:den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∅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08" name="CuadroTexto 107"/>
            <xdr:cNvSpPr txBox="1"/>
          </xdr:nvSpPr>
          <xdr:spPr>
            <a:xfrm>
              <a:off x="6274858" y="32252444"/>
              <a:ext cx="2363660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𝐂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𝐤  𝒗 (𝟏−𝛆)^𝟐/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(𝐋 𝐯_(𝐚 𝐦𝐚𝐱))/𝐠 (𝟔/∅)^𝟐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15</xdr:col>
      <xdr:colOff>285750</xdr:colOff>
      <xdr:row>131</xdr:row>
      <xdr:rowOff>76200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9" name="CuadroTexto 108">
              <a:extLst>
                <a:ext uri="{FF2B5EF4-FFF2-40B4-BE49-F238E27FC236}">
                  <a16:creationId xmlns:a16="http://schemas.microsoft.com/office/drawing/2014/main" id="{00000000-0008-0000-0400-00006D000000}"/>
                </a:ext>
              </a:extLst>
            </xdr:cNvPr>
            <xdr:cNvSpPr txBox="1"/>
          </xdr:nvSpPr>
          <xdr:spPr>
            <a:xfrm>
              <a:off x="11885083" y="27825700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9" name="CuadroTexto 108"/>
            <xdr:cNvSpPr txBox="1"/>
          </xdr:nvSpPr>
          <xdr:spPr>
            <a:xfrm>
              <a:off x="11885083" y="27825700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14</xdr:col>
      <xdr:colOff>342900</xdr:colOff>
      <xdr:row>143</xdr:row>
      <xdr:rowOff>142875</xdr:rowOff>
    </xdr:from>
    <xdr:ext cx="47250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3" name="CuadroTexto 112">
              <a:extLst>
                <a:ext uri="{FF2B5EF4-FFF2-40B4-BE49-F238E27FC236}">
                  <a16:creationId xmlns:a16="http://schemas.microsoft.com/office/drawing/2014/main" id="{00000000-0008-0000-0400-000071000000}"/>
                </a:ext>
              </a:extLst>
            </xdr:cNvPr>
            <xdr:cNvSpPr txBox="1"/>
          </xdr:nvSpPr>
          <xdr:spPr>
            <a:xfrm>
              <a:off x="11021483" y="30813375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3" name="CuadroTexto 112"/>
            <xdr:cNvSpPr txBox="1"/>
          </xdr:nvSpPr>
          <xdr:spPr>
            <a:xfrm>
              <a:off x="11021483" y="30813375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16</xdr:col>
      <xdr:colOff>28311</xdr:colOff>
      <xdr:row>131</xdr:row>
      <xdr:rowOff>138907</xdr:rowOff>
    </xdr:from>
    <xdr:ext cx="182024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4" name="CuadroTexto 113">
              <a:extLst>
                <a:ext uri="{FF2B5EF4-FFF2-40B4-BE49-F238E27FC236}">
                  <a16:creationId xmlns:a16="http://schemas.microsoft.com/office/drawing/2014/main" id="{00000000-0008-0000-0400-000072000000}"/>
                </a:ext>
              </a:extLst>
            </xdr:cNvPr>
            <xdr:cNvSpPr txBox="1"/>
          </xdr:nvSpPr>
          <xdr:spPr>
            <a:xfrm>
              <a:off x="12839436" y="33143032"/>
              <a:ext cx="182024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4" name="CuadroTexto 113"/>
            <xdr:cNvSpPr txBox="1"/>
          </xdr:nvSpPr>
          <xdr:spPr>
            <a:xfrm>
              <a:off x="12839436" y="33143032"/>
              <a:ext cx="182024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𝐯〗_(𝐚 𝐦𝐚𝐱)^𝟐)/𝐠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12</xdr:col>
      <xdr:colOff>113242</xdr:colOff>
      <xdr:row>131</xdr:row>
      <xdr:rowOff>194734</xdr:rowOff>
    </xdr:from>
    <xdr:ext cx="987425" cy="3301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5" name="CuadroTexto 114">
              <a:extLst>
                <a:ext uri="{FF2B5EF4-FFF2-40B4-BE49-F238E27FC236}">
                  <a16:creationId xmlns:a16="http://schemas.microsoft.com/office/drawing/2014/main" id="{00000000-0008-0000-0400-000073000000}"/>
                </a:ext>
              </a:extLst>
            </xdr:cNvPr>
            <xdr:cNvSpPr txBox="1"/>
          </xdr:nvSpPr>
          <xdr:spPr>
            <a:xfrm>
              <a:off x="8950325" y="32325734"/>
              <a:ext cx="987425" cy="3301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𝐚𝐦𝐚𝐱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5" name="CuadroTexto 114"/>
            <xdr:cNvSpPr txBox="1"/>
          </xdr:nvSpPr>
          <xdr:spPr>
            <a:xfrm>
              <a:off x="8950325" y="32325734"/>
              <a:ext cx="987425" cy="3301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𝐯_𝐚𝐦𝐚𝐱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13</xdr:col>
      <xdr:colOff>333375</xdr:colOff>
      <xdr:row>131</xdr:row>
      <xdr:rowOff>228600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6" name="CuadroTexto 115">
              <a:extLst>
                <a:ext uri="{FF2B5EF4-FFF2-40B4-BE49-F238E27FC236}">
                  <a16:creationId xmlns:a16="http://schemas.microsoft.com/office/drawing/2014/main" id="{00000000-0008-0000-0400-000074000000}"/>
                </a:ext>
              </a:extLst>
            </xdr:cNvPr>
            <xdr:cNvSpPr txBox="1"/>
          </xdr:nvSpPr>
          <xdr:spPr>
            <a:xfrm>
              <a:off x="10091208" y="27978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6" name="CuadroTexto 115"/>
            <xdr:cNvSpPr txBox="1"/>
          </xdr:nvSpPr>
          <xdr:spPr>
            <a:xfrm>
              <a:off x="10091208" y="27978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18</xdr:col>
      <xdr:colOff>44752</xdr:colOff>
      <xdr:row>131</xdr:row>
      <xdr:rowOff>202142</xdr:rowOff>
    </xdr:from>
    <xdr:ext cx="888192" cy="328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7" name="CuadroTexto 116">
              <a:extLst>
                <a:ext uri="{FF2B5EF4-FFF2-40B4-BE49-F238E27FC236}">
                  <a16:creationId xmlns:a16="http://schemas.microsoft.com/office/drawing/2014/main" id="{00000000-0008-0000-0400-000075000000}"/>
                </a:ext>
              </a:extLst>
            </xdr:cNvPr>
            <xdr:cNvSpPr txBox="1"/>
          </xdr:nvSpPr>
          <xdr:spPr>
            <a:xfrm>
              <a:off x="16173752" y="32333142"/>
              <a:ext cx="888192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7" name="CuadroTexto 116"/>
            <xdr:cNvSpPr txBox="1"/>
          </xdr:nvSpPr>
          <xdr:spPr>
            <a:xfrm>
              <a:off x="16173752" y="32333142"/>
              <a:ext cx="888192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=(𝐝_𝐠  𝐯_(𝐚 𝐦𝐚𝐱)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19</xdr:col>
      <xdr:colOff>258535</xdr:colOff>
      <xdr:row>131</xdr:row>
      <xdr:rowOff>242887</xdr:rowOff>
    </xdr:from>
    <xdr:ext cx="1464568" cy="319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8" name="CuadroTexto 117">
              <a:extLst>
                <a:ext uri="{FF2B5EF4-FFF2-40B4-BE49-F238E27FC236}">
                  <a16:creationId xmlns:a16="http://schemas.microsoft.com/office/drawing/2014/main" id="{00000000-0008-0000-0400-000076000000}"/>
                </a:ext>
              </a:extLst>
            </xdr:cNvPr>
            <xdr:cNvSpPr txBox="1"/>
          </xdr:nvSpPr>
          <xdr:spPr>
            <a:xfrm>
              <a:off x="15855723" y="33247012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𝐃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𝟐𝟒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𝟑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𝐑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𝟏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/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𝟑𝟒</m:t>
                    </m:r>
                  </m:oMath>
                </m:oMathPara>
              </a14:m>
              <a:endParaRPr lang="es-CO" sz="1100" b="1" i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18" name="CuadroTexto 117"/>
            <xdr:cNvSpPr txBox="1"/>
          </xdr:nvSpPr>
          <xdr:spPr>
            <a:xfrm>
              <a:off x="15855723" y="33247012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𝐃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𝐑+𝟑/𝐑^(𝟏/𝟐) +𝟎,𝟑𝟒</a:t>
              </a:r>
              <a:endParaRPr lang="es-CO" sz="1100" b="1" i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21</xdr:col>
      <xdr:colOff>238126</xdr:colOff>
      <xdr:row>131</xdr:row>
      <xdr:rowOff>133350</xdr:rowOff>
    </xdr:from>
    <xdr:ext cx="466724" cy="372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9" name="CuadroTexto 118">
              <a:extLst>
                <a:ext uri="{FF2B5EF4-FFF2-40B4-BE49-F238E27FC236}">
                  <a16:creationId xmlns:a16="http://schemas.microsoft.com/office/drawing/2014/main" id="{00000000-0008-0000-0400-000077000000}"/>
                </a:ext>
              </a:extLst>
            </xdr:cNvPr>
            <xdr:cNvSpPr txBox="1"/>
          </xdr:nvSpPr>
          <xdr:spPr>
            <a:xfrm>
              <a:off x="17372543" y="278828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𝐃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19" name="CuadroTexto 118"/>
            <xdr:cNvSpPr txBox="1"/>
          </xdr:nvSpPr>
          <xdr:spPr>
            <a:xfrm>
              <a:off x="17372543" y="278828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885825</xdr:colOff>
      <xdr:row>143</xdr:row>
      <xdr:rowOff>161925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0" name="CuadroTexto 119">
              <a:extLst>
                <a:ext uri="{FF2B5EF4-FFF2-40B4-BE49-F238E27FC236}">
                  <a16:creationId xmlns:a16="http://schemas.microsoft.com/office/drawing/2014/main" id="{00000000-0008-0000-0400-000078000000}"/>
                </a:ext>
              </a:extLst>
            </xdr:cNvPr>
            <xdr:cNvSpPr txBox="1"/>
          </xdr:nvSpPr>
          <xdr:spPr>
            <a:xfrm>
              <a:off x="16411575" y="30832425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0" name="CuadroTexto 119"/>
            <xdr:cNvSpPr txBox="1"/>
          </xdr:nvSpPr>
          <xdr:spPr>
            <a:xfrm>
              <a:off x="16411575" y="30832425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21</xdr:col>
      <xdr:colOff>869157</xdr:colOff>
      <xdr:row>113</xdr:row>
      <xdr:rowOff>146844</xdr:rowOff>
    </xdr:from>
    <xdr:ext cx="1957916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2" name="CuadroTexto 121">
              <a:extLst>
                <a:ext uri="{FF2B5EF4-FFF2-40B4-BE49-F238E27FC236}">
                  <a16:creationId xmlns:a16="http://schemas.microsoft.com/office/drawing/2014/main" id="{00000000-0008-0000-0400-00007A000000}"/>
                </a:ext>
              </a:extLst>
            </xdr:cNvPr>
            <xdr:cNvSpPr txBox="1"/>
          </xdr:nvSpPr>
          <xdr:spPr>
            <a:xfrm>
              <a:off x="18323720" y="28650407"/>
              <a:ext cx="195791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𝟎𝟔𝟕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∅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𝐞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𝟒</m:t>
                            </m:r>
                          </m:sup>
                        </m:sSup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2" name="CuadroTexto 121"/>
            <xdr:cNvSpPr txBox="1"/>
          </xdr:nvSpPr>
          <xdr:spPr>
            <a:xfrm>
              <a:off x="18323720" y="28650407"/>
              <a:ext cx="195791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𝟏,𝟎𝟔𝟕 (𝐯_𝐚^𝟐  𝐋)/(𝐠 〖∅𝐞〗^𝟒 ) ∑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22</xdr:col>
      <xdr:colOff>97898</xdr:colOff>
      <xdr:row>131</xdr:row>
      <xdr:rowOff>137584</xdr:rowOff>
    </xdr:from>
    <xdr:ext cx="1795196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3" name="CuadroTexto 122">
              <a:extLst>
                <a:ext uri="{FF2B5EF4-FFF2-40B4-BE49-F238E27FC236}">
                  <a16:creationId xmlns:a16="http://schemas.microsoft.com/office/drawing/2014/main" id="{00000000-0008-0000-0400-00007B000000}"/>
                </a:ext>
              </a:extLst>
            </xdr:cNvPr>
            <xdr:cNvSpPr txBox="1"/>
          </xdr:nvSpPr>
          <xdr:spPr>
            <a:xfrm>
              <a:off x="18481148" y="33141709"/>
              <a:ext cx="179519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𝟎𝟔𝟕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∅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𝐞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𝟒</m:t>
                            </m:r>
                          </m:sup>
                        </m:sSup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3" name="CuadroTexto 122"/>
            <xdr:cNvSpPr txBox="1"/>
          </xdr:nvSpPr>
          <xdr:spPr>
            <a:xfrm>
              <a:off x="18481148" y="33141709"/>
              <a:ext cx="179519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𝟏,𝟎𝟔𝟕 (𝐯_(𝐚 𝐦𝐚𝐱)^𝟐  𝐋)/(𝐠 〖∅𝐞〗^𝟒 ) ∑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22</xdr:col>
      <xdr:colOff>145089</xdr:colOff>
      <xdr:row>307</xdr:row>
      <xdr:rowOff>47690</xdr:rowOff>
    </xdr:from>
    <xdr:ext cx="2556790" cy="3240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5" name="CuadroTexto 134">
              <a:extLst>
                <a:ext uri="{FF2B5EF4-FFF2-40B4-BE49-F238E27FC236}">
                  <a16:creationId xmlns:a16="http://schemas.microsoft.com/office/drawing/2014/main" id="{00000000-0008-0000-0400-000087000000}"/>
                </a:ext>
              </a:extLst>
            </xdr:cNvPr>
            <xdr:cNvSpPr txBox="1"/>
          </xdr:nvSpPr>
          <xdr:spPr>
            <a:xfrm>
              <a:off x="18706933" y="77057315"/>
              <a:ext cx="2556790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g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5" name="CuadroTexto 134"/>
            <xdr:cNvSpPr txBox="1"/>
          </xdr:nvSpPr>
          <xdr:spPr>
            <a:xfrm>
              <a:off x="18706933" y="77057315"/>
              <a:ext cx="2556790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g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66674</xdr:colOff>
      <xdr:row>314</xdr:row>
      <xdr:rowOff>19049</xdr:rowOff>
    </xdr:from>
    <xdr:ext cx="1540669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6" name="CuadroTexto 135">
              <a:extLst>
                <a:ext uri="{FF2B5EF4-FFF2-40B4-BE49-F238E27FC236}">
                  <a16:creationId xmlns:a16="http://schemas.microsoft.com/office/drawing/2014/main" id="{00000000-0008-0000-0400-000088000000}"/>
                </a:ext>
              </a:extLst>
            </xdr:cNvPr>
            <xdr:cNvSpPr txBox="1"/>
          </xdr:nvSpPr>
          <xdr:spPr>
            <a:xfrm>
              <a:off x="18628518" y="78778893"/>
              <a:ext cx="1540669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f</m:t>
                                    </m:r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 </m:t>
                                    </m:r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max</m:t>
                                    </m:r>
                                  </m:sub>
                                </m:s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6" name="CuadroTexto 135"/>
            <xdr:cNvSpPr txBox="1"/>
          </xdr:nvSpPr>
          <xdr:spPr>
            <a:xfrm>
              <a:off x="18628518" y="78778893"/>
              <a:ext cx="1540669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d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21</xdr:col>
      <xdr:colOff>907256</xdr:colOff>
      <xdr:row>324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7" name="CuadroTexto 136">
              <a:extLst>
                <a:ext uri="{FF2B5EF4-FFF2-40B4-BE49-F238E27FC236}">
                  <a16:creationId xmlns:a16="http://schemas.microsoft.com/office/drawing/2014/main" id="{00000000-0008-0000-0400-000089000000}"/>
                </a:ext>
              </a:extLst>
            </xdr:cNvPr>
            <xdr:cNvSpPr txBox="1"/>
          </xdr:nvSpPr>
          <xdr:spPr>
            <a:xfrm>
              <a:off x="6979444" y="81279205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7" name="CuadroTexto 136"/>
            <xdr:cNvSpPr txBox="1"/>
          </xdr:nvSpPr>
          <xdr:spPr>
            <a:xfrm>
              <a:off x="6979444" y="81279205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tef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114299</xdr:colOff>
      <xdr:row>329</xdr:row>
      <xdr:rowOff>66676</xdr:rowOff>
    </xdr:from>
    <xdr:ext cx="1457326" cy="3169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8" name="CuadroTexto 137">
              <a:extLst>
                <a:ext uri="{FF2B5EF4-FFF2-40B4-BE49-F238E27FC236}">
                  <a16:creationId xmlns:a16="http://schemas.microsoft.com/office/drawing/2014/main" id="{00000000-0008-0000-0400-00008A000000}"/>
                </a:ext>
              </a:extLst>
            </xdr:cNvPr>
            <xdr:cNvSpPr txBox="1"/>
          </xdr:nvSpPr>
          <xdr:spPr>
            <a:xfrm>
              <a:off x="18676143" y="82576989"/>
              <a:ext cx="1457326" cy="3169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Re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38" name="CuadroTexto 137"/>
            <xdr:cNvSpPr txBox="1"/>
          </xdr:nvSpPr>
          <xdr:spPr>
            <a:xfrm>
              <a:off x="18676143" y="82576989"/>
              <a:ext cx="1457326" cy="3169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Re_( max)=(v_(tef max)∙D_tef)/𝑣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22</xdr:col>
      <xdr:colOff>105039</xdr:colOff>
      <xdr:row>332</xdr:row>
      <xdr:rowOff>31750</xdr:rowOff>
    </xdr:from>
    <xdr:ext cx="3466836" cy="4564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9" name="CuadroTexto 138">
              <a:extLst>
                <a:ext uri="{FF2B5EF4-FFF2-40B4-BE49-F238E27FC236}">
                  <a16:creationId xmlns:a16="http://schemas.microsoft.com/office/drawing/2014/main" id="{00000000-0008-0000-0400-00008B000000}"/>
                </a:ext>
              </a:extLst>
            </xdr:cNvPr>
            <xdr:cNvSpPr txBox="1"/>
          </xdr:nvSpPr>
          <xdr:spPr>
            <a:xfrm>
              <a:off x="18666883" y="83292156"/>
              <a:ext cx="3466836" cy="4564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Re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39" name="CuadroTexto 138"/>
            <xdr:cNvSpPr txBox="1"/>
          </xdr:nvSpPr>
          <xdr:spPr>
            <a:xfrm>
              <a:off x="18666883" y="83292156"/>
              <a:ext cx="3466836" cy="4564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D〗_tef )+2,51/(Re_max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22</xdr:col>
      <xdr:colOff>198965</xdr:colOff>
      <xdr:row>337</xdr:row>
      <xdr:rowOff>29633</xdr:rowOff>
    </xdr:from>
    <xdr:ext cx="1556067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0" name="CuadroTexto 139">
              <a:extLst>
                <a:ext uri="{FF2B5EF4-FFF2-40B4-BE49-F238E27FC236}">
                  <a16:creationId xmlns:a16="http://schemas.microsoft.com/office/drawing/2014/main" id="{00000000-0008-0000-0400-00008C000000}"/>
                </a:ext>
              </a:extLst>
            </xdr:cNvPr>
            <xdr:cNvSpPr txBox="1"/>
          </xdr:nvSpPr>
          <xdr:spPr>
            <a:xfrm>
              <a:off x="18760809" y="84540196"/>
              <a:ext cx="1556067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0" name="CuadroTexto 139"/>
            <xdr:cNvSpPr txBox="1"/>
          </xdr:nvSpPr>
          <xdr:spPr>
            <a:xfrm>
              <a:off x="18760809" y="84540196"/>
              <a:ext cx="1556067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tef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L_tef/D_tef    〖v_(tef max)〗^2/2g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19</xdr:col>
      <xdr:colOff>261937</xdr:colOff>
      <xdr:row>326</xdr:row>
      <xdr:rowOff>47625</xdr:rowOff>
    </xdr:from>
    <xdr:ext cx="607219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1" name="CuadroTexto 140">
              <a:extLst>
                <a:ext uri="{FF2B5EF4-FFF2-40B4-BE49-F238E27FC236}">
                  <a16:creationId xmlns:a16="http://schemas.microsoft.com/office/drawing/2014/main" id="{00000000-0008-0000-0400-00008D000000}"/>
                </a:ext>
              </a:extLst>
            </xdr:cNvPr>
            <xdr:cNvSpPr txBox="1"/>
          </xdr:nvSpPr>
          <xdr:spPr>
            <a:xfrm>
              <a:off x="16037718" y="81807844"/>
              <a:ext cx="607219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1" name="CuadroTexto 140"/>
            <xdr:cNvSpPr txBox="1"/>
          </xdr:nvSpPr>
          <xdr:spPr>
            <a:xfrm>
              <a:off x="16037718" y="81807844"/>
              <a:ext cx="607219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〖v_(tef max)〗^2/2g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150018</xdr:colOff>
      <xdr:row>323</xdr:row>
      <xdr:rowOff>36407</xdr:rowOff>
    </xdr:from>
    <xdr:ext cx="11971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2" name="CuadroTexto 141">
              <a:extLst>
                <a:ext uri="{FF2B5EF4-FFF2-40B4-BE49-F238E27FC236}">
                  <a16:creationId xmlns:a16="http://schemas.microsoft.com/office/drawing/2014/main" id="{00000000-0008-0000-0400-00008E000000}"/>
                </a:ext>
              </a:extLst>
            </xdr:cNvPr>
            <xdr:cNvSpPr txBox="1"/>
          </xdr:nvSpPr>
          <xdr:spPr>
            <a:xfrm>
              <a:off x="18711862" y="81046532"/>
              <a:ext cx="11971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2" name="CuadroTexto 141"/>
            <xdr:cNvSpPr txBox="1"/>
          </xdr:nvSpPr>
          <xdr:spPr>
            <a:xfrm>
              <a:off x="18711862" y="81046532"/>
              <a:ext cx="11971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=v_(f max)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∙A_f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90488</xdr:colOff>
      <xdr:row>350</xdr:row>
      <xdr:rowOff>66674</xdr:rowOff>
    </xdr:from>
    <xdr:ext cx="1433854" cy="424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3" name="CuadroTexto 142">
              <a:extLst>
                <a:ext uri="{FF2B5EF4-FFF2-40B4-BE49-F238E27FC236}">
                  <a16:creationId xmlns:a16="http://schemas.microsoft.com/office/drawing/2014/main" id="{00000000-0008-0000-0400-00008F000000}"/>
                </a:ext>
              </a:extLst>
            </xdr:cNvPr>
            <xdr:cNvSpPr txBox="1"/>
          </xdr:nvSpPr>
          <xdr:spPr>
            <a:xfrm>
              <a:off x="18652332" y="87827643"/>
              <a:ext cx="1433854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acc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ma</m:t>
                                </m:r>
                                <m: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143" name="CuadroTexto 142"/>
            <xdr:cNvSpPr txBox="1"/>
          </xdr:nvSpPr>
          <xdr:spPr>
            <a:xfrm>
              <a:off x="18652332" y="87827643"/>
              <a:ext cx="1433854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h_acc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〖v_(tlav ma𝑥)〗^2/2g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10</xdr:col>
      <xdr:colOff>142875</xdr:colOff>
      <xdr:row>388</xdr:row>
      <xdr:rowOff>59531</xdr:rowOff>
    </xdr:from>
    <xdr:ext cx="1800686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1" name="CuadroTexto 120">
              <a:extLst>
                <a:ext uri="{FF2B5EF4-FFF2-40B4-BE49-F238E27FC236}">
                  <a16:creationId xmlns:a16="http://schemas.microsoft.com/office/drawing/2014/main" id="{00000000-0008-0000-0400-000079000000}"/>
                </a:ext>
              </a:extLst>
            </xdr:cNvPr>
            <xdr:cNvSpPr txBox="1"/>
          </xdr:nvSpPr>
          <xdr:spPr>
            <a:xfrm>
              <a:off x="7143750" y="97321687"/>
              <a:ext cx="180068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1" name="CuadroTexto 120"/>
            <xdr:cNvSpPr txBox="1"/>
          </xdr:nvSpPr>
          <xdr:spPr>
            <a:xfrm>
              <a:off x="7143750" y="97321687"/>
              <a:ext cx="180068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119062</xdr:colOff>
      <xdr:row>389</xdr:row>
      <xdr:rowOff>59531</xdr:rowOff>
    </xdr:from>
    <xdr:ext cx="1910716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5" name="CuadroTexto 124">
              <a:extLst>
                <a:ext uri="{FF2B5EF4-FFF2-40B4-BE49-F238E27FC236}">
                  <a16:creationId xmlns:a16="http://schemas.microsoft.com/office/drawing/2014/main" id="{00000000-0008-0000-0400-00007D000000}"/>
                </a:ext>
              </a:extLst>
            </xdr:cNvPr>
            <xdr:cNvSpPr txBox="1"/>
          </xdr:nvSpPr>
          <xdr:spPr>
            <a:xfrm>
              <a:off x="7119937" y="97571719"/>
              <a:ext cx="191071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5" name="CuadroTexto 124"/>
            <xdr:cNvSpPr txBox="1"/>
          </xdr:nvSpPr>
          <xdr:spPr>
            <a:xfrm>
              <a:off x="7119937" y="97571719"/>
              <a:ext cx="191071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)+h_m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126205</xdr:colOff>
      <xdr:row>390</xdr:row>
      <xdr:rowOff>30956</xdr:rowOff>
    </xdr:from>
    <xdr:ext cx="2143279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6" name="CuadroTexto 125">
              <a:extLst>
                <a:ext uri="{FF2B5EF4-FFF2-40B4-BE49-F238E27FC236}">
                  <a16:creationId xmlns:a16="http://schemas.microsoft.com/office/drawing/2014/main" id="{00000000-0008-0000-0400-00007E000000}"/>
                </a:ext>
              </a:extLst>
            </xdr:cNvPr>
            <xdr:cNvSpPr txBox="1"/>
          </xdr:nvSpPr>
          <xdr:spPr>
            <a:xfrm>
              <a:off x="7127080" y="97043081"/>
              <a:ext cx="2143279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bl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6" name="CuadroTexto 125"/>
            <xdr:cNvSpPr txBox="1"/>
          </xdr:nvSpPr>
          <xdr:spPr>
            <a:xfrm>
              <a:off x="7127080" y="97043081"/>
              <a:ext cx="2143279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)+h_m+bl</a:t>
              </a:r>
              <a:endParaRPr lang="es-CO" sz="1100" i="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:Docentes Prog. Ingeniería Ambiental:  Adriana Katerine Niño Vargas" id="{0F93A3E7-DAC7-4EB1-B8E1-9BE3B6F892B4}" userId="S::adriana.nino@docentes.umb.edu.co::54c78a20-e29d-495c-a0e0-317eea6007f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8A4C4A-1807-458F-A274-6DEC3FC259A4}" name="Tiempo_flocu" displayName="Tiempo_flocu" ref="AF1:AF24" totalsRowShown="0" headerRowDxfId="9" dataDxfId="7" headerRowBorderDxfId="8" tableBorderDxfId="6">
  <autoFilter ref="AF1:AF24" xr:uid="{0F1DBF49-F510-4DC5-8883-EF64B6045AAC}"/>
  <tableColumns count="1">
    <tableColumn id="1" xr3:uid="{59DD47F7-4462-4205-9F3C-E9372DE7ED1A}" name="Columna1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4EC5C4-9ECA-48CD-9B4D-F821D556BD30}" name="Diametro_Interconex" displayName="Diametro_Interconex" ref="AH1:AH14" totalsRowShown="0" headerRowDxfId="4" dataDxfId="3">
  <autoFilter ref="AH1:AH14" xr:uid="{F6479503-94E1-43DE-88D0-FAD468A1C8E7}"/>
  <tableColumns count="1">
    <tableColumn id="1" xr3:uid="{B3C1CF73-ECF0-4C41-A297-2D5FEFE22EBE}" name="Columna1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E7633-142D-44EA-A934-D2394107C7BF}">
  <sheetPr codeName="Hoja2">
    <tabColor rgb="FF00B0F0"/>
  </sheetPr>
  <dimension ref="A1:AH197"/>
  <sheetViews>
    <sheetView topLeftCell="A9" zoomScale="80" zoomScaleNormal="80" zoomScaleSheetLayoutView="100" workbookViewId="0">
      <selection activeCell="E54" sqref="E54"/>
    </sheetView>
  </sheetViews>
  <sheetFormatPr baseColWidth="10" defaultColWidth="11.42578125" defaultRowHeight="15"/>
  <cols>
    <col min="1" max="1" width="11.42578125" style="667"/>
    <col min="2" max="2" width="36.5703125" style="667" customWidth="1"/>
    <col min="3" max="3" width="17.5703125" style="667" bestFit="1" customWidth="1"/>
    <col min="4" max="4" width="11.42578125" style="667"/>
    <col min="5" max="5" width="13.28515625" style="667" bestFit="1" customWidth="1"/>
    <col min="6" max="11" width="11.42578125" style="667"/>
    <col min="12" max="26" width="11.42578125" style="667" customWidth="1"/>
    <col min="27" max="27" width="13.85546875" style="667" customWidth="1"/>
    <col min="28" max="28" width="10.85546875" style="667" customWidth="1"/>
    <col min="29" max="29" width="20.85546875" style="667" customWidth="1"/>
    <col min="30" max="30" width="22.5703125" style="667" customWidth="1"/>
    <col min="31" max="31" width="11.42578125" style="667" customWidth="1"/>
    <col min="32" max="32" width="23" style="671" customWidth="1"/>
    <col min="33" max="33" width="11.42578125" style="667" customWidth="1"/>
    <col min="34" max="34" width="26.7109375" style="667" bestFit="1" customWidth="1"/>
    <col min="35" max="16384" width="11.42578125" style="667"/>
  </cols>
  <sheetData>
    <row r="1" spans="1:34">
      <c r="AA1" s="696" t="s">
        <v>757</v>
      </c>
      <c r="AB1" s="696" t="s">
        <v>758</v>
      </c>
      <c r="AC1" s="696" t="s">
        <v>132</v>
      </c>
      <c r="AD1" s="696" t="s">
        <v>130</v>
      </c>
      <c r="AF1" s="668" t="s">
        <v>759</v>
      </c>
      <c r="AH1" s="669" t="s">
        <v>759</v>
      </c>
    </row>
    <row r="2" spans="1:34">
      <c r="C2" s="98" t="s">
        <v>54</v>
      </c>
      <c r="AA2" s="697"/>
      <c r="AB2" s="697"/>
      <c r="AC2" s="697"/>
      <c r="AD2" s="697"/>
      <c r="AF2" s="670" t="s">
        <v>551</v>
      </c>
      <c r="AH2" s="669" t="s">
        <v>760</v>
      </c>
    </row>
    <row r="3" spans="1:34" ht="17.25">
      <c r="C3" s="98" t="s">
        <v>55</v>
      </c>
      <c r="AA3" s="374" t="s">
        <v>131</v>
      </c>
      <c r="AB3" s="374" t="s">
        <v>136</v>
      </c>
      <c r="AC3" s="375" t="s">
        <v>133</v>
      </c>
      <c r="AD3" s="374" t="s">
        <v>137</v>
      </c>
      <c r="AH3" s="669"/>
    </row>
    <row r="4" spans="1:34">
      <c r="C4" s="98" t="s">
        <v>630</v>
      </c>
      <c r="AA4" s="376">
        <v>0</v>
      </c>
      <c r="AB4" s="377">
        <v>999.82</v>
      </c>
      <c r="AC4" s="380">
        <v>1.792E-3</v>
      </c>
      <c r="AD4" s="379">
        <f>AC4/AB4</f>
        <v>1.7923226180712527E-6</v>
      </c>
      <c r="AF4" s="671">
        <v>20</v>
      </c>
      <c r="AH4" s="672"/>
    </row>
    <row r="5" spans="1:34">
      <c r="C5" s="98" t="s">
        <v>629</v>
      </c>
      <c r="AA5" s="657">
        <v>1</v>
      </c>
      <c r="AB5" s="382">
        <v>999.89</v>
      </c>
      <c r="AC5" s="383">
        <v>1.7310000000000001E-3</v>
      </c>
      <c r="AD5" s="379">
        <f t="shared" ref="AD4:AD39" si="0">AC5/AB5</f>
        <v>1.7311904309474043E-6</v>
      </c>
      <c r="AF5" s="671">
        <v>21</v>
      </c>
      <c r="AH5" s="673">
        <v>0.15</v>
      </c>
    </row>
    <row r="6" spans="1:34">
      <c r="AA6" s="657">
        <v>2</v>
      </c>
      <c r="AB6" s="382">
        <v>999.94</v>
      </c>
      <c r="AC6" s="383">
        <v>1.673E-3</v>
      </c>
      <c r="AD6" s="379">
        <f t="shared" si="0"/>
        <v>1.6731003860231613E-6</v>
      </c>
      <c r="AF6" s="671">
        <v>22</v>
      </c>
      <c r="AH6" s="673">
        <v>0.25</v>
      </c>
    </row>
    <row r="7" spans="1:34">
      <c r="AA7" s="657">
        <v>3</v>
      </c>
      <c r="AB7" s="382">
        <v>999.98</v>
      </c>
      <c r="AC7" s="383">
        <v>1.619E-3</v>
      </c>
      <c r="AD7" s="379">
        <f t="shared" si="0"/>
        <v>1.6190323806476128E-6</v>
      </c>
      <c r="AF7" s="671">
        <v>23</v>
      </c>
      <c r="AH7" s="673">
        <v>0.3</v>
      </c>
    </row>
    <row r="8" spans="1:34">
      <c r="AA8" s="657">
        <v>4</v>
      </c>
      <c r="AB8" s="382">
        <v>1000</v>
      </c>
      <c r="AC8" s="383">
        <v>1.567E-3</v>
      </c>
      <c r="AD8" s="379">
        <f t="shared" si="0"/>
        <v>1.567E-6</v>
      </c>
      <c r="AF8" s="671">
        <v>24</v>
      </c>
      <c r="AH8" s="673">
        <v>0.35</v>
      </c>
    </row>
    <row r="9" spans="1:34">
      <c r="AA9" s="657">
        <v>5</v>
      </c>
      <c r="AB9" s="382">
        <v>1000</v>
      </c>
      <c r="AC9" s="383">
        <v>1.519E-3</v>
      </c>
      <c r="AD9" s="379">
        <f t="shared" si="0"/>
        <v>1.519E-6</v>
      </c>
      <c r="AF9" s="671">
        <v>25</v>
      </c>
      <c r="AH9" s="673">
        <v>0.35</v>
      </c>
    </row>
    <row r="10" spans="1:34">
      <c r="B10" s="695" t="s">
        <v>545</v>
      </c>
      <c r="C10" s="695"/>
      <c r="D10" s="695"/>
      <c r="E10" s="695"/>
      <c r="F10" s="695"/>
      <c r="AA10" s="657">
        <v>6</v>
      </c>
      <c r="AB10" s="382">
        <v>999.99</v>
      </c>
      <c r="AC10" s="383">
        <v>1.4730000000000001E-3</v>
      </c>
      <c r="AD10" s="379">
        <f t="shared" si="0"/>
        <v>1.4730147301473016E-6</v>
      </c>
      <c r="AF10" s="671">
        <v>26</v>
      </c>
      <c r="AH10" s="673">
        <v>0.4</v>
      </c>
    </row>
    <row r="11" spans="1:34">
      <c r="B11" s="698" t="s">
        <v>546</v>
      </c>
      <c r="C11" s="698"/>
      <c r="D11" s="698"/>
      <c r="E11" s="698"/>
      <c r="F11" s="674"/>
      <c r="G11" s="693"/>
      <c r="H11" s="693"/>
      <c r="I11" s="693"/>
      <c r="J11" s="693"/>
      <c r="AA11" s="657">
        <v>7</v>
      </c>
      <c r="AB11" s="382">
        <v>999.96</v>
      </c>
      <c r="AC11" s="383">
        <v>1.428E-3</v>
      </c>
      <c r="AD11" s="379">
        <f t="shared" si="0"/>
        <v>1.4280571222848913E-6</v>
      </c>
      <c r="AF11" s="671">
        <v>27</v>
      </c>
      <c r="AH11" s="673">
        <v>0.45</v>
      </c>
    </row>
    <row r="12" spans="1:34">
      <c r="B12" s="699" t="s">
        <v>547</v>
      </c>
      <c r="C12" s="699"/>
      <c r="D12" s="699"/>
      <c r="E12" s="699"/>
      <c r="F12" s="674"/>
      <c r="G12" s="693"/>
      <c r="H12" s="693"/>
      <c r="I12" s="693"/>
      <c r="J12" s="693"/>
      <c r="AA12" s="657">
        <v>8</v>
      </c>
      <c r="AB12" s="382">
        <v>999.91</v>
      </c>
      <c r="AC12" s="383">
        <v>1.3859999999999999E-3</v>
      </c>
      <c r="AD12" s="379">
        <f t="shared" si="0"/>
        <v>1.3861247512276103E-6</v>
      </c>
      <c r="AF12" s="671">
        <v>28</v>
      </c>
      <c r="AH12" s="673">
        <v>0.45</v>
      </c>
    </row>
    <row r="13" spans="1:34">
      <c r="A13" s="667">
        <v>13</v>
      </c>
      <c r="B13" s="502" t="s">
        <v>548</v>
      </c>
      <c r="C13" s="675">
        <v>50</v>
      </c>
      <c r="D13" s="527" t="s">
        <v>549</v>
      </c>
      <c r="E13" s="1115" t="s">
        <v>767</v>
      </c>
      <c r="G13" s="693"/>
      <c r="H13" s="693"/>
      <c r="I13" s="693"/>
      <c r="J13" s="693"/>
      <c r="AA13" s="657">
        <v>9</v>
      </c>
      <c r="AB13" s="382">
        <v>999.85</v>
      </c>
      <c r="AC13" s="383">
        <v>1.3460000000000002E-3</v>
      </c>
      <c r="AD13" s="379">
        <f t="shared" si="0"/>
        <v>1.3462019302895435E-6</v>
      </c>
      <c r="AF13" s="671">
        <v>29</v>
      </c>
      <c r="AH13" s="673">
        <v>0.5</v>
      </c>
    </row>
    <row r="14" spans="1:34">
      <c r="B14" s="502" t="s">
        <v>548</v>
      </c>
      <c r="C14" s="503">
        <f>C13/1000</f>
        <v>0.05</v>
      </c>
      <c r="D14" s="527" t="s">
        <v>550</v>
      </c>
      <c r="G14" s="693"/>
      <c r="H14" s="693"/>
      <c r="I14" s="693"/>
      <c r="J14" s="693"/>
      <c r="AA14" s="657">
        <v>10</v>
      </c>
      <c r="AB14" s="382">
        <v>999.77</v>
      </c>
      <c r="AC14" s="383">
        <v>1.3080000000000001E-3</v>
      </c>
      <c r="AD14" s="379">
        <f t="shared" si="0"/>
        <v>1.3083009092091183E-6</v>
      </c>
      <c r="AF14" s="671">
        <v>30</v>
      </c>
      <c r="AH14" s="673">
        <v>0.5</v>
      </c>
    </row>
    <row r="15" spans="1:34">
      <c r="A15" s="667">
        <v>15</v>
      </c>
      <c r="B15" s="502" t="s">
        <v>551</v>
      </c>
      <c r="C15" s="676">
        <v>27</v>
      </c>
      <c r="D15" s="521" t="s">
        <v>38</v>
      </c>
      <c r="E15" s="1115" t="s">
        <v>767</v>
      </c>
      <c r="G15" s="693"/>
      <c r="H15" s="693"/>
      <c r="I15" s="693"/>
      <c r="J15" s="693"/>
      <c r="AA15" s="657">
        <v>11</v>
      </c>
      <c r="AB15" s="382">
        <v>999.68</v>
      </c>
      <c r="AC15" s="383">
        <v>1.271E-3</v>
      </c>
      <c r="AD15" s="379">
        <f t="shared" si="0"/>
        <v>1.2714068501920614E-6</v>
      </c>
      <c r="AF15" s="671">
        <v>31</v>
      </c>
    </row>
    <row r="16" spans="1:34">
      <c r="B16" s="502" t="s">
        <v>551</v>
      </c>
      <c r="C16" s="503">
        <f>C15*60</f>
        <v>1620</v>
      </c>
      <c r="D16" s="521" t="s">
        <v>6</v>
      </c>
      <c r="G16" s="693"/>
      <c r="H16" s="693"/>
      <c r="I16" s="693"/>
      <c r="J16" s="693"/>
      <c r="AA16" s="657">
        <v>12</v>
      </c>
      <c r="AB16" s="382">
        <v>999.58</v>
      </c>
      <c r="AC16" s="383">
        <v>1.2359999999999999E-3</v>
      </c>
      <c r="AD16" s="379">
        <f t="shared" si="0"/>
        <v>1.2365193381220111E-6</v>
      </c>
      <c r="AF16" s="671">
        <v>32</v>
      </c>
    </row>
    <row r="17" spans="1:32">
      <c r="B17" s="502" t="s">
        <v>552</v>
      </c>
      <c r="C17" s="503">
        <f>+C16/C36</f>
        <v>135</v>
      </c>
      <c r="D17" s="521" t="s">
        <v>6</v>
      </c>
      <c r="G17" s="693"/>
      <c r="H17" s="693"/>
      <c r="I17" s="693"/>
      <c r="J17" s="693"/>
      <c r="AA17" s="657">
        <v>13</v>
      </c>
      <c r="AB17" s="382">
        <v>999.46</v>
      </c>
      <c r="AC17" s="383">
        <v>1.2030000000000001E-3</v>
      </c>
      <c r="AD17" s="379">
        <f t="shared" si="0"/>
        <v>1.2036499709843315E-6</v>
      </c>
      <c r="AF17" s="671">
        <v>33</v>
      </c>
    </row>
    <row r="18" spans="1:32">
      <c r="B18" s="502" t="s">
        <v>553</v>
      </c>
      <c r="C18" s="504">
        <f>+C17*C14</f>
        <v>6.75</v>
      </c>
      <c r="D18" s="521" t="s">
        <v>554</v>
      </c>
      <c r="G18" s="693"/>
      <c r="H18" s="693"/>
      <c r="I18" s="693"/>
      <c r="J18" s="693"/>
      <c r="AA18" s="657">
        <v>14</v>
      </c>
      <c r="AB18" s="382">
        <v>999.33</v>
      </c>
      <c r="AC18" s="383">
        <v>1.1709999999999999E-3</v>
      </c>
      <c r="AD18" s="379">
        <f t="shared" si="0"/>
        <v>1.1717850960143296E-6</v>
      </c>
      <c r="AF18" s="671">
        <v>34</v>
      </c>
    </row>
    <row r="19" spans="1:32">
      <c r="B19" s="502" t="s">
        <v>555</v>
      </c>
      <c r="C19" s="677">
        <f>IF(0&lt;C13&lt;15,AH5,IF(C13&lt;25,AH6,IF(C13&lt;35,AH7,IF(C13&lt;55,AH9,IF(C13&lt;65,AH10,IF(C13&lt;85,AH12,IF(C13&lt;101,AH14,)))))))</f>
        <v>0.35</v>
      </c>
      <c r="D19" s="521" t="s">
        <v>3</v>
      </c>
      <c r="G19" s="693"/>
      <c r="H19" s="693"/>
      <c r="I19" s="693"/>
      <c r="J19" s="693"/>
      <c r="AA19" s="657">
        <v>15</v>
      </c>
      <c r="AB19" s="382">
        <v>999.19</v>
      </c>
      <c r="AC19" s="383">
        <v>1.14E-3</v>
      </c>
      <c r="AD19" s="379">
        <f t="shared" si="0"/>
        <v>1.1409241485603338E-6</v>
      </c>
      <c r="AF19" s="671">
        <v>35</v>
      </c>
    </row>
    <row r="20" spans="1:32" ht="24.75" customHeight="1">
      <c r="A20" s="667">
        <v>20</v>
      </c>
      <c r="B20" s="502" t="s">
        <v>556</v>
      </c>
      <c r="C20" s="505">
        <v>0.45963999999999999</v>
      </c>
      <c r="D20" s="521" t="s">
        <v>3</v>
      </c>
      <c r="E20" s="1115" t="s">
        <v>767</v>
      </c>
      <c r="G20" s="693"/>
      <c r="H20" s="693"/>
      <c r="I20" s="693"/>
      <c r="J20" s="693"/>
      <c r="AA20" s="657">
        <v>16</v>
      </c>
      <c r="AB20" s="382">
        <v>999.03</v>
      </c>
      <c r="AC20" s="383">
        <v>1.111E-3</v>
      </c>
      <c r="AD20" s="379">
        <f t="shared" si="0"/>
        <v>1.1120787163548642E-6</v>
      </c>
      <c r="AF20" s="671">
        <v>36</v>
      </c>
    </row>
    <row r="21" spans="1:32">
      <c r="B21" s="502" t="s">
        <v>557</v>
      </c>
      <c r="C21" s="503">
        <f>(PI()*(C20^2))/4</f>
        <v>0.1659302292907848</v>
      </c>
      <c r="D21" s="521" t="s">
        <v>558</v>
      </c>
      <c r="G21" s="693"/>
      <c r="H21" s="693"/>
      <c r="I21" s="693"/>
      <c r="J21" s="693"/>
      <c r="AA21" s="657">
        <v>17</v>
      </c>
      <c r="AB21" s="382">
        <v>998.86</v>
      </c>
      <c r="AC21" s="383">
        <v>1.083E-3</v>
      </c>
      <c r="AD21" s="379">
        <f t="shared" si="0"/>
        <v>1.0842360290731433E-6</v>
      </c>
      <c r="AF21" s="671">
        <v>37</v>
      </c>
    </row>
    <row r="22" spans="1:32">
      <c r="A22" s="667">
        <v>22</v>
      </c>
      <c r="B22" s="502" t="s">
        <v>559</v>
      </c>
      <c r="C22" s="504">
        <v>0.50800000000000001</v>
      </c>
      <c r="D22" s="521" t="s">
        <v>3</v>
      </c>
      <c r="E22" s="1115" t="s">
        <v>767</v>
      </c>
      <c r="G22" s="667" t="s">
        <v>560</v>
      </c>
      <c r="AA22" s="657">
        <v>18</v>
      </c>
      <c r="AB22" s="382">
        <v>998.68</v>
      </c>
      <c r="AC22" s="383">
        <v>1.0560000000000001E-3</v>
      </c>
      <c r="AD22" s="379">
        <f t="shared" si="0"/>
        <v>1.0573957624063765E-6</v>
      </c>
      <c r="AF22" s="671">
        <v>38</v>
      </c>
    </row>
    <row r="23" spans="1:32">
      <c r="B23" s="502" t="s">
        <v>561</v>
      </c>
      <c r="C23" s="1123">
        <f>(PI()*(C22^2))/4</f>
        <v>0.20268299163899911</v>
      </c>
      <c r="D23" s="521" t="s">
        <v>558</v>
      </c>
      <c r="AA23" s="657">
        <v>19</v>
      </c>
      <c r="AB23" s="382">
        <v>998.49</v>
      </c>
      <c r="AC23" s="383">
        <v>1.0300000000000001E-3</v>
      </c>
      <c r="AD23" s="379">
        <f t="shared" si="0"/>
        <v>1.0315576520546026E-6</v>
      </c>
      <c r="AF23" s="671">
        <v>39</v>
      </c>
    </row>
    <row r="24" spans="1:32">
      <c r="A24" s="667">
        <v>24</v>
      </c>
      <c r="B24" s="502" t="s">
        <v>562</v>
      </c>
      <c r="C24" s="504">
        <v>1.3</v>
      </c>
      <c r="D24" s="521" t="s">
        <v>3</v>
      </c>
      <c r="E24" s="1115" t="s">
        <v>767</v>
      </c>
      <c r="G24" s="693"/>
      <c r="H24" s="693"/>
      <c r="I24" s="693"/>
      <c r="J24" s="693"/>
      <c r="AA24" s="657">
        <v>20</v>
      </c>
      <c r="AB24" s="382">
        <v>998.29</v>
      </c>
      <c r="AC24" s="383">
        <v>1.005E-3</v>
      </c>
      <c r="AD24" s="379">
        <f t="shared" si="0"/>
        <v>1.0067214937543199E-6</v>
      </c>
      <c r="AF24" s="671">
        <v>40</v>
      </c>
    </row>
    <row r="25" spans="1:32">
      <c r="A25" s="667">
        <v>25</v>
      </c>
      <c r="B25" s="502" t="s">
        <v>563</v>
      </c>
      <c r="C25" s="504">
        <v>1.6</v>
      </c>
      <c r="D25" s="521" t="s">
        <v>3</v>
      </c>
      <c r="E25" s="1115" t="s">
        <v>767</v>
      </c>
      <c r="F25" s="674"/>
      <c r="G25" s="693"/>
      <c r="H25" s="693"/>
      <c r="I25" s="693"/>
      <c r="J25" s="693"/>
      <c r="AA25" s="657">
        <v>21</v>
      </c>
      <c r="AB25" s="382">
        <v>998.08</v>
      </c>
      <c r="AC25" s="383">
        <v>9.810000000000001E-4</v>
      </c>
      <c r="AD25" s="379">
        <f t="shared" si="0"/>
        <v>9.8288714331516507E-7</v>
      </c>
    </row>
    <row r="26" spans="1:32">
      <c r="A26" s="667">
        <v>26</v>
      </c>
      <c r="B26" s="502" t="s">
        <v>564</v>
      </c>
      <c r="C26" s="504">
        <v>2.75</v>
      </c>
      <c r="D26" s="521" t="s">
        <v>3</v>
      </c>
      <c r="E26" s="1115" t="s">
        <v>767</v>
      </c>
      <c r="G26" s="693"/>
      <c r="H26" s="693"/>
      <c r="I26" s="693"/>
      <c r="J26" s="693"/>
      <c r="AA26" s="657">
        <v>22</v>
      </c>
      <c r="AB26" s="382">
        <v>997.86</v>
      </c>
      <c r="AC26" s="383">
        <v>9.5790000000000003E-4</v>
      </c>
      <c r="AD26" s="379">
        <f t="shared" si="0"/>
        <v>9.5995430220672237E-7</v>
      </c>
    </row>
    <row r="27" spans="1:32">
      <c r="B27" s="502" t="s">
        <v>565</v>
      </c>
      <c r="C27" s="504">
        <f>IF(C31="…","",ROUND(VLOOKUP(C31,AA$1:AD$39,2,FALSE),9))</f>
        <v>998.29</v>
      </c>
      <c r="D27" s="521" t="s">
        <v>566</v>
      </c>
      <c r="G27" s="693"/>
      <c r="H27" s="693"/>
      <c r="I27" s="693"/>
      <c r="J27" s="693"/>
      <c r="AA27" s="657">
        <v>23</v>
      </c>
      <c r="AB27" s="382">
        <v>997.62</v>
      </c>
      <c r="AC27" s="383">
        <v>9.3579999999999998E-4</v>
      </c>
      <c r="AD27" s="379">
        <f t="shared" si="0"/>
        <v>9.3803251739139144E-7</v>
      </c>
    </row>
    <row r="28" spans="1:32">
      <c r="B28" s="502" t="s">
        <v>761</v>
      </c>
      <c r="C28" s="678">
        <f>IF(C31="…","",ROUND(VLOOKUP(C31,AA$1:AD$39,3,FALSE),9))</f>
        <v>1.005E-3</v>
      </c>
      <c r="D28" s="521" t="s">
        <v>762</v>
      </c>
      <c r="G28" s="693"/>
      <c r="H28" s="693"/>
      <c r="I28" s="693"/>
      <c r="J28" s="693"/>
      <c r="AA28" s="657">
        <v>24</v>
      </c>
      <c r="AB28" s="382">
        <v>997.38</v>
      </c>
      <c r="AC28" s="383">
        <v>9.142E-4</v>
      </c>
      <c r="AD28" s="379">
        <f t="shared" si="0"/>
        <v>9.1660149591930864E-7</v>
      </c>
    </row>
    <row r="29" spans="1:32">
      <c r="B29" s="502" t="s">
        <v>763</v>
      </c>
      <c r="C29" s="678">
        <f>IF(C31="…","",ROUND(VLOOKUP(C31,AA$1:AD$39,4,FALSE),9))</f>
        <v>1.0070000000000001E-6</v>
      </c>
      <c r="D29" s="521" t="s">
        <v>567</v>
      </c>
      <c r="G29" s="693"/>
      <c r="H29" s="693"/>
      <c r="I29" s="693"/>
      <c r="J29" s="693"/>
      <c r="AA29" s="657">
        <v>25</v>
      </c>
      <c r="AB29" s="382">
        <v>997.13</v>
      </c>
      <c r="AC29" s="383">
        <v>8.9370000000000009E-4</v>
      </c>
      <c r="AD29" s="379">
        <f t="shared" si="0"/>
        <v>8.9627230150532037E-7</v>
      </c>
    </row>
    <row r="30" spans="1:32" ht="18">
      <c r="A30" s="667">
        <v>30</v>
      </c>
      <c r="B30" s="502" t="s">
        <v>568</v>
      </c>
      <c r="C30" s="504">
        <v>9.81</v>
      </c>
      <c r="D30" s="521" t="s">
        <v>569</v>
      </c>
      <c r="E30" s="1115" t="s">
        <v>767</v>
      </c>
      <c r="G30" s="693"/>
      <c r="H30" s="693"/>
      <c r="I30" s="693"/>
      <c r="J30" s="693"/>
      <c r="AA30" s="657">
        <v>26</v>
      </c>
      <c r="AB30" s="382">
        <v>996.86</v>
      </c>
      <c r="AC30" s="383">
        <v>8.7370000000000004E-4</v>
      </c>
      <c r="AD30" s="379">
        <f t="shared" si="0"/>
        <v>8.7645205946672558E-7</v>
      </c>
    </row>
    <row r="31" spans="1:32">
      <c r="A31" s="667">
        <v>31</v>
      </c>
      <c r="B31" s="506" t="s">
        <v>570</v>
      </c>
      <c r="C31" s="679">
        <v>20</v>
      </c>
      <c r="D31" s="521" t="s">
        <v>139</v>
      </c>
      <c r="E31" s="1115" t="s">
        <v>767</v>
      </c>
      <c r="G31" s="693"/>
      <c r="H31" s="693"/>
      <c r="I31" s="693"/>
      <c r="J31" s="693"/>
      <c r="AA31" s="657">
        <v>27</v>
      </c>
      <c r="AB31" s="382">
        <v>996.59</v>
      </c>
      <c r="AC31" s="383">
        <v>8.5450000000000001E-4</v>
      </c>
      <c r="AD31" s="379">
        <f t="shared" si="0"/>
        <v>8.5742381520986557E-7</v>
      </c>
    </row>
    <row r="32" spans="1:32">
      <c r="A32" s="667">
        <v>32</v>
      </c>
      <c r="B32" s="506" t="s">
        <v>571</v>
      </c>
      <c r="C32" s="507">
        <v>0.76</v>
      </c>
      <c r="D32" s="523" t="s">
        <v>572</v>
      </c>
      <c r="E32" s="1115" t="s">
        <v>767</v>
      </c>
      <c r="G32" s="693"/>
      <c r="H32" s="693"/>
      <c r="I32" s="693"/>
      <c r="J32" s="693"/>
      <c r="AA32" s="657">
        <v>28</v>
      </c>
      <c r="AB32" s="382">
        <v>996.31</v>
      </c>
      <c r="AC32" s="383">
        <v>8.3599999999999994E-4</v>
      </c>
      <c r="AD32" s="379">
        <f t="shared" si="0"/>
        <v>8.3909626521865684E-7</v>
      </c>
    </row>
    <row r="33" spans="1:30">
      <c r="A33" s="667">
        <v>33</v>
      </c>
      <c r="B33" s="506" t="s">
        <v>573</v>
      </c>
      <c r="C33" s="507">
        <v>0.8</v>
      </c>
      <c r="D33" s="523" t="s">
        <v>572</v>
      </c>
      <c r="E33" s="1115" t="s">
        <v>767</v>
      </c>
      <c r="G33" s="667" t="s">
        <v>574</v>
      </c>
      <c r="AA33" s="657">
        <v>29</v>
      </c>
      <c r="AB33" s="382">
        <v>996.02</v>
      </c>
      <c r="AC33" s="383">
        <v>8.1799999999999993E-4</v>
      </c>
      <c r="AD33" s="379">
        <f t="shared" si="0"/>
        <v>8.2126864922391111E-7</v>
      </c>
    </row>
    <row r="34" spans="1:30">
      <c r="B34" s="695" t="s">
        <v>575</v>
      </c>
      <c r="C34" s="695"/>
      <c r="D34" s="695"/>
      <c r="E34" s="695"/>
      <c r="AA34" s="657">
        <v>30</v>
      </c>
      <c r="AB34" s="382">
        <v>995.71</v>
      </c>
      <c r="AC34" s="383">
        <v>8.007E-4</v>
      </c>
      <c r="AD34" s="379">
        <f t="shared" si="0"/>
        <v>8.0414980265338299E-7</v>
      </c>
    </row>
    <row r="35" spans="1:30">
      <c r="B35" s="508" t="s">
        <v>576</v>
      </c>
      <c r="C35" s="507">
        <f>+C24*C25*C26*C36</f>
        <v>68.640000000000015</v>
      </c>
      <c r="D35" s="522" t="s">
        <v>554</v>
      </c>
      <c r="G35" s="693"/>
      <c r="H35" s="693"/>
      <c r="I35" s="693"/>
      <c r="J35" s="693"/>
      <c r="AA35" s="657">
        <v>31</v>
      </c>
      <c r="AB35" s="382">
        <v>995.41</v>
      </c>
      <c r="AC35" s="383">
        <v>7.8400000000000008E-4</v>
      </c>
      <c r="AD35" s="379">
        <f t="shared" si="0"/>
        <v>7.8761515355481675E-7</v>
      </c>
    </row>
    <row r="36" spans="1:30">
      <c r="B36" s="508" t="s">
        <v>577</v>
      </c>
      <c r="C36" s="506">
        <v>12</v>
      </c>
      <c r="D36" s="522" t="s">
        <v>578</v>
      </c>
      <c r="E36" s="1116" t="s">
        <v>768</v>
      </c>
      <c r="G36" s="693"/>
      <c r="H36" s="693"/>
      <c r="I36" s="693"/>
      <c r="J36" s="693"/>
      <c r="AA36" s="657">
        <v>32</v>
      </c>
      <c r="AB36" s="382">
        <v>995.09</v>
      </c>
      <c r="AC36" s="383">
        <v>7.6790000000000007E-4</v>
      </c>
      <c r="AD36" s="379">
        <f t="shared" si="0"/>
        <v>7.7168899295541107E-7</v>
      </c>
    </row>
    <row r="37" spans="1:30">
      <c r="B37" s="508" t="s">
        <v>579</v>
      </c>
      <c r="C37" s="509">
        <f>C14/C21</f>
        <v>0.30133147054463111</v>
      </c>
      <c r="D37" s="522" t="s">
        <v>5</v>
      </c>
      <c r="G37" s="693"/>
      <c r="H37" s="693"/>
      <c r="I37" s="693"/>
      <c r="J37" s="693"/>
      <c r="AA37" s="657">
        <v>33</v>
      </c>
      <c r="AB37" s="382">
        <v>994.76</v>
      </c>
      <c r="AC37" s="383">
        <v>7.5230000000000002E-4</v>
      </c>
      <c r="AD37" s="379">
        <f t="shared" si="0"/>
        <v>7.5626281716192853E-7</v>
      </c>
    </row>
    <row r="38" spans="1:30">
      <c r="B38" s="680" t="s">
        <v>580</v>
      </c>
      <c r="C38" s="510" t="str">
        <f>IF(C37&lt;0.25,"No cumple",IF(C37&gt;0.65,"No cumple","Cumple"))</f>
        <v>Cumple</v>
      </c>
      <c r="D38" s="525"/>
      <c r="G38" s="693"/>
      <c r="H38" s="693"/>
      <c r="I38" s="693"/>
      <c r="J38" s="693"/>
      <c r="AA38" s="657">
        <v>34</v>
      </c>
      <c r="AB38" s="382">
        <v>994.43</v>
      </c>
      <c r="AC38" s="383">
        <v>7.3709999999999997E-4</v>
      </c>
      <c r="AD38" s="379">
        <f t="shared" si="0"/>
        <v>7.4122864354454311E-7</v>
      </c>
    </row>
    <row r="39" spans="1:30">
      <c r="B39" s="511" t="s">
        <v>581</v>
      </c>
      <c r="C39" s="1119">
        <f>+($C$14^2/((2*$C$30)*($C$32^2)*($C$21^2)))</f>
        <v>8.0124031759763303E-3</v>
      </c>
      <c r="D39" s="522" t="s">
        <v>3</v>
      </c>
      <c r="F39" s="674"/>
      <c r="G39" s="693"/>
      <c r="H39" s="693"/>
      <c r="I39" s="693"/>
      <c r="J39" s="693"/>
      <c r="AA39" s="657">
        <v>35</v>
      </c>
      <c r="AB39" s="382">
        <v>994.08</v>
      </c>
      <c r="AC39" s="383">
        <v>7.2250000000000005E-4</v>
      </c>
      <c r="AD39" s="379">
        <f t="shared" si="0"/>
        <v>7.2680267181715759E-7</v>
      </c>
    </row>
    <row r="40" spans="1:30">
      <c r="B40" s="511" t="s">
        <v>582</v>
      </c>
      <c r="C40" s="513">
        <f>+(0.4)*(($C$37^2)/(2*$C$30))</f>
        <v>1.8511856297775714E-3</v>
      </c>
      <c r="D40" s="522" t="s">
        <v>3</v>
      </c>
      <c r="G40" s="693"/>
      <c r="H40" s="693"/>
      <c r="I40" s="693"/>
      <c r="J40" s="693"/>
    </row>
    <row r="41" spans="1:30">
      <c r="B41" s="511" t="s">
        <v>583</v>
      </c>
      <c r="C41" s="513">
        <f>+($C$14^2/((2*$C$30)*($C$33^2)*($C$23^2)))</f>
        <v>4.8464799431426082E-3</v>
      </c>
      <c r="D41" s="522" t="s">
        <v>3</v>
      </c>
      <c r="G41" s="693"/>
      <c r="H41" s="693"/>
      <c r="I41" s="693"/>
      <c r="J41" s="693"/>
    </row>
    <row r="42" spans="1:30">
      <c r="B42" s="508" t="s">
        <v>584</v>
      </c>
      <c r="C42" s="1121">
        <f>+$C$39+$C$40+$C$41</f>
        <v>1.4710068748896511E-2</v>
      </c>
      <c r="D42" s="522" t="s">
        <v>3</v>
      </c>
      <c r="G42" s="693"/>
      <c r="H42" s="693"/>
      <c r="I42" s="693"/>
      <c r="J42" s="693"/>
    </row>
    <row r="43" spans="1:30">
      <c r="A43" s="1117" t="s">
        <v>769</v>
      </c>
      <c r="B43" s="508" t="s">
        <v>585</v>
      </c>
      <c r="C43" s="512">
        <f>+$C$42*$C$36</f>
        <v>0.17652082498675814</v>
      </c>
      <c r="D43" s="522" t="s">
        <v>3</v>
      </c>
      <c r="G43" s="667" t="s">
        <v>586</v>
      </c>
    </row>
    <row r="44" spans="1:30" ht="18">
      <c r="B44" s="508" t="s">
        <v>587</v>
      </c>
      <c r="C44" s="512">
        <f>(SQRT(($C$30*$C$42)/($C$29*$C$17)))</f>
        <v>32.580686830382156</v>
      </c>
      <c r="D44" s="522" t="s">
        <v>588</v>
      </c>
    </row>
    <row r="45" spans="1:30">
      <c r="B45" s="681" t="str">
        <f>+B44</f>
        <v>Gradiente de Mezcla (G)</v>
      </c>
      <c r="C45" s="514" t="str">
        <f>IF(C44&lt;35,"No cumple",IF(C44&gt;55,"No cumple","Cumple"))</f>
        <v>No cumple</v>
      </c>
      <c r="D45" s="526"/>
      <c r="G45" s="693"/>
      <c r="H45" s="693"/>
      <c r="I45" s="693"/>
      <c r="J45" s="693"/>
    </row>
    <row r="46" spans="1:30">
      <c r="B46" s="508" t="s">
        <v>589</v>
      </c>
      <c r="C46" s="1124">
        <f>+$C$44*$C$17</f>
        <v>4398.3927221015911</v>
      </c>
      <c r="D46" s="522"/>
      <c r="G46" s="693"/>
      <c r="H46" s="693"/>
      <c r="I46" s="693"/>
      <c r="J46" s="693"/>
    </row>
    <row r="47" spans="1:30">
      <c r="B47" s="516" t="s">
        <v>590</v>
      </c>
      <c r="C47" s="510">
        <f>+C42/$C$25</f>
        <v>9.1937929680603186E-3</v>
      </c>
      <c r="D47" s="527" t="s">
        <v>204</v>
      </c>
      <c r="G47" s="693"/>
      <c r="H47" s="693"/>
      <c r="I47" s="693"/>
      <c r="J47" s="693"/>
    </row>
    <row r="48" spans="1:30">
      <c r="B48" s="516" t="s">
        <v>53</v>
      </c>
      <c r="C48" s="510">
        <f>(C27*C20*C37)/C28</f>
        <v>137579.25899110158</v>
      </c>
      <c r="D48" s="527"/>
      <c r="G48" s="693"/>
      <c r="H48" s="693"/>
      <c r="I48" s="693"/>
      <c r="J48" s="693"/>
    </row>
    <row r="49" spans="1:10">
      <c r="B49" s="516" t="s">
        <v>764</v>
      </c>
      <c r="C49" s="510">
        <f>(C44/(SQRT(C48)))</f>
        <v>8.7838265704231352E-2</v>
      </c>
      <c r="D49" s="527"/>
      <c r="G49" s="693"/>
      <c r="H49" s="693"/>
      <c r="I49" s="693"/>
      <c r="J49" s="693"/>
    </row>
    <row r="50" spans="1:10">
      <c r="A50" s="1117" t="s">
        <v>770</v>
      </c>
      <c r="B50" s="506" t="s">
        <v>765</v>
      </c>
      <c r="C50" s="514" t="str">
        <f>IF(C49&lt;0.3,"Cumple",IF(C48&lt;0.3,"No cumple"))</f>
        <v>Cumple</v>
      </c>
      <c r="D50" s="523"/>
      <c r="E50" s="682"/>
      <c r="G50" s="693"/>
      <c r="H50" s="693"/>
      <c r="I50" s="693"/>
      <c r="J50" s="693"/>
    </row>
    <row r="51" spans="1:10">
      <c r="B51" s="682"/>
      <c r="C51" s="682"/>
      <c r="D51" s="682"/>
      <c r="E51" s="682"/>
      <c r="G51" s="693"/>
      <c r="H51" s="693"/>
      <c r="I51" s="693"/>
      <c r="J51" s="693"/>
    </row>
    <row r="52" spans="1:10">
      <c r="B52" s="674" t="s">
        <v>591</v>
      </c>
      <c r="C52" s="674"/>
      <c r="D52" s="674"/>
      <c r="E52" s="674"/>
      <c r="G52" s="693"/>
      <c r="H52" s="693"/>
      <c r="I52" s="693"/>
      <c r="J52" s="693"/>
    </row>
    <row r="53" spans="1:10">
      <c r="B53" s="502" t="s">
        <v>592</v>
      </c>
      <c r="C53" s="504">
        <v>0.46</v>
      </c>
      <c r="D53" s="521" t="s">
        <v>3</v>
      </c>
      <c r="G53" s="693"/>
      <c r="H53" s="693"/>
      <c r="I53" s="693"/>
      <c r="J53" s="693"/>
    </row>
    <row r="54" spans="1:10">
      <c r="B54" s="502" t="s">
        <v>593</v>
      </c>
      <c r="C54" s="1122">
        <f>(PI()*(C53^2))/4</f>
        <v>0.16619025137490007</v>
      </c>
      <c r="D54" s="521" t="s">
        <v>558</v>
      </c>
      <c r="G54" s="693"/>
      <c r="H54" s="693"/>
      <c r="I54" s="693"/>
      <c r="J54" s="693"/>
    </row>
    <row r="55" spans="1:10">
      <c r="B55" s="502" t="s">
        <v>594</v>
      </c>
      <c r="C55" s="503">
        <f>+$C$33</f>
        <v>0.8</v>
      </c>
      <c r="D55" s="521"/>
    </row>
    <row r="56" spans="1:10">
      <c r="B56" s="506" t="s">
        <v>595</v>
      </c>
      <c r="C56" s="1120">
        <f>+($C$14^2/((2*$C$30)*(C55^2)*($C$21^2)))</f>
        <v>7.231193866318637E-3</v>
      </c>
      <c r="D56" s="523" t="s">
        <v>3</v>
      </c>
      <c r="E56" s="1125"/>
      <c r="G56" s="693"/>
      <c r="H56" s="693"/>
      <c r="I56" s="693"/>
      <c r="J56" s="693"/>
    </row>
    <row r="57" spans="1:10">
      <c r="B57" s="506" t="s">
        <v>582</v>
      </c>
      <c r="C57" s="1121">
        <f>+(0.4)*(($C$37^2)/(2*$C$30))</f>
        <v>1.8511856297775714E-3</v>
      </c>
      <c r="D57" s="523" t="s">
        <v>3</v>
      </c>
      <c r="E57" s="1125"/>
      <c r="G57" s="693"/>
      <c r="H57" s="693"/>
      <c r="I57" s="693"/>
      <c r="J57" s="693"/>
    </row>
    <row r="58" spans="1:10">
      <c r="B58" s="506" t="s">
        <v>583</v>
      </c>
      <c r="C58" s="1120">
        <f>+($C$14^2/((2*$C$30)*($C$33^2)*(C54^2)))</f>
        <v>7.2085836452701873E-3</v>
      </c>
      <c r="D58" s="523" t="s">
        <v>3</v>
      </c>
      <c r="E58" s="1125"/>
      <c r="G58" s="693"/>
      <c r="H58" s="693"/>
      <c r="I58" s="693"/>
      <c r="J58" s="693"/>
    </row>
    <row r="59" spans="1:10">
      <c r="B59" s="506" t="s">
        <v>584</v>
      </c>
      <c r="C59" s="1118">
        <f>+C56+C57+C58</f>
        <v>1.6290963141366396E-2</v>
      </c>
      <c r="D59" s="523" t="s">
        <v>3</v>
      </c>
      <c r="F59" s="693"/>
      <c r="G59" s="693"/>
      <c r="H59" s="693"/>
      <c r="I59" s="693"/>
      <c r="J59" s="693"/>
    </row>
    <row r="60" spans="1:10" ht="21.75" customHeight="1">
      <c r="B60" s="506" t="s">
        <v>596</v>
      </c>
      <c r="C60" s="512">
        <f>(SQRT(($C$30*C59)/($C$29*$C$17)))</f>
        <v>34.286745570553727</v>
      </c>
      <c r="D60" s="523" t="s">
        <v>597</v>
      </c>
      <c r="E60" s="683" t="str">
        <f>IF(C60&lt;35,"No cumple",IF(C60&gt;55,"No cumple","Cumple"))</f>
        <v>No cumple</v>
      </c>
      <c r="F60" s="693"/>
      <c r="G60" s="693"/>
      <c r="H60" s="693"/>
      <c r="I60" s="693"/>
      <c r="J60" s="693"/>
    </row>
    <row r="61" spans="1:10">
      <c r="B61" s="508" t="s">
        <v>589</v>
      </c>
      <c r="C61" s="515">
        <f>+C60*$C$17</f>
        <v>4628.7106520247535</v>
      </c>
      <c r="D61" s="524"/>
      <c r="F61" s="693"/>
      <c r="G61" s="667" t="s">
        <v>598</v>
      </c>
    </row>
    <row r="62" spans="1:10">
      <c r="B62" s="508" t="s">
        <v>590</v>
      </c>
      <c r="C62" s="517">
        <f>+C59/$C$25</f>
        <v>1.0181851963353998E-2</v>
      </c>
      <c r="D62" s="524" t="s">
        <v>204</v>
      </c>
    </row>
    <row r="63" spans="1:10">
      <c r="G63" s="693"/>
      <c r="H63" s="693"/>
      <c r="I63" s="693"/>
      <c r="J63" s="693"/>
    </row>
    <row r="64" spans="1:10">
      <c r="B64" s="674" t="s">
        <v>599</v>
      </c>
      <c r="C64" s="674"/>
      <c r="D64" s="674"/>
      <c r="E64" s="674"/>
      <c r="G64" s="693"/>
      <c r="H64" s="693"/>
      <c r="I64" s="693"/>
      <c r="J64" s="693"/>
    </row>
    <row r="65" spans="2:10">
      <c r="B65" s="502" t="s">
        <v>592</v>
      </c>
      <c r="C65" s="504">
        <v>0.41</v>
      </c>
      <c r="D65" s="521" t="s">
        <v>3</v>
      </c>
      <c r="G65" s="693"/>
      <c r="H65" s="693"/>
      <c r="I65" s="693"/>
      <c r="J65" s="693"/>
    </row>
    <row r="66" spans="2:10">
      <c r="B66" s="502" t="s">
        <v>600</v>
      </c>
      <c r="C66" s="503">
        <f>(PI()*(C65^2))/4</f>
        <v>0.13202543126711103</v>
      </c>
      <c r="D66" s="521" t="s">
        <v>558</v>
      </c>
      <c r="G66" s="693"/>
      <c r="H66" s="693"/>
      <c r="I66" s="693"/>
      <c r="J66" s="693"/>
    </row>
    <row r="67" spans="2:10">
      <c r="B67" s="502" t="s">
        <v>594</v>
      </c>
      <c r="C67" s="503">
        <f>+$C$33</f>
        <v>0.8</v>
      </c>
      <c r="D67" s="521"/>
      <c r="G67" s="693"/>
      <c r="H67" s="693"/>
      <c r="I67" s="693"/>
      <c r="J67" s="693"/>
    </row>
    <row r="68" spans="2:10">
      <c r="B68" s="506" t="s">
        <v>595</v>
      </c>
      <c r="C68" s="1118">
        <f>+($C$14^2/((2*$C$30)*(C67^2)*($C$21^2)))</f>
        <v>7.231193866318637E-3</v>
      </c>
      <c r="D68" s="523" t="s">
        <v>3</v>
      </c>
      <c r="G68" s="684" t="s">
        <v>601</v>
      </c>
    </row>
    <row r="69" spans="2:10">
      <c r="B69" s="506" t="s">
        <v>582</v>
      </c>
      <c r="C69" s="512">
        <f>+(0.4)*(($C$37^2)/(2*$C$30))</f>
        <v>1.8511856297775714E-3</v>
      </c>
      <c r="D69" s="523" t="s">
        <v>3</v>
      </c>
    </row>
    <row r="70" spans="2:10">
      <c r="B70" s="506" t="s">
        <v>583</v>
      </c>
      <c r="C70" s="512">
        <f>+($C$14^2/((2*$C$30)*($C$33^2)*(C66^2)))</f>
        <v>1.1422096948049354E-2</v>
      </c>
      <c r="D70" s="523" t="s">
        <v>3</v>
      </c>
      <c r="G70" s="693"/>
      <c r="H70" s="693"/>
      <c r="I70" s="693"/>
      <c r="J70" s="693"/>
    </row>
    <row r="71" spans="2:10">
      <c r="B71" s="506" t="s">
        <v>584</v>
      </c>
      <c r="C71" s="512">
        <f>+C68+C69+C70</f>
        <v>2.0504476444145561E-2</v>
      </c>
      <c r="D71" s="523" t="s">
        <v>3</v>
      </c>
      <c r="G71" s="693"/>
      <c r="H71" s="693"/>
      <c r="I71" s="693"/>
      <c r="J71" s="693"/>
    </row>
    <row r="72" spans="2:10" ht="18">
      <c r="B72" s="506" t="s">
        <v>596</v>
      </c>
      <c r="C72" s="512">
        <f>(SQRT(($C$30*C71)/($C$29*$C$17)))</f>
        <v>38.466017643470835</v>
      </c>
      <c r="D72" s="523" t="s">
        <v>597</v>
      </c>
      <c r="E72" s="683" t="str">
        <f>IF(C72&lt;35,"No cumple",IF(C72&gt;55,"No cumple","Cumple"))</f>
        <v>Cumple</v>
      </c>
      <c r="G72" s="693"/>
      <c r="H72" s="693"/>
      <c r="I72" s="693"/>
      <c r="J72" s="693"/>
    </row>
    <row r="73" spans="2:10">
      <c r="B73" s="508" t="s">
        <v>589</v>
      </c>
      <c r="C73" s="515">
        <f>+C72*$C$17</f>
        <v>5192.912381868563</v>
      </c>
      <c r="D73" s="524"/>
      <c r="F73" s="685"/>
      <c r="G73" s="693"/>
      <c r="H73" s="693"/>
      <c r="I73" s="693"/>
      <c r="J73" s="693"/>
    </row>
    <row r="74" spans="2:10">
      <c r="B74" s="508" t="s">
        <v>590</v>
      </c>
      <c r="C74" s="510">
        <f>+C71/$C$25</f>
        <v>1.2815297777590976E-2</v>
      </c>
      <c r="D74" s="524" t="s">
        <v>204</v>
      </c>
      <c r="G74" s="684" t="s">
        <v>602</v>
      </c>
    </row>
    <row r="76" spans="2:10">
      <c r="B76" s="686" t="s">
        <v>603</v>
      </c>
      <c r="C76" s="686"/>
      <c r="D76" s="686"/>
      <c r="E76" s="686"/>
      <c r="G76" s="693"/>
      <c r="H76" s="693"/>
      <c r="I76" s="693"/>
      <c r="J76" s="693"/>
    </row>
    <row r="77" spans="2:10">
      <c r="B77" s="502" t="s">
        <v>592</v>
      </c>
      <c r="C77" s="504">
        <v>0.46</v>
      </c>
      <c r="D77" s="521" t="s">
        <v>3</v>
      </c>
      <c r="G77" s="693"/>
      <c r="H77" s="693"/>
      <c r="I77" s="693"/>
      <c r="J77" s="693"/>
    </row>
    <row r="78" spans="2:10">
      <c r="B78" s="502" t="s">
        <v>604</v>
      </c>
      <c r="C78" s="503">
        <f>(PI()*(C77^2))/4</f>
        <v>0.16619025137490007</v>
      </c>
      <c r="D78" s="521" t="s">
        <v>558</v>
      </c>
      <c r="G78" s="693"/>
      <c r="H78" s="693"/>
      <c r="I78" s="693"/>
      <c r="J78" s="693"/>
    </row>
    <row r="79" spans="2:10">
      <c r="B79" s="502" t="s">
        <v>594</v>
      </c>
      <c r="C79" s="503">
        <f>+$C$33</f>
        <v>0.8</v>
      </c>
      <c r="D79" s="521"/>
      <c r="G79" s="693"/>
      <c r="H79" s="693"/>
      <c r="I79" s="693"/>
      <c r="J79" s="693"/>
    </row>
    <row r="80" spans="2:10">
      <c r="B80" s="506" t="s">
        <v>595</v>
      </c>
      <c r="C80" s="507">
        <f>+($C$14^2/((2*$C$30)*(C79^2)*($C$21^2)))</f>
        <v>7.231193866318637E-3</v>
      </c>
      <c r="D80" s="523" t="s">
        <v>3</v>
      </c>
      <c r="G80" s="693"/>
      <c r="H80" s="693"/>
      <c r="I80" s="693"/>
      <c r="J80" s="693"/>
    </row>
    <row r="81" spans="2:7">
      <c r="B81" s="506" t="s">
        <v>582</v>
      </c>
      <c r="C81" s="507">
        <f>+(0.4)*(($C$37^2)/(2*$C$30))</f>
        <v>1.8511856297775714E-3</v>
      </c>
      <c r="D81" s="523" t="s">
        <v>3</v>
      </c>
      <c r="G81" s="684" t="s">
        <v>605</v>
      </c>
    </row>
    <row r="82" spans="2:7">
      <c r="B82" s="506" t="s">
        <v>583</v>
      </c>
      <c r="C82" s="507">
        <f>+($C$14^2/((2*$C$30)*($C$33^2)*(C78^2)))</f>
        <v>7.2085836452701873E-3</v>
      </c>
      <c r="D82" s="523" t="s">
        <v>3</v>
      </c>
    </row>
    <row r="83" spans="2:7">
      <c r="B83" s="506" t="s">
        <v>584</v>
      </c>
      <c r="C83" s="507">
        <f>+C80+C81+C82</f>
        <v>1.6290963141366396E-2</v>
      </c>
      <c r="D83" s="523" t="s">
        <v>3</v>
      </c>
    </row>
    <row r="84" spans="2:7" ht="18">
      <c r="B84" s="506" t="s">
        <v>596</v>
      </c>
      <c r="C84" s="507">
        <f>(SQRT(($C$30*C83)/($C$29*$C$17)))</f>
        <v>34.286745570553727</v>
      </c>
      <c r="D84" s="523" t="s">
        <v>597</v>
      </c>
      <c r="E84" s="683" t="str">
        <f>IF(C84&lt;35,"No cumple",IF(C84&gt;55,"No cumple","Cumple"))</f>
        <v>No cumple</v>
      </c>
    </row>
    <row r="85" spans="2:7">
      <c r="B85" s="508" t="s">
        <v>589</v>
      </c>
      <c r="C85" s="515">
        <f>+C84*$C$17</f>
        <v>4628.7106520247535</v>
      </c>
      <c r="D85" s="524"/>
      <c r="F85" s="685"/>
    </row>
    <row r="86" spans="2:7">
      <c r="B86" s="508" t="s">
        <v>590</v>
      </c>
      <c r="C86" s="517">
        <f>+C83/$C$25</f>
        <v>1.0181851963353998E-2</v>
      </c>
      <c r="D86" s="524" t="s">
        <v>204</v>
      </c>
    </row>
    <row r="88" spans="2:7">
      <c r="B88" s="674" t="s">
        <v>606</v>
      </c>
      <c r="C88" s="674"/>
      <c r="D88" s="674"/>
      <c r="E88" s="674"/>
    </row>
    <row r="89" spans="2:7">
      <c r="B89" s="502" t="s">
        <v>592</v>
      </c>
      <c r="C89" s="504">
        <v>0.41</v>
      </c>
      <c r="D89" s="521" t="s">
        <v>3</v>
      </c>
    </row>
    <row r="90" spans="2:7">
      <c r="B90" s="502" t="s">
        <v>607</v>
      </c>
      <c r="C90" s="503">
        <f>(PI()*(C89^2))/4</f>
        <v>0.13202543126711103</v>
      </c>
      <c r="D90" s="521" t="s">
        <v>558</v>
      </c>
    </row>
    <row r="91" spans="2:7">
      <c r="B91" s="502" t="s">
        <v>594</v>
      </c>
      <c r="C91" s="503">
        <f>+$C$33</f>
        <v>0.8</v>
      </c>
      <c r="D91" s="521"/>
    </row>
    <row r="92" spans="2:7">
      <c r="B92" s="506" t="s">
        <v>595</v>
      </c>
      <c r="C92" s="507">
        <f>+($C$14^2/((2*$C$30)*(C91^2)*($C$21^2)))</f>
        <v>7.231193866318637E-3</v>
      </c>
      <c r="D92" s="523" t="s">
        <v>3</v>
      </c>
    </row>
    <row r="93" spans="2:7">
      <c r="B93" s="506" t="s">
        <v>582</v>
      </c>
      <c r="C93" s="507">
        <f>+(0.4)*(($C$37^2)/(2*$C$30))</f>
        <v>1.8511856297775714E-3</v>
      </c>
      <c r="D93" s="523" t="s">
        <v>3</v>
      </c>
    </row>
    <row r="94" spans="2:7">
      <c r="B94" s="506" t="s">
        <v>583</v>
      </c>
      <c r="C94" s="507">
        <f>+($C$14^2/((2*$C$30)*($C$33^2)*(C90^2)))</f>
        <v>1.1422096948049354E-2</v>
      </c>
      <c r="D94" s="523" t="s">
        <v>3</v>
      </c>
    </row>
    <row r="95" spans="2:7">
      <c r="B95" s="506" t="s">
        <v>584</v>
      </c>
      <c r="C95" s="507">
        <f>+C92+C93+C94</f>
        <v>2.0504476444145561E-2</v>
      </c>
      <c r="D95" s="523" t="s">
        <v>3</v>
      </c>
    </row>
    <row r="96" spans="2:7" ht="18">
      <c r="B96" s="506" t="s">
        <v>596</v>
      </c>
      <c r="C96" s="507">
        <f>(SQRT(($C$30*C95)/($C$29*$C$17)))</f>
        <v>38.466017643470835</v>
      </c>
      <c r="D96" s="523" t="s">
        <v>597</v>
      </c>
      <c r="E96" s="683" t="str">
        <f>IF(C96&lt;35,"No cumple",IF(C96&gt;55,"No cumple","Cumple"))</f>
        <v>Cumple</v>
      </c>
    </row>
    <row r="97" spans="2:6">
      <c r="B97" s="508" t="s">
        <v>589</v>
      </c>
      <c r="C97" s="515">
        <f>+C96*$C$17</f>
        <v>5192.912381868563</v>
      </c>
      <c r="D97" s="524"/>
      <c r="F97" s="685"/>
    </row>
    <row r="98" spans="2:6">
      <c r="B98" s="508" t="s">
        <v>590</v>
      </c>
      <c r="C98" s="517">
        <f>+C95/$C$25</f>
        <v>1.2815297777590976E-2</v>
      </c>
      <c r="D98" s="524" t="s">
        <v>204</v>
      </c>
    </row>
    <row r="100" spans="2:6">
      <c r="B100" s="686" t="s">
        <v>608</v>
      </c>
      <c r="C100" s="686"/>
      <c r="D100" s="686"/>
      <c r="E100" s="686"/>
    </row>
    <row r="101" spans="2:6">
      <c r="B101" s="502" t="s">
        <v>592</v>
      </c>
      <c r="C101" s="504">
        <v>0.46</v>
      </c>
      <c r="D101" s="521" t="s">
        <v>3</v>
      </c>
    </row>
    <row r="102" spans="2:6">
      <c r="B102" s="502" t="s">
        <v>609</v>
      </c>
      <c r="C102" s="503">
        <f>(PI()*(C101^2))/4</f>
        <v>0.16619025137490007</v>
      </c>
      <c r="D102" s="521" t="s">
        <v>558</v>
      </c>
    </row>
    <row r="103" spans="2:6">
      <c r="B103" s="502" t="s">
        <v>594</v>
      </c>
      <c r="C103" s="503">
        <f>+$C$33</f>
        <v>0.8</v>
      </c>
      <c r="D103" s="521"/>
    </row>
    <row r="104" spans="2:6">
      <c r="B104" s="506" t="s">
        <v>595</v>
      </c>
      <c r="C104" s="507">
        <f>+($C$14^2/((2*$C$30)*(C103^2)*($C$21^2)))</f>
        <v>7.231193866318637E-3</v>
      </c>
      <c r="D104" s="523" t="s">
        <v>3</v>
      </c>
    </row>
    <row r="105" spans="2:6">
      <c r="B105" s="506" t="s">
        <v>582</v>
      </c>
      <c r="C105" s="507">
        <f>+(0.4)*(($C$37^2)/(2*$C$30))</f>
        <v>1.8511856297775714E-3</v>
      </c>
      <c r="D105" s="523" t="s">
        <v>3</v>
      </c>
    </row>
    <row r="106" spans="2:6">
      <c r="B106" s="506" t="s">
        <v>583</v>
      </c>
      <c r="C106" s="507">
        <f>+($C$14^2/((2*$C$30)*($C$33^2)*(C102^2)))</f>
        <v>7.2085836452701873E-3</v>
      </c>
      <c r="D106" s="523" t="s">
        <v>3</v>
      </c>
    </row>
    <row r="107" spans="2:6">
      <c r="B107" s="506" t="s">
        <v>584</v>
      </c>
      <c r="C107" s="507">
        <f>+C104+C105+C106</f>
        <v>1.6290963141366396E-2</v>
      </c>
      <c r="D107" s="523" t="s">
        <v>3</v>
      </c>
    </row>
    <row r="108" spans="2:6" ht="18">
      <c r="B108" s="506" t="s">
        <v>596</v>
      </c>
      <c r="C108" s="507">
        <f>(SQRT(($C$30*C107)/($C$29*$C$17)))</f>
        <v>34.286745570553727</v>
      </c>
      <c r="D108" s="523" t="s">
        <v>597</v>
      </c>
      <c r="E108" s="683" t="str">
        <f>IF(C108&lt;35,"No cumple",IF(C108&gt;55,"No cumple","Cumple"))</f>
        <v>No cumple</v>
      </c>
    </row>
    <row r="109" spans="2:6">
      <c r="B109" s="508" t="s">
        <v>589</v>
      </c>
      <c r="C109" s="515">
        <f>+C108*$C$17</f>
        <v>4628.7106520247535</v>
      </c>
      <c r="D109" s="524"/>
      <c r="F109" s="685"/>
    </row>
    <row r="110" spans="2:6">
      <c r="B110" s="508" t="s">
        <v>590</v>
      </c>
      <c r="C110" s="517">
        <f>+C107/$C$25</f>
        <v>1.0181851963353998E-2</v>
      </c>
      <c r="D110" s="524" t="s">
        <v>204</v>
      </c>
    </row>
    <row r="112" spans="2:6">
      <c r="B112" s="674" t="s">
        <v>610</v>
      </c>
      <c r="C112" s="674"/>
      <c r="D112" s="674"/>
      <c r="E112" s="674"/>
    </row>
    <row r="113" spans="2:6">
      <c r="B113" s="502" t="s">
        <v>592</v>
      </c>
      <c r="C113" s="504">
        <v>0.41</v>
      </c>
      <c r="D113" s="521" t="s">
        <v>3</v>
      </c>
    </row>
    <row r="114" spans="2:6">
      <c r="B114" s="502" t="s">
        <v>611</v>
      </c>
      <c r="C114" s="503">
        <f>(PI()*(C113^2))/4</f>
        <v>0.13202543126711103</v>
      </c>
      <c r="D114" s="521" t="s">
        <v>558</v>
      </c>
    </row>
    <row r="115" spans="2:6">
      <c r="B115" s="502" t="s">
        <v>594</v>
      </c>
      <c r="C115" s="503">
        <f>+$C$33</f>
        <v>0.8</v>
      </c>
      <c r="D115" s="521"/>
    </row>
    <row r="116" spans="2:6">
      <c r="B116" s="506" t="s">
        <v>595</v>
      </c>
      <c r="C116" s="507">
        <f>+($C$14^2/((2*$C$30)*(C115^2)*($C$21^2)))</f>
        <v>7.231193866318637E-3</v>
      </c>
      <c r="D116" s="523" t="s">
        <v>3</v>
      </c>
    </row>
    <row r="117" spans="2:6">
      <c r="B117" s="506" t="s">
        <v>582</v>
      </c>
      <c r="C117" s="507">
        <f>+(0.4)*(($C$37^2)/(2*$C$30))</f>
        <v>1.8511856297775714E-3</v>
      </c>
      <c r="D117" s="523" t="s">
        <v>3</v>
      </c>
    </row>
    <row r="118" spans="2:6">
      <c r="B118" s="506" t="s">
        <v>583</v>
      </c>
      <c r="C118" s="507">
        <f>+($C$14^2/((2*$C$30)*($C$33^2)*(C114^2)))</f>
        <v>1.1422096948049354E-2</v>
      </c>
      <c r="D118" s="523" t="s">
        <v>3</v>
      </c>
    </row>
    <row r="119" spans="2:6">
      <c r="B119" s="506" t="s">
        <v>584</v>
      </c>
      <c r="C119" s="507">
        <f>+C116+C117+C118</f>
        <v>2.0504476444145561E-2</v>
      </c>
      <c r="D119" s="523" t="s">
        <v>3</v>
      </c>
    </row>
    <row r="120" spans="2:6" ht="18">
      <c r="B120" s="506" t="s">
        <v>596</v>
      </c>
      <c r="C120" s="507">
        <f>(SQRT(($C$30*C119)/($C$29*$C$17)))</f>
        <v>38.466017643470835</v>
      </c>
      <c r="D120" s="523" t="s">
        <v>597</v>
      </c>
      <c r="E120" s="683" t="str">
        <f>IF(C120&lt;35,"No cumple",IF(C120&gt;55,"No cumple","Cumple"))</f>
        <v>Cumple</v>
      </c>
    </row>
    <row r="121" spans="2:6">
      <c r="B121" s="508" t="s">
        <v>589</v>
      </c>
      <c r="C121" s="515">
        <f>+C120*$C$17</f>
        <v>5192.912381868563</v>
      </c>
      <c r="D121" s="524"/>
      <c r="F121" s="685"/>
    </row>
    <row r="122" spans="2:6">
      <c r="B122" s="508" t="s">
        <v>590</v>
      </c>
      <c r="C122" s="517">
        <f>+C119/$C$25</f>
        <v>1.2815297777590976E-2</v>
      </c>
      <c r="D122" s="524" t="s">
        <v>204</v>
      </c>
    </row>
    <row r="124" spans="2:6">
      <c r="B124" s="686" t="s">
        <v>612</v>
      </c>
      <c r="C124" s="686"/>
      <c r="D124" s="686"/>
      <c r="E124" s="686"/>
    </row>
    <row r="125" spans="2:6">
      <c r="B125" s="502" t="s">
        <v>592</v>
      </c>
      <c r="C125" s="504">
        <v>0.46</v>
      </c>
      <c r="D125" s="518"/>
    </row>
    <row r="126" spans="2:6">
      <c r="B126" s="502" t="s">
        <v>613</v>
      </c>
      <c r="C126" s="503">
        <f>(PI()*(C125^2))/4</f>
        <v>0.16619025137490007</v>
      </c>
      <c r="D126" s="518"/>
    </row>
    <row r="127" spans="2:6">
      <c r="B127" s="502" t="s">
        <v>594</v>
      </c>
      <c r="C127" s="503">
        <f>+$C$33</f>
        <v>0.8</v>
      </c>
      <c r="D127" s="518"/>
    </row>
    <row r="128" spans="2:6">
      <c r="B128" s="506" t="s">
        <v>595</v>
      </c>
      <c r="C128" s="507">
        <f>+($C$14^2/((2*$C$30)*(C127^2)*($C$21^2)))</f>
        <v>7.231193866318637E-3</v>
      </c>
      <c r="D128" s="518"/>
    </row>
    <row r="129" spans="2:6">
      <c r="B129" s="506" t="s">
        <v>582</v>
      </c>
      <c r="C129" s="507">
        <f>+(0.4)*(($C$37^2)/(2*$C$30))</f>
        <v>1.8511856297775714E-3</v>
      </c>
      <c r="D129" s="518"/>
    </row>
    <row r="130" spans="2:6">
      <c r="B130" s="506" t="s">
        <v>583</v>
      </c>
      <c r="C130" s="507">
        <f>+($C$14^2/((2*$C$30)*($C$33^2)*(C126^2)))</f>
        <v>7.2085836452701873E-3</v>
      </c>
      <c r="D130" s="518"/>
    </row>
    <row r="131" spans="2:6">
      <c r="B131" s="506" t="s">
        <v>584</v>
      </c>
      <c r="C131" s="507">
        <f>+C128+C129+C130</f>
        <v>1.6290963141366396E-2</v>
      </c>
      <c r="D131" s="518"/>
    </row>
    <row r="132" spans="2:6">
      <c r="B132" s="506" t="s">
        <v>596</v>
      </c>
      <c r="C132" s="507">
        <f>(SQRT(($C$30*C131)/($C$29*$C$17)))</f>
        <v>34.286745570553727</v>
      </c>
      <c r="D132" s="518"/>
      <c r="E132" s="683" t="str">
        <f>IF(C132&lt;35,"No cumple",IF(C132&gt;55,"No cumple","Cumple"))</f>
        <v>No cumple</v>
      </c>
    </row>
    <row r="133" spans="2:6">
      <c r="B133" s="508" t="s">
        <v>589</v>
      </c>
      <c r="C133" s="515">
        <f>+C132*$C$17</f>
        <v>4628.7106520247535</v>
      </c>
      <c r="D133" s="518"/>
      <c r="F133" s="685"/>
    </row>
    <row r="134" spans="2:6">
      <c r="B134" s="508" t="s">
        <v>590</v>
      </c>
      <c r="C134" s="517">
        <f>+C131/$C$25</f>
        <v>1.0181851963353998E-2</v>
      </c>
      <c r="D134" s="518"/>
    </row>
    <row r="136" spans="2:6">
      <c r="B136" s="674" t="s">
        <v>614</v>
      </c>
      <c r="C136" s="674"/>
      <c r="D136" s="674"/>
      <c r="E136" s="674"/>
    </row>
    <row r="137" spans="2:6">
      <c r="B137" s="502" t="s">
        <v>592</v>
      </c>
      <c r="C137" s="504">
        <v>0.41</v>
      </c>
      <c r="D137" s="521" t="s">
        <v>3</v>
      </c>
    </row>
    <row r="138" spans="2:6">
      <c r="B138" s="502" t="s">
        <v>615</v>
      </c>
      <c r="C138" s="503">
        <f>(PI()*(C137^2))/4</f>
        <v>0.13202543126711103</v>
      </c>
      <c r="D138" s="521" t="s">
        <v>558</v>
      </c>
    </row>
    <row r="139" spans="2:6">
      <c r="B139" s="502" t="s">
        <v>594</v>
      </c>
      <c r="C139" s="503">
        <f>+$C$33</f>
        <v>0.8</v>
      </c>
      <c r="D139" s="521"/>
    </row>
    <row r="140" spans="2:6">
      <c r="B140" s="506" t="s">
        <v>595</v>
      </c>
      <c r="C140" s="507">
        <f>+($C$14^2/((2*$C$30)*(C139^2)*($C$21^2)))</f>
        <v>7.231193866318637E-3</v>
      </c>
      <c r="D140" s="523" t="s">
        <v>3</v>
      </c>
    </row>
    <row r="141" spans="2:6">
      <c r="B141" s="506" t="s">
        <v>582</v>
      </c>
      <c r="C141" s="507">
        <f>+(0.4)*(($C$37^2)/(2*$C$30))</f>
        <v>1.8511856297775714E-3</v>
      </c>
      <c r="D141" s="523" t="s">
        <v>3</v>
      </c>
    </row>
    <row r="142" spans="2:6">
      <c r="B142" s="506" t="s">
        <v>583</v>
      </c>
      <c r="C142" s="507">
        <f>+($C$14^2/((2*$C$30)*($C$33^2)*(C138^2)))</f>
        <v>1.1422096948049354E-2</v>
      </c>
      <c r="D142" s="523" t="s">
        <v>3</v>
      </c>
    </row>
    <row r="143" spans="2:6">
      <c r="B143" s="506" t="s">
        <v>584</v>
      </c>
      <c r="C143" s="507">
        <f>+C140+C141+C142</f>
        <v>2.0504476444145561E-2</v>
      </c>
      <c r="D143" s="523" t="s">
        <v>3</v>
      </c>
    </row>
    <row r="144" spans="2:6" ht="18">
      <c r="B144" s="506" t="s">
        <v>596</v>
      </c>
      <c r="C144" s="507">
        <f>(SQRT(($C$30*C143)/($C$29*$C$17)))</f>
        <v>38.466017643470835</v>
      </c>
      <c r="D144" s="523" t="s">
        <v>597</v>
      </c>
      <c r="E144" s="683" t="str">
        <f>IF(C144&lt;35,"No cumple",IF(C144&gt;55,"No cumple","Cumple"))</f>
        <v>Cumple</v>
      </c>
    </row>
    <row r="145" spans="2:6">
      <c r="B145" s="508" t="s">
        <v>589</v>
      </c>
      <c r="C145" s="515">
        <f>+C144*$C$17</f>
        <v>5192.912381868563</v>
      </c>
      <c r="D145" s="524"/>
      <c r="F145" s="685"/>
    </row>
    <row r="146" spans="2:6">
      <c r="B146" s="508" t="s">
        <v>590</v>
      </c>
      <c r="C146" s="517">
        <f>+C143/$C$25</f>
        <v>1.2815297777590976E-2</v>
      </c>
      <c r="D146" s="524" t="s">
        <v>204</v>
      </c>
    </row>
    <row r="148" spans="2:6">
      <c r="B148" s="686" t="s">
        <v>616</v>
      </c>
      <c r="C148" s="686"/>
      <c r="D148" s="686"/>
      <c r="E148" s="686"/>
    </row>
    <row r="149" spans="2:6">
      <c r="B149" s="502" t="s">
        <v>592</v>
      </c>
      <c r="C149" s="504">
        <v>0.46</v>
      </c>
      <c r="D149" s="521" t="s">
        <v>3</v>
      </c>
    </row>
    <row r="150" spans="2:6">
      <c r="B150" s="502" t="s">
        <v>617</v>
      </c>
      <c r="C150" s="503">
        <f>(PI()*(C149^2))/4</f>
        <v>0.16619025137490007</v>
      </c>
      <c r="D150" s="521" t="s">
        <v>558</v>
      </c>
    </row>
    <row r="151" spans="2:6">
      <c r="B151" s="502" t="s">
        <v>594</v>
      </c>
      <c r="C151" s="503">
        <f>+$C$33</f>
        <v>0.8</v>
      </c>
      <c r="D151" s="521"/>
    </row>
    <row r="152" spans="2:6">
      <c r="B152" s="506" t="s">
        <v>595</v>
      </c>
      <c r="C152" s="507">
        <f>+($C$14^2/((2*$C$30)*(C151^2)*($C$21^2)))</f>
        <v>7.231193866318637E-3</v>
      </c>
      <c r="D152" s="523" t="s">
        <v>3</v>
      </c>
    </row>
    <row r="153" spans="2:6">
      <c r="B153" s="506" t="s">
        <v>582</v>
      </c>
      <c r="C153" s="507">
        <f>+(0.4)*(($C$37^2)/(2*$C$30))</f>
        <v>1.8511856297775714E-3</v>
      </c>
      <c r="D153" s="523" t="s">
        <v>3</v>
      </c>
    </row>
    <row r="154" spans="2:6">
      <c r="B154" s="506" t="s">
        <v>583</v>
      </c>
      <c r="C154" s="507">
        <f>+($C$14^2/((2*$C$30)*($C$33^2)*(C150^2)))</f>
        <v>7.2085836452701873E-3</v>
      </c>
      <c r="D154" s="523" t="s">
        <v>3</v>
      </c>
    </row>
    <row r="155" spans="2:6">
      <c r="B155" s="506" t="s">
        <v>584</v>
      </c>
      <c r="C155" s="507">
        <f>+C152+C153+C154</f>
        <v>1.6290963141366396E-2</v>
      </c>
      <c r="D155" s="523" t="s">
        <v>3</v>
      </c>
    </row>
    <row r="156" spans="2:6" ht="18">
      <c r="B156" s="506" t="s">
        <v>596</v>
      </c>
      <c r="C156" s="507">
        <f>(SQRT(($C$30*C155)/($C$29*$C$17)))</f>
        <v>34.286745570553727</v>
      </c>
      <c r="D156" s="523" t="s">
        <v>597</v>
      </c>
      <c r="E156" s="683" t="str">
        <f>IF(C156&lt;35,"No cumple",IF(C156&gt;55,"No cumple","Cumple"))</f>
        <v>No cumple</v>
      </c>
    </row>
    <row r="157" spans="2:6">
      <c r="B157" s="508" t="s">
        <v>589</v>
      </c>
      <c r="C157" s="515">
        <f>+C156*$C$17</f>
        <v>4628.7106520247535</v>
      </c>
      <c r="D157" s="524"/>
      <c r="F157" s="685"/>
    </row>
    <row r="158" spans="2:6">
      <c r="B158" s="508" t="s">
        <v>590</v>
      </c>
      <c r="C158" s="517">
        <f>+C155/$C$25</f>
        <v>1.0181851963353998E-2</v>
      </c>
      <c r="D158" s="524" t="s">
        <v>204</v>
      </c>
    </row>
    <row r="160" spans="2:6">
      <c r="B160" s="674" t="s">
        <v>618</v>
      </c>
      <c r="C160" s="674"/>
      <c r="D160" s="674"/>
      <c r="E160" s="674"/>
    </row>
    <row r="161" spans="2:6">
      <c r="B161" s="502" t="s">
        <v>592</v>
      </c>
      <c r="C161" s="504">
        <v>0.41</v>
      </c>
      <c r="D161" s="523" t="s">
        <v>3</v>
      </c>
    </row>
    <row r="162" spans="2:6">
      <c r="B162" s="502" t="s">
        <v>619</v>
      </c>
      <c r="C162" s="503">
        <f>(PI()*(C161^2))/4</f>
        <v>0.13202543126711103</v>
      </c>
      <c r="D162" s="523" t="s">
        <v>558</v>
      </c>
    </row>
    <row r="163" spans="2:6">
      <c r="B163" s="502" t="s">
        <v>594</v>
      </c>
      <c r="C163" s="503">
        <f>+$C$33</f>
        <v>0.8</v>
      </c>
      <c r="D163" s="523"/>
    </row>
    <row r="164" spans="2:6">
      <c r="B164" s="506" t="s">
        <v>595</v>
      </c>
      <c r="C164" s="507">
        <f>+($C$14^2/((2*$C$30)*(C163^2)*($C$21^2)))</f>
        <v>7.231193866318637E-3</v>
      </c>
      <c r="D164" s="523" t="s">
        <v>3</v>
      </c>
    </row>
    <row r="165" spans="2:6">
      <c r="B165" s="506" t="s">
        <v>582</v>
      </c>
      <c r="C165" s="507">
        <f>+(0.4)*(($C$37^2)/(2*$C$30))</f>
        <v>1.8511856297775714E-3</v>
      </c>
      <c r="D165" s="523" t="s">
        <v>3</v>
      </c>
    </row>
    <row r="166" spans="2:6">
      <c r="B166" s="506" t="s">
        <v>583</v>
      </c>
      <c r="C166" s="507">
        <f>+($C$14^2/((2*$C$30)*($C$33^2)*(C162^2)))</f>
        <v>1.1422096948049354E-2</v>
      </c>
      <c r="D166" s="523" t="s">
        <v>3</v>
      </c>
    </row>
    <row r="167" spans="2:6">
      <c r="B167" s="506" t="s">
        <v>584</v>
      </c>
      <c r="C167" s="507">
        <f>+C164+C165+C166</f>
        <v>2.0504476444145561E-2</v>
      </c>
      <c r="D167" s="523" t="s">
        <v>3</v>
      </c>
    </row>
    <row r="168" spans="2:6" ht="18">
      <c r="B168" s="506" t="s">
        <v>596</v>
      </c>
      <c r="C168" s="507">
        <f>(SQRT(($C$30*C167)/($C$29*$C$17)))</f>
        <v>38.466017643470835</v>
      </c>
      <c r="D168" s="523" t="s">
        <v>597</v>
      </c>
      <c r="E168" s="683" t="str">
        <f>IF(C168&lt;35,"No cumple",IF(C168&gt;55,"No cumple","Cumple"))</f>
        <v>Cumple</v>
      </c>
    </row>
    <row r="169" spans="2:6">
      <c r="B169" s="508" t="s">
        <v>589</v>
      </c>
      <c r="C169" s="515">
        <f>+C168*$C$17</f>
        <v>5192.912381868563</v>
      </c>
      <c r="D169" s="524"/>
      <c r="F169" s="685"/>
    </row>
    <row r="170" spans="2:6">
      <c r="B170" s="508" t="s">
        <v>590</v>
      </c>
      <c r="C170" s="517">
        <f>+C167/$C$25</f>
        <v>1.2815297777590976E-2</v>
      </c>
      <c r="D170" s="524" t="s">
        <v>204</v>
      </c>
    </row>
    <row r="172" spans="2:6">
      <c r="B172" s="686" t="s">
        <v>620</v>
      </c>
      <c r="C172" s="686"/>
      <c r="D172" s="686"/>
      <c r="E172" s="686"/>
    </row>
    <row r="173" spans="2:6">
      <c r="B173" s="502" t="s">
        <v>592</v>
      </c>
      <c r="C173" s="504">
        <v>0.46</v>
      </c>
      <c r="D173" s="521" t="s">
        <v>3</v>
      </c>
    </row>
    <row r="174" spans="2:6">
      <c r="B174" s="502" t="s">
        <v>621</v>
      </c>
      <c r="C174" s="503">
        <f>(PI()*(C173^2))/4</f>
        <v>0.16619025137490007</v>
      </c>
      <c r="D174" s="521" t="s">
        <v>558</v>
      </c>
    </row>
    <row r="175" spans="2:6">
      <c r="B175" s="502" t="s">
        <v>594</v>
      </c>
      <c r="C175" s="503">
        <f>+$C$33</f>
        <v>0.8</v>
      </c>
      <c r="D175" s="521"/>
    </row>
    <row r="176" spans="2:6">
      <c r="B176" s="506" t="s">
        <v>595</v>
      </c>
      <c r="C176" s="507">
        <f>+($C$14^2/((2*$C$30)*(C175^2)*($C$21^2)))</f>
        <v>7.231193866318637E-3</v>
      </c>
      <c r="D176" s="521" t="s">
        <v>3</v>
      </c>
    </row>
    <row r="177" spans="2:6">
      <c r="B177" s="506" t="s">
        <v>582</v>
      </c>
      <c r="C177" s="507">
        <f>+(0.4)*(($C$37^2)/(2*$C$30))</f>
        <v>1.8511856297775714E-3</v>
      </c>
      <c r="D177" s="521" t="s">
        <v>3</v>
      </c>
    </row>
    <row r="178" spans="2:6">
      <c r="B178" s="506" t="s">
        <v>583</v>
      </c>
      <c r="C178" s="507">
        <f>+($C$14^2/((2*$C$30)*($C$33^2)*(C174^2)))</f>
        <v>7.2085836452701873E-3</v>
      </c>
      <c r="D178" s="521" t="s">
        <v>3</v>
      </c>
    </row>
    <row r="179" spans="2:6">
      <c r="B179" s="506" t="s">
        <v>584</v>
      </c>
      <c r="C179" s="507">
        <f>+C176+C177+C178</f>
        <v>1.6290963141366396E-2</v>
      </c>
      <c r="D179" s="521" t="s">
        <v>3</v>
      </c>
    </row>
    <row r="180" spans="2:6" ht="18">
      <c r="B180" s="506" t="s">
        <v>596</v>
      </c>
      <c r="C180" s="507">
        <f>(SQRT(($C$30*C179)/($C$29*$C$17)))</f>
        <v>34.286745570553727</v>
      </c>
      <c r="D180" s="521" t="s">
        <v>597</v>
      </c>
      <c r="E180" s="683" t="str">
        <f>IF(C180&lt;35,"No cumple",IF(C180&gt;55,"No cumple","Cumple"))</f>
        <v>No cumple</v>
      </c>
    </row>
    <row r="181" spans="2:6">
      <c r="B181" s="508" t="s">
        <v>589</v>
      </c>
      <c r="C181" s="515">
        <f>+C180*$C$17</f>
        <v>4628.7106520247535</v>
      </c>
      <c r="D181" s="522"/>
      <c r="F181" s="685"/>
    </row>
    <row r="182" spans="2:6">
      <c r="B182" s="508" t="s">
        <v>590</v>
      </c>
      <c r="C182" s="517">
        <f>+C179/$C$25</f>
        <v>1.0181851963353998E-2</v>
      </c>
      <c r="D182" s="522" t="s">
        <v>204</v>
      </c>
    </row>
    <row r="183" spans="2:6">
      <c r="C183" s="687"/>
      <c r="D183" s="687"/>
      <c r="E183" s="687"/>
      <c r="F183" s="687"/>
    </row>
    <row r="184" spans="2:6">
      <c r="B184" s="688" t="s">
        <v>622</v>
      </c>
      <c r="C184" s="687"/>
      <c r="D184" s="687"/>
      <c r="E184" s="687"/>
      <c r="F184" s="687"/>
    </row>
    <row r="185" spans="2:6">
      <c r="B185" s="519" t="s">
        <v>623</v>
      </c>
      <c r="C185" s="511" t="s">
        <v>624</v>
      </c>
      <c r="D185" s="520">
        <f>+(C17*C44)+(C17*C60)+(C17*C72)+(C17*C84)+(C17*C96)+(C17*C108)+(C17*C120)+(C17*C132)+(C17*C144)+(C17*C156)+(C17*C168)+(C17*C180)</f>
        <v>58135.218543592928</v>
      </c>
      <c r="E185" s="518"/>
      <c r="F185" s="683" t="str">
        <f>IF(D185&lt;25000,"No cumple",IF(D185&gt;150000,"No cumple","Cumple"))</f>
        <v>Cumple</v>
      </c>
    </row>
    <row r="186" spans="2:6" ht="18">
      <c r="B186" s="519" t="s">
        <v>625</v>
      </c>
      <c r="C186" s="511" t="s">
        <v>626</v>
      </c>
      <c r="D186" s="510">
        <f>+(C180+C168+C156+C144+C132+C120+C108+C96+C84+C72+C60+C44)/12</f>
        <v>35.885937372588224</v>
      </c>
      <c r="E186" s="506" t="s">
        <v>597</v>
      </c>
      <c r="F186" s="683" t="str">
        <f>IF(D186&lt;35,"No cumple",IF(D186&gt;55,"No cumple","Cumple"))</f>
        <v>Cumple</v>
      </c>
    </row>
    <row r="187" spans="2:6">
      <c r="B187" s="689"/>
      <c r="C187" s="690"/>
      <c r="D187" s="691"/>
      <c r="E187" s="692"/>
      <c r="F187" s="685"/>
    </row>
    <row r="188" spans="2:6">
      <c r="B188" s="689"/>
      <c r="C188" s="690"/>
      <c r="D188" s="691"/>
      <c r="E188" s="692"/>
      <c r="F188" s="685"/>
    </row>
    <row r="189" spans="2:6" ht="34.5" customHeight="1">
      <c r="B189" s="694" t="s">
        <v>627</v>
      </c>
      <c r="C189" s="694"/>
      <c r="D189" s="694"/>
      <c r="E189" s="694"/>
      <c r="F189" s="694"/>
    </row>
    <row r="190" spans="2:6">
      <c r="B190" s="667" t="s">
        <v>628</v>
      </c>
    </row>
    <row r="192" spans="2:6">
      <c r="B192" s="16" t="s">
        <v>57</v>
      </c>
    </row>
    <row r="193" spans="2:2">
      <c r="B193" s="5" t="s">
        <v>58</v>
      </c>
    </row>
    <row r="194" spans="2:2">
      <c r="B194" s="5" t="s">
        <v>59</v>
      </c>
    </row>
    <row r="195" spans="2:2">
      <c r="B195" s="5"/>
    </row>
    <row r="196" spans="2:2">
      <c r="B196" s="16" t="s">
        <v>60</v>
      </c>
    </row>
    <row r="197" spans="2:2">
      <c r="B197" s="5" t="s">
        <v>631</v>
      </c>
    </row>
  </sheetData>
  <dataConsolidate/>
  <mergeCells count="18">
    <mergeCell ref="AC1:AC2"/>
    <mergeCell ref="AD1:AD2"/>
    <mergeCell ref="B10:F10"/>
    <mergeCell ref="G63:J67"/>
    <mergeCell ref="G70:J73"/>
    <mergeCell ref="B11:E11"/>
    <mergeCell ref="G11:J21"/>
    <mergeCell ref="B12:E12"/>
    <mergeCell ref="AA1:AA2"/>
    <mergeCell ref="AB1:AB2"/>
    <mergeCell ref="G76:J80"/>
    <mergeCell ref="B189:F189"/>
    <mergeCell ref="G24:J32"/>
    <mergeCell ref="B34:E34"/>
    <mergeCell ref="G35:J42"/>
    <mergeCell ref="G45:J54"/>
    <mergeCell ref="G56:J60"/>
    <mergeCell ref="F59:F61"/>
  </mergeCells>
  <conditionalFormatting sqref="C37:C38 C47:C49 E187:E188 D185:D186">
    <cfRule type="cellIs" dxfId="46" priority="37" operator="between">
      <formula>0.25</formula>
      <formula>0.65</formula>
    </cfRule>
  </conditionalFormatting>
  <conditionalFormatting sqref="C45">
    <cfRule type="cellIs" dxfId="45" priority="36" operator="between">
      <formula>0.25</formula>
      <formula>0.65</formula>
    </cfRule>
  </conditionalFormatting>
  <conditionalFormatting sqref="C62">
    <cfRule type="cellIs" dxfId="44" priority="35" operator="between">
      <formula>0.25</formula>
      <formula>0.65</formula>
    </cfRule>
  </conditionalFormatting>
  <conditionalFormatting sqref="C74">
    <cfRule type="cellIs" dxfId="43" priority="34" operator="between">
      <formula>0.25</formula>
      <formula>0.65</formula>
    </cfRule>
  </conditionalFormatting>
  <conditionalFormatting sqref="C86">
    <cfRule type="cellIs" dxfId="42" priority="33" operator="between">
      <formula>0.25</formula>
      <formula>0.65</formula>
    </cfRule>
  </conditionalFormatting>
  <conditionalFormatting sqref="C98">
    <cfRule type="cellIs" dxfId="41" priority="32" operator="between">
      <formula>0.25</formula>
      <formula>0.65</formula>
    </cfRule>
  </conditionalFormatting>
  <conditionalFormatting sqref="C110">
    <cfRule type="cellIs" dxfId="40" priority="31" operator="between">
      <formula>0.25</formula>
      <formula>0.65</formula>
    </cfRule>
  </conditionalFormatting>
  <conditionalFormatting sqref="C122">
    <cfRule type="cellIs" dxfId="39" priority="30" operator="between">
      <formula>0.25</formula>
      <formula>0.65</formula>
    </cfRule>
  </conditionalFormatting>
  <conditionalFormatting sqref="C134">
    <cfRule type="cellIs" dxfId="38" priority="29" operator="between">
      <formula>0.25</formula>
      <formula>0.65</formula>
    </cfRule>
  </conditionalFormatting>
  <conditionalFormatting sqref="C146">
    <cfRule type="cellIs" dxfId="37" priority="28" operator="between">
      <formula>0.25</formula>
      <formula>0.65</formula>
    </cfRule>
  </conditionalFormatting>
  <conditionalFormatting sqref="C158">
    <cfRule type="cellIs" dxfId="36" priority="27" operator="between">
      <formula>0.25</formula>
      <formula>0.65</formula>
    </cfRule>
  </conditionalFormatting>
  <conditionalFormatting sqref="C170">
    <cfRule type="cellIs" dxfId="35" priority="26" operator="between">
      <formula>0.25</formula>
      <formula>0.65</formula>
    </cfRule>
  </conditionalFormatting>
  <conditionalFormatting sqref="C182">
    <cfRule type="cellIs" dxfId="34" priority="25" operator="between">
      <formula>0.25</formula>
      <formula>0.65</formula>
    </cfRule>
  </conditionalFormatting>
  <conditionalFormatting sqref="E72">
    <cfRule type="cellIs" dxfId="33" priority="24" operator="between">
      <formula>0.25</formula>
      <formula>0.65</formula>
    </cfRule>
  </conditionalFormatting>
  <conditionalFormatting sqref="F73">
    <cfRule type="cellIs" dxfId="32" priority="23" operator="between">
      <formula>0.25</formula>
      <formula>0.65</formula>
    </cfRule>
  </conditionalFormatting>
  <conditionalFormatting sqref="E84">
    <cfRule type="cellIs" dxfId="31" priority="22" operator="between">
      <formula>0.25</formula>
      <formula>0.65</formula>
    </cfRule>
  </conditionalFormatting>
  <conditionalFormatting sqref="F85">
    <cfRule type="cellIs" dxfId="30" priority="21" operator="between">
      <formula>0.25</formula>
      <formula>0.65</formula>
    </cfRule>
  </conditionalFormatting>
  <conditionalFormatting sqref="E96">
    <cfRule type="cellIs" dxfId="29" priority="20" operator="between">
      <formula>0.25</formula>
      <formula>0.65</formula>
    </cfRule>
  </conditionalFormatting>
  <conditionalFormatting sqref="F97">
    <cfRule type="cellIs" dxfId="28" priority="19" operator="between">
      <formula>0.25</formula>
      <formula>0.65</formula>
    </cfRule>
  </conditionalFormatting>
  <conditionalFormatting sqref="E108">
    <cfRule type="cellIs" dxfId="27" priority="18" operator="between">
      <formula>0.25</formula>
      <formula>0.65</formula>
    </cfRule>
  </conditionalFormatting>
  <conditionalFormatting sqref="F109">
    <cfRule type="cellIs" dxfId="26" priority="17" operator="between">
      <formula>0.25</formula>
      <formula>0.65</formula>
    </cfRule>
  </conditionalFormatting>
  <conditionalFormatting sqref="E120">
    <cfRule type="cellIs" dxfId="25" priority="16" operator="between">
      <formula>0.25</formula>
      <formula>0.65</formula>
    </cfRule>
  </conditionalFormatting>
  <conditionalFormatting sqref="F121">
    <cfRule type="cellIs" dxfId="24" priority="15" operator="between">
      <formula>0.25</formula>
      <formula>0.65</formula>
    </cfRule>
  </conditionalFormatting>
  <conditionalFormatting sqref="E132">
    <cfRule type="cellIs" dxfId="23" priority="14" operator="between">
      <formula>0.25</formula>
      <formula>0.65</formula>
    </cfRule>
  </conditionalFormatting>
  <conditionalFormatting sqref="F133">
    <cfRule type="cellIs" dxfId="22" priority="13" operator="between">
      <formula>0.25</formula>
      <formula>0.65</formula>
    </cfRule>
  </conditionalFormatting>
  <conditionalFormatting sqref="E144">
    <cfRule type="cellIs" dxfId="21" priority="12" operator="between">
      <formula>0.25</formula>
      <formula>0.65</formula>
    </cfRule>
  </conditionalFormatting>
  <conditionalFormatting sqref="F145">
    <cfRule type="cellIs" dxfId="20" priority="11" operator="between">
      <formula>0.25</formula>
      <formula>0.65</formula>
    </cfRule>
  </conditionalFormatting>
  <conditionalFormatting sqref="E156">
    <cfRule type="cellIs" dxfId="19" priority="10" operator="between">
      <formula>0.25</formula>
      <formula>0.65</formula>
    </cfRule>
  </conditionalFormatting>
  <conditionalFormatting sqref="F157">
    <cfRule type="cellIs" dxfId="18" priority="9" operator="between">
      <formula>0.25</formula>
      <formula>0.65</formula>
    </cfRule>
  </conditionalFormatting>
  <conditionalFormatting sqref="E168">
    <cfRule type="cellIs" dxfId="17" priority="8" operator="between">
      <formula>0.25</formula>
      <formula>0.65</formula>
    </cfRule>
  </conditionalFormatting>
  <conditionalFormatting sqref="F169">
    <cfRule type="cellIs" dxfId="16" priority="7" operator="between">
      <formula>0.25</formula>
      <formula>0.65</formula>
    </cfRule>
  </conditionalFormatting>
  <conditionalFormatting sqref="E180">
    <cfRule type="cellIs" dxfId="15" priority="6" operator="between">
      <formula>0.25</formula>
      <formula>0.65</formula>
    </cfRule>
  </conditionalFormatting>
  <conditionalFormatting sqref="F181">
    <cfRule type="cellIs" dxfId="14" priority="5" operator="between">
      <formula>0.25</formula>
      <formula>0.65</formula>
    </cfRule>
  </conditionalFormatting>
  <conditionalFormatting sqref="F186:F188">
    <cfRule type="cellIs" dxfId="13" priority="4" operator="between">
      <formula>0.25</formula>
      <formula>0.65</formula>
    </cfRule>
  </conditionalFormatting>
  <conditionalFormatting sqref="F185">
    <cfRule type="cellIs" dxfId="12" priority="3" operator="between">
      <formula>0.25</formula>
      <formula>0.65</formula>
    </cfRule>
  </conditionalFormatting>
  <conditionalFormatting sqref="E60">
    <cfRule type="cellIs" dxfId="11" priority="2" operator="between">
      <formula>0.25</formula>
      <formula>0.65</formula>
    </cfRule>
  </conditionalFormatting>
  <conditionalFormatting sqref="C50">
    <cfRule type="cellIs" dxfId="10" priority="1" operator="between">
      <formula>0.25</formula>
      <formula>0.65</formula>
    </cfRule>
  </conditionalFormatting>
  <dataValidations count="3">
    <dataValidation type="list" allowBlank="1" showInputMessage="1" showErrorMessage="1" sqref="C15" xr:uid="{C36657CD-4973-4421-A2E4-18B8371FBF2E}">
      <formula1>$AF$4:$AF$24</formula1>
    </dataValidation>
    <dataValidation type="list" allowBlank="1" showInputMessage="1" showErrorMessage="1" sqref="C31" xr:uid="{16944D3A-ED18-468A-9260-94053F7F849F}">
      <formula1>$AA$4:$AA$39</formula1>
    </dataValidation>
    <dataValidation type="decimal" allowBlank="1" showInputMessage="1" showErrorMessage="1" error="Ingrese un valor valido entre 10 y 100" prompt="Ingrese un caudal entre 10 y 100" sqref="C13" xr:uid="{C6A90F2D-54E4-4E3C-BE50-A8C1E127CC19}">
      <formula1>10</formula1>
      <formula2>100</formula2>
    </dataValidation>
  </dataValidations>
  <pageMargins left="0.7" right="0.7" top="0.75" bottom="0.75" header="0.3" footer="0.3"/>
  <pageSetup paperSize="9" scale="61" orientation="portrait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B2:BJ368"/>
  <sheetViews>
    <sheetView tabSelected="1" topLeftCell="B33" zoomScale="80" zoomScaleNormal="80" workbookViewId="0">
      <selection activeCell="B51" sqref="B51:E51"/>
    </sheetView>
  </sheetViews>
  <sheetFormatPr baseColWidth="10" defaultRowHeight="15"/>
  <cols>
    <col min="1" max="1" width="5.42578125" style="5" customWidth="1"/>
    <col min="2" max="21" width="13.85546875" style="5" customWidth="1"/>
    <col min="22" max="22" width="18.85546875" style="5" customWidth="1"/>
    <col min="23" max="54" width="13.85546875" style="5" customWidth="1"/>
    <col min="55" max="58" width="11.42578125" style="5"/>
    <col min="59" max="59" width="20" style="5" customWidth="1"/>
    <col min="60" max="16384" width="11.42578125" style="5"/>
  </cols>
  <sheetData>
    <row r="2" spans="2:62">
      <c r="B2" s="17"/>
      <c r="C2" s="17"/>
      <c r="D2" s="16" t="s">
        <v>54</v>
      </c>
      <c r="F2" s="16"/>
      <c r="V2" s="20"/>
    </row>
    <row r="3" spans="2:62">
      <c r="B3" s="17"/>
      <c r="C3" s="17"/>
      <c r="D3" s="16" t="s">
        <v>55</v>
      </c>
      <c r="F3" s="16"/>
    </row>
    <row r="4" spans="2:62">
      <c r="B4" s="17"/>
      <c r="C4" s="17"/>
      <c r="D4" s="501" t="s">
        <v>56</v>
      </c>
      <c r="F4" s="501"/>
      <c r="I4"/>
      <c r="J4" s="31"/>
      <c r="K4" s="31"/>
      <c r="L4" s="31"/>
      <c r="M4" s="31"/>
    </row>
    <row r="5" spans="2:62" ht="15" customHeight="1">
      <c r="B5" s="17"/>
      <c r="C5" s="17"/>
      <c r="D5" s="16" t="s">
        <v>61</v>
      </c>
      <c r="F5" s="16"/>
    </row>
    <row r="6" spans="2:62" ht="20.100000000000001" customHeight="1">
      <c r="T6" s="371" t="s">
        <v>129</v>
      </c>
      <c r="U6" s="541" t="s">
        <v>184</v>
      </c>
      <c r="V6" s="696" t="s">
        <v>132</v>
      </c>
      <c r="W6" s="696" t="s">
        <v>130</v>
      </c>
      <c r="Y6" s="727" t="s">
        <v>658</v>
      </c>
      <c r="Z6" s="729"/>
      <c r="AA6" s="710" t="s">
        <v>632</v>
      </c>
      <c r="AB6" s="710" t="s">
        <v>698</v>
      </c>
      <c r="AC6" s="710"/>
      <c r="AD6" s="710"/>
      <c r="AE6" s="727" t="s">
        <v>697</v>
      </c>
      <c r="AF6" s="728"/>
      <c r="AG6" s="729"/>
      <c r="AH6" s="710" t="s">
        <v>699</v>
      </c>
      <c r="AJ6" s="724" t="s">
        <v>692</v>
      </c>
      <c r="AK6" s="726"/>
      <c r="AL6" s="726"/>
      <c r="AM6" s="726"/>
      <c r="AN6" s="726"/>
      <c r="AO6" s="726"/>
      <c r="AP6" s="726"/>
      <c r="AQ6" s="726"/>
      <c r="AR6" s="726"/>
      <c r="AS6" s="726"/>
      <c r="AT6" s="726"/>
      <c r="AU6" s="725"/>
      <c r="AW6" s="701" t="s">
        <v>661</v>
      </c>
      <c r="AX6" s="702"/>
      <c r="AY6" s="703"/>
      <c r="BA6" s="710" t="s">
        <v>17</v>
      </c>
      <c r="BC6" s="727" t="s">
        <v>730</v>
      </c>
      <c r="BD6" s="729"/>
      <c r="BE6" s="710" t="s">
        <v>287</v>
      </c>
      <c r="BG6" s="727" t="s">
        <v>731</v>
      </c>
      <c r="BH6" s="809" t="s">
        <v>732</v>
      </c>
      <c r="BI6" s="809" t="s">
        <v>287</v>
      </c>
    </row>
    <row r="7" spans="2:62" ht="20.100000000000001" customHeight="1">
      <c r="B7" s="23" t="s">
        <v>179</v>
      </c>
      <c r="C7" s="23"/>
      <c r="D7" s="23"/>
      <c r="E7" s="110"/>
      <c r="F7" s="110"/>
      <c r="G7" s="110"/>
      <c r="H7" s="110"/>
      <c r="I7" s="110"/>
      <c r="J7" s="110"/>
      <c r="K7" s="110"/>
      <c r="L7" s="110"/>
      <c r="T7" s="542" t="s">
        <v>135</v>
      </c>
      <c r="U7" s="542" t="s">
        <v>134</v>
      </c>
      <c r="V7" s="697"/>
      <c r="W7" s="697"/>
      <c r="Y7" s="730"/>
      <c r="Z7" s="732"/>
      <c r="AA7" s="710"/>
      <c r="AB7" s="710"/>
      <c r="AC7" s="710"/>
      <c r="AD7" s="710"/>
      <c r="AE7" s="730"/>
      <c r="AF7" s="731"/>
      <c r="AG7" s="732"/>
      <c r="AH7" s="710"/>
      <c r="AJ7" s="724" t="str">
        <f>Y10</f>
        <v>Placas planas paralelas</v>
      </c>
      <c r="AK7" s="726"/>
      <c r="AL7" s="726"/>
      <c r="AM7" s="725"/>
      <c r="AN7" s="724" t="str">
        <f>Y11</f>
        <v>Placas onduladas paralelas</v>
      </c>
      <c r="AO7" s="726"/>
      <c r="AP7" s="726"/>
      <c r="AQ7" s="725"/>
      <c r="AR7" s="724" t="str">
        <f>Y12</f>
        <v>Conductos cuadrados</v>
      </c>
      <c r="AS7" s="726"/>
      <c r="AT7" s="726"/>
      <c r="AU7" s="725"/>
      <c r="AW7" s="704"/>
      <c r="AX7" s="705"/>
      <c r="AY7" s="706"/>
      <c r="BA7" s="710"/>
      <c r="BC7" s="730"/>
      <c r="BD7" s="732"/>
      <c r="BE7" s="710"/>
      <c r="BG7" s="730"/>
      <c r="BH7" s="810"/>
      <c r="BI7" s="810"/>
    </row>
    <row r="8" spans="2:62" ht="20.100000000000001" customHeight="1">
      <c r="B8" s="707" t="s">
        <v>180</v>
      </c>
      <c r="C8" s="708"/>
      <c r="D8" s="708"/>
      <c r="E8" s="709"/>
      <c r="F8" s="543" t="s">
        <v>182</v>
      </c>
      <c r="G8" s="310">
        <v>1.3</v>
      </c>
      <c r="H8" s="268"/>
      <c r="I8" s="51"/>
      <c r="J8" s="51"/>
      <c r="K8" s="51"/>
      <c r="L8" s="51"/>
      <c r="T8" s="374" t="s">
        <v>131</v>
      </c>
      <c r="U8" s="374" t="s">
        <v>136</v>
      </c>
      <c r="V8" s="375" t="s">
        <v>133</v>
      </c>
      <c r="W8" s="374" t="s">
        <v>137</v>
      </c>
      <c r="Y8" s="730"/>
      <c r="Z8" s="732"/>
      <c r="AA8" s="710"/>
      <c r="AB8" s="710"/>
      <c r="AC8" s="710"/>
      <c r="AD8" s="710"/>
      <c r="AE8" s="733"/>
      <c r="AF8" s="734"/>
      <c r="AG8" s="735"/>
      <c r="AH8" s="710"/>
      <c r="AJ8" s="556" t="s">
        <v>691</v>
      </c>
      <c r="AK8" s="557"/>
      <c r="AL8" s="545" t="s">
        <v>690</v>
      </c>
      <c r="AM8" s="545" t="s">
        <v>670</v>
      </c>
      <c r="AN8" s="724" t="s">
        <v>691</v>
      </c>
      <c r="AO8" s="725"/>
      <c r="AP8" s="545" t="s">
        <v>690</v>
      </c>
      <c r="AQ8" s="545" t="s">
        <v>670</v>
      </c>
      <c r="AR8" s="724" t="s">
        <v>691</v>
      </c>
      <c r="AS8" s="725"/>
      <c r="AT8" s="545" t="s">
        <v>690</v>
      </c>
      <c r="AU8" s="545" t="s">
        <v>670</v>
      </c>
      <c r="AW8" s="704"/>
      <c r="AX8" s="705"/>
      <c r="AY8" s="706"/>
      <c r="BA8" s="710"/>
      <c r="BC8" s="733"/>
      <c r="BD8" s="735"/>
      <c r="BE8" s="710"/>
      <c r="BG8" s="733"/>
      <c r="BH8" s="811"/>
      <c r="BI8" s="811"/>
    </row>
    <row r="9" spans="2:62" ht="20.100000000000001" customHeight="1">
      <c r="B9" s="707" t="s">
        <v>181</v>
      </c>
      <c r="C9" s="708"/>
      <c r="D9" s="708"/>
      <c r="E9" s="709"/>
      <c r="F9" s="543" t="s">
        <v>183</v>
      </c>
      <c r="G9" s="310">
        <v>1.6</v>
      </c>
      <c r="H9" s="268"/>
      <c r="I9" s="51"/>
      <c r="J9" s="51"/>
      <c r="K9" s="51"/>
      <c r="L9" s="51"/>
      <c r="T9" s="376" t="s">
        <v>140</v>
      </c>
      <c r="U9" s="377"/>
      <c r="V9" s="378"/>
      <c r="W9" s="379"/>
      <c r="Y9" s="357" t="s">
        <v>140</v>
      </c>
      <c r="Z9" s="358"/>
      <c r="AA9" s="358"/>
      <c r="AB9" s="334"/>
      <c r="AC9" s="334"/>
      <c r="AD9" s="334"/>
      <c r="AE9" s="334"/>
      <c r="AF9" s="334"/>
      <c r="AG9" s="334"/>
      <c r="AH9" s="334"/>
      <c r="AJ9" s="567" t="s">
        <v>668</v>
      </c>
      <c r="AK9" s="558"/>
      <c r="AL9" s="64" t="s">
        <v>671</v>
      </c>
      <c r="AM9" s="64">
        <v>4</v>
      </c>
      <c r="AN9" s="577" t="s">
        <v>669</v>
      </c>
      <c r="AO9" s="561"/>
      <c r="AP9" s="64" t="s">
        <v>677</v>
      </c>
      <c r="AQ9" s="64">
        <v>1.5</v>
      </c>
      <c r="AR9" s="577" t="s">
        <v>669</v>
      </c>
      <c r="AS9" s="561"/>
      <c r="AT9" s="64" t="s">
        <v>687</v>
      </c>
      <c r="AU9" s="64">
        <v>1.5</v>
      </c>
      <c r="AV9" s="540"/>
      <c r="AW9" s="357"/>
      <c r="AX9" s="553"/>
      <c r="AY9" s="358"/>
      <c r="BA9" s="64"/>
      <c r="BC9" s="837" t="s">
        <v>751</v>
      </c>
      <c r="BD9" s="838"/>
      <c r="BE9" s="643">
        <v>9.7379999999999994E-2</v>
      </c>
      <c r="BG9" s="658"/>
      <c r="BH9" s="659"/>
      <c r="BI9" s="660"/>
      <c r="BJ9" s="645"/>
    </row>
    <row r="10" spans="2:62" ht="20.100000000000001" customHeight="1">
      <c r="B10" s="707" t="s">
        <v>176</v>
      </c>
      <c r="C10" s="708"/>
      <c r="D10" s="708"/>
      <c r="E10" s="709"/>
      <c r="F10" s="543" t="s">
        <v>177</v>
      </c>
      <c r="G10" s="310">
        <v>4.4040000000000003E-2</v>
      </c>
      <c r="H10" s="543" t="s">
        <v>164</v>
      </c>
      <c r="I10" s="51"/>
      <c r="J10" s="51"/>
      <c r="K10" s="51"/>
      <c r="L10" s="51"/>
      <c r="T10" s="376">
        <v>0</v>
      </c>
      <c r="U10" s="377">
        <v>999.82</v>
      </c>
      <c r="V10" s="380">
        <v>1.792E-3</v>
      </c>
      <c r="W10" s="379">
        <f t="shared" ref="W10:W45" si="0">V10/U10</f>
        <v>1.7923226180712527E-6</v>
      </c>
      <c r="Y10" s="334" t="s">
        <v>634</v>
      </c>
      <c r="Z10" s="334"/>
      <c r="AA10" s="328">
        <v>1</v>
      </c>
      <c r="AB10" s="584" t="s">
        <v>668</v>
      </c>
      <c r="AC10" s="584" t="s">
        <v>675</v>
      </c>
      <c r="AD10" s="584" t="s">
        <v>688</v>
      </c>
      <c r="AE10" s="583" t="str">
        <f>Y10&amp;" - "&amp;AB10</f>
        <v>Placas planas paralelas - Acero inoxidable AISI 316</v>
      </c>
      <c r="AF10" s="583" t="str">
        <f>Y10&amp;" - "&amp;AC10</f>
        <v>Placas planas paralelas - Polietileno alta densidad (HDPE)</v>
      </c>
      <c r="AG10" s="583" t="str">
        <f>Y10&amp;" - "&amp;AD10</f>
        <v>Placas planas paralelas - Poliestireno de alto impacto(HIPS)</v>
      </c>
      <c r="AH10" s="713" t="str">
        <f>F38&amp;" - "&amp;F39</f>
        <v>Placas onduladas paralelas - Polipropileno (PP)</v>
      </c>
      <c r="AJ10" s="568"/>
      <c r="AK10" s="559"/>
      <c r="AL10" s="64" t="s">
        <v>672</v>
      </c>
      <c r="AM10" s="64">
        <v>4</v>
      </c>
      <c r="AN10" s="575"/>
      <c r="AO10" s="562"/>
      <c r="AP10" s="64" t="s">
        <v>678</v>
      </c>
      <c r="AQ10" s="64">
        <v>1.5</v>
      </c>
      <c r="AR10" s="575"/>
      <c r="AS10" s="562"/>
      <c r="AT10" s="64" t="s">
        <v>681</v>
      </c>
      <c r="AU10" s="64">
        <v>1.5</v>
      </c>
      <c r="AW10" s="357" t="s">
        <v>662</v>
      </c>
      <c r="AX10" s="553"/>
      <c r="AY10" s="358"/>
      <c r="BA10" s="64">
        <v>2</v>
      </c>
      <c r="BC10" s="837" t="s">
        <v>736</v>
      </c>
      <c r="BD10" s="838"/>
      <c r="BE10" s="643">
        <v>0.14334</v>
      </c>
      <c r="BG10" s="658" t="s">
        <v>738</v>
      </c>
      <c r="BH10" s="659">
        <v>9</v>
      </c>
      <c r="BI10" s="660">
        <v>1.66E-2</v>
      </c>
      <c r="BJ10" s="645"/>
    </row>
    <row r="11" spans="2:62" ht="20.100000000000001" customHeight="1">
      <c r="B11" s="707" t="s">
        <v>175</v>
      </c>
      <c r="C11" s="708"/>
      <c r="D11" s="708"/>
      <c r="E11" s="709"/>
      <c r="F11" s="543" t="s">
        <v>174</v>
      </c>
      <c r="G11" s="269">
        <f>G10*G8</f>
        <v>5.7252000000000004E-2</v>
      </c>
      <c r="H11" s="543" t="s">
        <v>164</v>
      </c>
      <c r="I11" s="51"/>
      <c r="J11" s="51"/>
      <c r="K11" s="51"/>
      <c r="L11" s="51"/>
      <c r="T11" s="381">
        <v>1</v>
      </c>
      <c r="U11" s="382">
        <v>999.89</v>
      </c>
      <c r="V11" s="383">
        <v>1.7310000000000001E-3</v>
      </c>
      <c r="W11" s="379">
        <f t="shared" si="0"/>
        <v>1.7311904309474043E-6</v>
      </c>
      <c r="Y11" s="334" t="s">
        <v>635</v>
      </c>
      <c r="Z11" s="334"/>
      <c r="AA11" s="340">
        <v>1.3</v>
      </c>
      <c r="AB11" s="585" t="s">
        <v>669</v>
      </c>
      <c r="AC11" s="585" t="s">
        <v>676</v>
      </c>
      <c r="AD11" s="585"/>
      <c r="AE11" s="583" t="str">
        <f>Y11&amp;" - "&amp;AB11</f>
        <v>Placas onduladas paralelas - Acrilonitrilo butadieno estireno (ABS)</v>
      </c>
      <c r="AF11" s="583" t="str">
        <f>Y11&amp;" - "&amp;AC11</f>
        <v>Placas onduladas paralelas - Polipropileno (PP)</v>
      </c>
      <c r="AG11" s="583"/>
      <c r="AH11" s="714"/>
      <c r="AJ11" s="568"/>
      <c r="AK11" s="559"/>
      <c r="AL11" s="64" t="s">
        <v>673</v>
      </c>
      <c r="AM11" s="64">
        <v>4</v>
      </c>
      <c r="AN11" s="575"/>
      <c r="AO11" s="562"/>
      <c r="AP11" s="64" t="s">
        <v>679</v>
      </c>
      <c r="AQ11" s="64">
        <v>1.5</v>
      </c>
      <c r="AR11" s="575"/>
      <c r="AS11" s="562"/>
      <c r="AT11" s="64" t="s">
        <v>689</v>
      </c>
      <c r="AU11" s="64">
        <v>1.5</v>
      </c>
      <c r="AW11" s="357" t="s">
        <v>667</v>
      </c>
      <c r="AX11" s="553"/>
      <c r="AY11" s="358"/>
      <c r="BA11" s="64">
        <v>3</v>
      </c>
      <c r="BC11" s="837" t="s">
        <v>737</v>
      </c>
      <c r="BD11" s="838"/>
      <c r="BE11" s="643">
        <v>0.18662000000000001</v>
      </c>
      <c r="BG11" s="658" t="s">
        <v>739</v>
      </c>
      <c r="BH11" s="659">
        <v>11</v>
      </c>
      <c r="BI11" s="660">
        <v>2.181E-2</v>
      </c>
      <c r="BJ11" s="645"/>
    </row>
    <row r="12" spans="2:62" ht="20.100000000000001" customHeight="1">
      <c r="B12" s="707" t="s">
        <v>178</v>
      </c>
      <c r="C12" s="708"/>
      <c r="D12" s="708"/>
      <c r="E12" s="709"/>
      <c r="F12" s="543" t="s">
        <v>218</v>
      </c>
      <c r="G12" s="269">
        <f>G10*G9</f>
        <v>7.0464000000000013E-2</v>
      </c>
      <c r="H12" s="543" t="s">
        <v>164</v>
      </c>
      <c r="I12" s="51"/>
      <c r="J12" s="51"/>
      <c r="K12" s="51"/>
      <c r="L12" s="51"/>
      <c r="T12" s="381">
        <v>2</v>
      </c>
      <c r="U12" s="382">
        <v>999.94</v>
      </c>
      <c r="V12" s="383">
        <v>1.673E-3</v>
      </c>
      <c r="W12" s="379">
        <f t="shared" si="0"/>
        <v>1.6731003860231613E-6</v>
      </c>
      <c r="Y12" s="334" t="s">
        <v>633</v>
      </c>
      <c r="Z12" s="334"/>
      <c r="AA12" s="329">
        <f>11/8</f>
        <v>1.375</v>
      </c>
      <c r="AB12" s="585" t="s">
        <v>669</v>
      </c>
      <c r="AC12" s="585" t="s">
        <v>676</v>
      </c>
      <c r="AD12" s="586"/>
      <c r="AE12" s="583" t="str">
        <f>Y12&amp;" - "&amp;AB12</f>
        <v>Conductos cuadrados - Acrilonitrilo butadieno estireno (ABS)</v>
      </c>
      <c r="AF12" s="583" t="str">
        <f>Y12&amp;" - "&amp;AC12</f>
        <v>Conductos cuadrados - Polipropileno (PP)</v>
      </c>
      <c r="AG12" s="583"/>
      <c r="AH12" s="715"/>
      <c r="AJ12" s="569"/>
      <c r="AK12" s="560"/>
      <c r="AL12" s="64" t="s">
        <v>674</v>
      </c>
      <c r="AM12" s="64">
        <v>5</v>
      </c>
      <c r="AN12" s="575"/>
      <c r="AO12" s="562"/>
      <c r="AP12" s="64" t="s">
        <v>680</v>
      </c>
      <c r="AQ12" s="64">
        <v>1.5</v>
      </c>
      <c r="AR12" s="576"/>
      <c r="AS12" s="563"/>
      <c r="AT12" s="64" t="s">
        <v>686</v>
      </c>
      <c r="AU12" s="64">
        <v>1.5</v>
      </c>
      <c r="BA12" s="64">
        <v>4</v>
      </c>
      <c r="BC12" s="655"/>
      <c r="BD12" s="655"/>
      <c r="BE12" s="665"/>
      <c r="BG12" s="658" t="s">
        <v>740</v>
      </c>
      <c r="BH12" s="661">
        <v>21</v>
      </c>
      <c r="BI12" s="660">
        <v>2.3630000000000002E-2</v>
      </c>
      <c r="BJ12" s="645"/>
    </row>
    <row r="13" spans="2:62" ht="20.100000000000001" customHeight="1">
      <c r="B13" s="544"/>
      <c r="C13" s="544"/>
      <c r="D13" s="544"/>
      <c r="E13" s="544"/>
      <c r="F13" s="75"/>
      <c r="G13" s="532"/>
      <c r="H13" s="75"/>
      <c r="I13" s="51"/>
      <c r="J13" s="51"/>
      <c r="K13" s="51"/>
      <c r="L13" s="51"/>
      <c r="T13" s="381">
        <v>3</v>
      </c>
      <c r="U13" s="382">
        <v>999.98</v>
      </c>
      <c r="V13" s="383">
        <v>1.619E-3</v>
      </c>
      <c r="W13" s="379">
        <f t="shared" si="0"/>
        <v>1.6190323806476128E-6</v>
      </c>
      <c r="Y13" s="22"/>
      <c r="Z13" s="22"/>
      <c r="AA13" s="36"/>
      <c r="AB13" s="36"/>
      <c r="AC13" s="36"/>
      <c r="AD13" s="36"/>
      <c r="AJ13" s="570" t="s">
        <v>675</v>
      </c>
      <c r="AK13" s="561"/>
      <c r="AL13" s="64" t="s">
        <v>677</v>
      </c>
      <c r="AM13" s="64">
        <v>8</v>
      </c>
      <c r="AN13" s="575"/>
      <c r="AO13" s="562"/>
      <c r="AP13" s="64" t="s">
        <v>681</v>
      </c>
      <c r="AQ13" s="64">
        <v>1.5</v>
      </c>
      <c r="AR13" s="577" t="s">
        <v>676</v>
      </c>
      <c r="AS13" s="561"/>
      <c r="AT13" s="64" t="s">
        <v>687</v>
      </c>
      <c r="AU13" s="64">
        <v>1.5</v>
      </c>
      <c r="BA13" s="64">
        <v>5</v>
      </c>
      <c r="BG13" s="658" t="s">
        <v>741</v>
      </c>
      <c r="BH13" s="661">
        <v>13.5</v>
      </c>
      <c r="BI13" s="660">
        <v>2.8479999999999998E-2</v>
      </c>
      <c r="BJ13" s="645"/>
    </row>
    <row r="14" spans="2:62" ht="20.100000000000001" customHeight="1">
      <c r="B14" s="23" t="s">
        <v>636</v>
      </c>
      <c r="C14" s="544"/>
      <c r="D14" s="544"/>
      <c r="E14" s="544"/>
      <c r="F14" s="75"/>
      <c r="G14" s="532"/>
      <c r="H14" s="75"/>
      <c r="I14" s="51"/>
      <c r="J14" s="51"/>
      <c r="K14" s="51"/>
      <c r="L14" s="51"/>
      <c r="T14" s="381">
        <v>4</v>
      </c>
      <c r="U14" s="382">
        <v>1000</v>
      </c>
      <c r="V14" s="383">
        <v>1.567E-3</v>
      </c>
      <c r="W14" s="379">
        <f t="shared" si="0"/>
        <v>1.567E-6</v>
      </c>
      <c r="Y14" s="22"/>
      <c r="Z14" s="22"/>
      <c r="AA14" s="36"/>
      <c r="AB14" s="36"/>
      <c r="AC14" s="36"/>
      <c r="AD14" s="36"/>
      <c r="AJ14" s="571"/>
      <c r="AK14" s="562"/>
      <c r="AL14" s="64" t="s">
        <v>678</v>
      </c>
      <c r="AM14" s="64">
        <v>8</v>
      </c>
      <c r="AN14" s="575"/>
      <c r="AO14" s="562"/>
      <c r="AP14" s="64" t="s">
        <v>682</v>
      </c>
      <c r="AQ14" s="64">
        <v>1.5</v>
      </c>
      <c r="AR14" s="575"/>
      <c r="AS14" s="562"/>
      <c r="AT14" s="64" t="s">
        <v>681</v>
      </c>
      <c r="AU14" s="64">
        <v>1.5</v>
      </c>
      <c r="BA14" s="64">
        <v>6</v>
      </c>
      <c r="BG14" s="658" t="s">
        <v>742</v>
      </c>
      <c r="BH14" s="659">
        <v>21</v>
      </c>
      <c r="BI14" s="660">
        <v>3.0200000000000001E-2</v>
      </c>
      <c r="BJ14" s="645"/>
    </row>
    <row r="15" spans="2:62" ht="20.100000000000001" customHeight="1">
      <c r="B15" s="707" t="s">
        <v>647</v>
      </c>
      <c r="C15" s="708"/>
      <c r="D15" s="708"/>
      <c r="E15" s="709"/>
      <c r="F15" s="543" t="s">
        <v>648</v>
      </c>
      <c r="G15" s="269" t="s">
        <v>646</v>
      </c>
      <c r="H15" s="75"/>
      <c r="I15" s="51"/>
      <c r="J15" s="51"/>
      <c r="K15" s="51"/>
      <c r="L15" s="51"/>
      <c r="T15" s="381">
        <v>5</v>
      </c>
      <c r="U15" s="382">
        <v>1000</v>
      </c>
      <c r="V15" s="383">
        <v>1.519E-3</v>
      </c>
      <c r="W15" s="379">
        <f t="shared" si="0"/>
        <v>1.519E-6</v>
      </c>
      <c r="Y15" s="22"/>
      <c r="Z15" s="22"/>
      <c r="AA15" s="22"/>
      <c r="AB15" s="22"/>
      <c r="AC15" s="22"/>
      <c r="AD15" s="22"/>
      <c r="AJ15" s="571"/>
      <c r="AK15" s="562"/>
      <c r="AL15" s="64" t="s">
        <v>679</v>
      </c>
      <c r="AM15" s="64">
        <v>8</v>
      </c>
      <c r="AN15" s="575"/>
      <c r="AO15" s="562"/>
      <c r="AP15" s="64" t="s">
        <v>683</v>
      </c>
      <c r="AQ15" s="64">
        <v>1.5</v>
      </c>
      <c r="AR15" s="575"/>
      <c r="AS15" s="562"/>
      <c r="AT15" s="64" t="s">
        <v>689</v>
      </c>
      <c r="AU15" s="64">
        <v>1.5</v>
      </c>
      <c r="BA15" s="64">
        <v>7</v>
      </c>
      <c r="BG15" s="658" t="s">
        <v>743</v>
      </c>
      <c r="BH15" s="659">
        <v>21</v>
      </c>
      <c r="BI15" s="660">
        <v>3.814E-2</v>
      </c>
      <c r="BJ15" s="645"/>
    </row>
    <row r="16" spans="2:62" ht="20.100000000000001" customHeight="1">
      <c r="B16" s="707" t="s">
        <v>649</v>
      </c>
      <c r="C16" s="708"/>
      <c r="D16" s="708"/>
      <c r="E16" s="709"/>
      <c r="F16" s="551" t="s">
        <v>650</v>
      </c>
      <c r="G16" s="269" t="s">
        <v>646</v>
      </c>
      <c r="H16" s="75"/>
      <c r="I16" s="51"/>
      <c r="J16" s="51"/>
      <c r="K16" s="51"/>
      <c r="L16" s="51"/>
      <c r="T16" s="381">
        <v>6</v>
      </c>
      <c r="U16" s="382">
        <v>999.99</v>
      </c>
      <c r="V16" s="383">
        <v>1.4730000000000001E-3</v>
      </c>
      <c r="W16" s="379">
        <f t="shared" si="0"/>
        <v>1.4730147301473016E-6</v>
      </c>
      <c r="Y16" s="22" t="s">
        <v>696</v>
      </c>
      <c r="Z16" s="22">
        <v>3197150944</v>
      </c>
      <c r="AA16" s="36"/>
      <c r="AB16" s="36"/>
      <c r="AC16" s="36"/>
      <c r="AD16" s="36"/>
      <c r="AJ16" s="571"/>
      <c r="AK16" s="562"/>
      <c r="AL16" s="64" t="s">
        <v>680</v>
      </c>
      <c r="AM16" s="64">
        <v>8</v>
      </c>
      <c r="AN16" s="575"/>
      <c r="AO16" s="562"/>
      <c r="AP16" s="64" t="s">
        <v>684</v>
      </c>
      <c r="AQ16" s="64">
        <v>1.5</v>
      </c>
      <c r="AR16" s="576"/>
      <c r="AS16" s="563"/>
      <c r="AT16" s="64" t="s">
        <v>686</v>
      </c>
      <c r="AU16" s="64">
        <v>1.5</v>
      </c>
      <c r="BA16" s="64">
        <v>8</v>
      </c>
      <c r="BG16" s="658" t="s">
        <v>744</v>
      </c>
      <c r="BH16" s="659">
        <v>21</v>
      </c>
      <c r="BI16" s="660">
        <v>4.3679999999999997E-2</v>
      </c>
      <c r="BJ16" s="645"/>
    </row>
    <row r="17" spans="2:61" ht="20.100000000000001" customHeight="1">
      <c r="B17" s="716" t="s">
        <v>663</v>
      </c>
      <c r="C17" s="717"/>
      <c r="D17" s="717"/>
      <c r="E17" s="718"/>
      <c r="F17" s="804" t="s">
        <v>664</v>
      </c>
      <c r="G17" s="711" t="s">
        <v>4</v>
      </c>
      <c r="H17" s="75"/>
      <c r="I17" s="51"/>
      <c r="J17" s="51"/>
      <c r="K17" s="51"/>
      <c r="L17" s="51"/>
      <c r="T17" s="381">
        <v>7</v>
      </c>
      <c r="U17" s="382">
        <v>999.96</v>
      </c>
      <c r="V17" s="383">
        <v>1.428E-3</v>
      </c>
      <c r="W17" s="379">
        <f t="shared" si="0"/>
        <v>1.4280571222848913E-6</v>
      </c>
      <c r="Y17" s="22"/>
      <c r="Z17" s="22"/>
      <c r="AA17" s="36"/>
      <c r="AB17" s="36"/>
      <c r="AC17" s="36"/>
      <c r="AD17" s="36"/>
      <c r="AJ17" s="571"/>
      <c r="AK17" s="562"/>
      <c r="AL17" s="64" t="s">
        <v>681</v>
      </c>
      <c r="AM17" s="64">
        <v>8</v>
      </c>
      <c r="AN17" s="575"/>
      <c r="AO17" s="562"/>
      <c r="AP17" s="64" t="s">
        <v>685</v>
      </c>
      <c r="AQ17" s="64">
        <v>1.5</v>
      </c>
      <c r="AR17" s="22"/>
      <c r="AS17" s="22"/>
      <c r="AT17" s="22"/>
      <c r="BA17" s="22"/>
      <c r="BG17" s="658" t="s">
        <v>745</v>
      </c>
      <c r="BH17" s="659">
        <v>21</v>
      </c>
      <c r="BI17" s="660">
        <v>5.4579999999999997E-2</v>
      </c>
    </row>
    <row r="18" spans="2:61" ht="20.100000000000001" customHeight="1">
      <c r="B18" s="719"/>
      <c r="C18" s="720"/>
      <c r="D18" s="720"/>
      <c r="E18" s="721"/>
      <c r="F18" s="804"/>
      <c r="G18" s="712"/>
      <c r="H18" s="75"/>
      <c r="I18" s="51"/>
      <c r="J18" s="51"/>
      <c r="K18" s="51"/>
      <c r="L18" s="51"/>
      <c r="T18" s="381">
        <v>8</v>
      </c>
      <c r="U18" s="382">
        <v>999.91</v>
      </c>
      <c r="V18" s="383">
        <v>1.3859999999999999E-3</v>
      </c>
      <c r="W18" s="379">
        <f t="shared" si="0"/>
        <v>1.3861247512276103E-6</v>
      </c>
      <c r="Y18" s="22"/>
      <c r="Z18" s="22"/>
      <c r="AA18" s="36"/>
      <c r="AB18" s="36"/>
      <c r="AC18" s="36"/>
      <c r="AD18" s="36"/>
      <c r="AJ18" s="571"/>
      <c r="AK18" s="562"/>
      <c r="AL18" s="64" t="s">
        <v>682</v>
      </c>
      <c r="AM18" s="64">
        <v>8</v>
      </c>
      <c r="AN18" s="576"/>
      <c r="AO18" s="563"/>
      <c r="AP18" s="64" t="s">
        <v>686</v>
      </c>
      <c r="AQ18" s="64">
        <v>1.5</v>
      </c>
      <c r="AR18" s="22"/>
      <c r="AS18" s="22"/>
      <c r="AT18" s="22"/>
      <c r="BA18" s="22"/>
      <c r="BG18" s="658" t="s">
        <v>748</v>
      </c>
      <c r="BH18" s="659">
        <v>26</v>
      </c>
      <c r="BI18" s="660">
        <v>5.57E-2</v>
      </c>
    </row>
    <row r="19" spans="2:61" ht="20.100000000000001" customHeight="1">
      <c r="B19" s="716" t="s">
        <v>666</v>
      </c>
      <c r="C19" s="717"/>
      <c r="D19" s="717"/>
      <c r="E19" s="718"/>
      <c r="F19" s="804" t="s">
        <v>665</v>
      </c>
      <c r="G19" s="711" t="s">
        <v>4</v>
      </c>
      <c r="H19" s="75"/>
      <c r="I19" s="51"/>
      <c r="J19" s="51"/>
      <c r="K19" s="51"/>
      <c r="L19" s="51"/>
      <c r="T19" s="381">
        <v>9</v>
      </c>
      <c r="U19" s="382">
        <v>999.85</v>
      </c>
      <c r="V19" s="383">
        <v>1.3460000000000002E-3</v>
      </c>
      <c r="W19" s="379">
        <f t="shared" si="0"/>
        <v>1.3462019302895435E-6</v>
      </c>
      <c r="Y19" s="22"/>
      <c r="Z19" s="22"/>
      <c r="AA19" s="36"/>
      <c r="AB19" s="36"/>
      <c r="AC19" s="36"/>
      <c r="AD19" s="36"/>
      <c r="AJ19" s="571"/>
      <c r="AK19" s="562"/>
      <c r="AL19" s="64" t="s">
        <v>683</v>
      </c>
      <c r="AM19" s="549">
        <v>8</v>
      </c>
      <c r="AN19" s="577" t="s">
        <v>676</v>
      </c>
      <c r="AO19" s="578"/>
      <c r="AP19" s="64" t="s">
        <v>677</v>
      </c>
      <c r="AQ19" s="64">
        <v>1.5</v>
      </c>
      <c r="AR19" s="22"/>
      <c r="AS19" s="22"/>
      <c r="AT19" s="22"/>
      <c r="BA19" s="22"/>
      <c r="BG19" s="658" t="s">
        <v>747</v>
      </c>
      <c r="BH19" s="659">
        <v>21</v>
      </c>
      <c r="BI19" s="660">
        <v>6.6070000000000004E-2</v>
      </c>
    </row>
    <row r="20" spans="2:61" ht="20.100000000000001" customHeight="1">
      <c r="B20" s="719"/>
      <c r="C20" s="720"/>
      <c r="D20" s="720"/>
      <c r="E20" s="721"/>
      <c r="F20" s="804"/>
      <c r="G20" s="712"/>
      <c r="H20" s="75"/>
      <c r="I20" s="51"/>
      <c r="J20" s="51"/>
      <c r="K20" s="51"/>
      <c r="L20" s="51"/>
      <c r="T20" s="381">
        <v>10</v>
      </c>
      <c r="U20" s="382">
        <v>999.77</v>
      </c>
      <c r="V20" s="383">
        <v>1.3080000000000001E-3</v>
      </c>
      <c r="W20" s="379">
        <f t="shared" si="0"/>
        <v>1.3083009092091183E-6</v>
      </c>
      <c r="Y20" s="22"/>
      <c r="Z20" s="22"/>
      <c r="AA20" s="36"/>
      <c r="AB20" s="36"/>
      <c r="AC20" s="36"/>
      <c r="AD20" s="36"/>
      <c r="AJ20" s="571"/>
      <c r="AK20" s="562"/>
      <c r="AL20" s="64" t="s">
        <v>684</v>
      </c>
      <c r="AM20" s="549">
        <v>8</v>
      </c>
      <c r="AN20" s="579"/>
      <c r="AO20" s="580"/>
      <c r="AP20" s="64" t="s">
        <v>678</v>
      </c>
      <c r="AQ20" s="64">
        <v>1.5</v>
      </c>
      <c r="AR20" s="22"/>
      <c r="AS20" s="22"/>
      <c r="AT20" s="22"/>
      <c r="BA20" s="22"/>
      <c r="BG20" s="658" t="s">
        <v>749</v>
      </c>
      <c r="BH20" s="659">
        <v>26</v>
      </c>
      <c r="BI20" s="660">
        <v>6.7449999999999996E-2</v>
      </c>
    </row>
    <row r="21" spans="2:61" ht="20.100000000000001" customHeight="1">
      <c r="B21" s="707" t="s">
        <v>638</v>
      </c>
      <c r="C21" s="708"/>
      <c r="D21" s="708"/>
      <c r="E21" s="709"/>
      <c r="F21" s="593" t="s">
        <v>652</v>
      </c>
      <c r="G21" s="269" t="s">
        <v>38</v>
      </c>
      <c r="H21" s="75"/>
      <c r="I21" s="813"/>
      <c r="J21" s="813"/>
      <c r="K21" s="813"/>
      <c r="L21" s="813"/>
      <c r="M21" s="624"/>
      <c r="N21" s="532"/>
      <c r="T21" s="381">
        <v>11</v>
      </c>
      <c r="U21" s="382">
        <v>999.68</v>
      </c>
      <c r="V21" s="383">
        <v>1.271E-3</v>
      </c>
      <c r="W21" s="379">
        <f t="shared" si="0"/>
        <v>1.2714068501920614E-6</v>
      </c>
      <c r="Y21" s="22"/>
      <c r="Z21" s="22"/>
      <c r="AA21" s="36"/>
      <c r="AB21" s="36"/>
      <c r="AC21" s="36"/>
      <c r="AD21" s="36"/>
      <c r="AJ21" s="571"/>
      <c r="AK21" s="562"/>
      <c r="AL21" s="64" t="s">
        <v>685</v>
      </c>
      <c r="AM21" s="549">
        <v>8</v>
      </c>
      <c r="AN21" s="579"/>
      <c r="AO21" s="580"/>
      <c r="AP21" s="64" t="s">
        <v>679</v>
      </c>
      <c r="AQ21" s="64">
        <v>1.5</v>
      </c>
      <c r="AR21" s="22"/>
      <c r="AS21" s="22"/>
      <c r="AT21" s="22"/>
      <c r="BG21" s="658" t="s">
        <v>746</v>
      </c>
      <c r="BH21" s="659">
        <v>21</v>
      </c>
      <c r="BI21" s="660">
        <v>8.0420000000000005E-2</v>
      </c>
    </row>
    <row r="22" spans="2:61" ht="20.100000000000001" customHeight="1">
      <c r="B22" s="707" t="s">
        <v>637</v>
      </c>
      <c r="C22" s="708"/>
      <c r="D22" s="708"/>
      <c r="E22" s="709"/>
      <c r="F22" s="593" t="s">
        <v>651</v>
      </c>
      <c r="G22" s="269" t="s">
        <v>38</v>
      </c>
      <c r="H22" s="75"/>
      <c r="I22" s="51"/>
      <c r="J22" s="51"/>
      <c r="K22" s="51"/>
      <c r="L22" s="51"/>
      <c r="T22" s="381">
        <v>12</v>
      </c>
      <c r="U22" s="382">
        <v>999.58</v>
      </c>
      <c r="V22" s="383">
        <v>1.2359999999999999E-3</v>
      </c>
      <c r="W22" s="379">
        <f t="shared" si="0"/>
        <v>1.2365193381220111E-6</v>
      </c>
      <c r="Y22" s="22"/>
      <c r="Z22" s="22"/>
      <c r="AA22" s="119"/>
      <c r="AB22" s="119"/>
      <c r="AC22" s="119"/>
      <c r="AD22" s="119"/>
      <c r="AJ22" s="572"/>
      <c r="AK22" s="563"/>
      <c r="AL22" s="64" t="s">
        <v>686</v>
      </c>
      <c r="AM22" s="549">
        <v>8</v>
      </c>
      <c r="AN22" s="579"/>
      <c r="AO22" s="580"/>
      <c r="AP22" s="64" t="s">
        <v>680</v>
      </c>
      <c r="AQ22" s="64">
        <v>1.5</v>
      </c>
      <c r="AR22" s="22"/>
      <c r="AS22" s="22"/>
      <c r="AT22" s="22"/>
      <c r="BG22" s="658" t="s">
        <v>750</v>
      </c>
      <c r="BH22" s="659">
        <v>26</v>
      </c>
      <c r="BI22" s="660">
        <v>8.2040000000000002E-2</v>
      </c>
    </row>
    <row r="23" spans="2:61" ht="20.100000000000001" customHeight="1">
      <c r="B23" s="707" t="s">
        <v>639</v>
      </c>
      <c r="C23" s="708"/>
      <c r="D23" s="708"/>
      <c r="E23" s="709"/>
      <c r="F23" s="543">
        <v>60</v>
      </c>
      <c r="G23" s="269" t="s">
        <v>12</v>
      </c>
      <c r="H23" s="75"/>
      <c r="I23" s="51"/>
      <c r="J23" s="51"/>
      <c r="K23" s="51"/>
      <c r="L23" s="51"/>
      <c r="T23" s="381">
        <v>13</v>
      </c>
      <c r="U23" s="382">
        <v>999.46</v>
      </c>
      <c r="V23" s="383">
        <v>1.2030000000000001E-3</v>
      </c>
      <c r="W23" s="379">
        <f t="shared" si="0"/>
        <v>1.2036499709843315E-6</v>
      </c>
      <c r="Y23" s="22"/>
      <c r="Z23" s="22"/>
      <c r="AA23" s="119"/>
      <c r="AB23" s="119"/>
      <c r="AC23" s="119"/>
      <c r="AD23" s="119"/>
      <c r="AJ23" s="567" t="s">
        <v>688</v>
      </c>
      <c r="AK23" s="564"/>
      <c r="AL23" s="359" t="s">
        <v>677</v>
      </c>
      <c r="AM23" s="549">
        <v>3</v>
      </c>
      <c r="AN23" s="579"/>
      <c r="AO23" s="580"/>
      <c r="AP23" s="64" t="s">
        <v>681</v>
      </c>
      <c r="AQ23" s="64">
        <v>1.5</v>
      </c>
      <c r="AR23" s="22"/>
      <c r="AS23" s="22"/>
      <c r="AT23" s="22"/>
    </row>
    <row r="24" spans="2:61" ht="20.100000000000001" customHeight="1">
      <c r="B24" s="707" t="s">
        <v>53</v>
      </c>
      <c r="C24" s="708"/>
      <c r="D24" s="708"/>
      <c r="E24" s="709"/>
      <c r="F24" s="543" t="s">
        <v>653</v>
      </c>
      <c r="G24" s="269"/>
      <c r="H24" s="75"/>
      <c r="I24" s="51"/>
      <c r="J24" s="51"/>
      <c r="K24" s="51"/>
      <c r="L24" s="51"/>
      <c r="T24" s="381">
        <v>14</v>
      </c>
      <c r="U24" s="382">
        <v>999.33</v>
      </c>
      <c r="V24" s="383">
        <v>1.1709999999999999E-3</v>
      </c>
      <c r="W24" s="379">
        <f t="shared" si="0"/>
        <v>1.1717850960143296E-6</v>
      </c>
      <c r="Y24" s="22"/>
      <c r="Z24" s="22"/>
      <c r="AA24" s="44"/>
      <c r="AB24" s="44"/>
      <c r="AC24" s="44"/>
      <c r="AD24" s="44"/>
      <c r="AJ24" s="573"/>
      <c r="AK24" s="565"/>
      <c r="AL24" s="359" t="s">
        <v>687</v>
      </c>
      <c r="AM24" s="549">
        <v>5</v>
      </c>
      <c r="AN24" s="579"/>
      <c r="AO24" s="580"/>
      <c r="AP24" s="64" t="s">
        <v>682</v>
      </c>
      <c r="AQ24" s="64">
        <v>1.5</v>
      </c>
      <c r="AR24" s="22"/>
      <c r="AS24" s="22"/>
      <c r="AT24" s="22"/>
    </row>
    <row r="25" spans="2:61" ht="20.100000000000001" customHeight="1">
      <c r="B25" s="707" t="s">
        <v>640</v>
      </c>
      <c r="C25" s="708"/>
      <c r="D25" s="708"/>
      <c r="E25" s="709"/>
      <c r="F25" s="543" t="s">
        <v>654</v>
      </c>
      <c r="G25" s="269" t="s">
        <v>644</v>
      </c>
      <c r="H25" s="75"/>
      <c r="I25" s="51"/>
      <c r="J25" s="51"/>
      <c r="K25" s="51"/>
      <c r="L25" s="51"/>
      <c r="T25" s="381">
        <v>15</v>
      </c>
      <c r="U25" s="382">
        <v>999.19</v>
      </c>
      <c r="V25" s="383">
        <v>1.14E-3</v>
      </c>
      <c r="W25" s="379">
        <f t="shared" si="0"/>
        <v>1.1409241485603338E-6</v>
      </c>
      <c r="Y25" s="22"/>
      <c r="Z25" s="22"/>
      <c r="AA25" s="22"/>
      <c r="AB25" s="22"/>
      <c r="AC25" s="22"/>
      <c r="AD25" s="22"/>
      <c r="AJ25" s="573"/>
      <c r="AK25" s="565"/>
      <c r="AL25" s="359" t="s">
        <v>683</v>
      </c>
      <c r="AM25" s="549">
        <v>3</v>
      </c>
      <c r="AN25" s="579"/>
      <c r="AO25" s="580"/>
      <c r="AP25" s="64" t="s">
        <v>683</v>
      </c>
      <c r="AQ25" s="64">
        <v>1.5</v>
      </c>
      <c r="AR25" s="22"/>
      <c r="AS25" s="22"/>
      <c r="AT25" s="22"/>
    </row>
    <row r="26" spans="2:61" ht="20.100000000000001" customHeight="1">
      <c r="B26" s="707" t="s">
        <v>641</v>
      </c>
      <c r="C26" s="708"/>
      <c r="D26" s="708"/>
      <c r="E26" s="709"/>
      <c r="F26" s="550" t="s">
        <v>655</v>
      </c>
      <c r="G26" s="547" t="s">
        <v>645</v>
      </c>
      <c r="T26" s="381">
        <v>16</v>
      </c>
      <c r="U26" s="382">
        <v>999.03</v>
      </c>
      <c r="V26" s="383">
        <v>1.111E-3</v>
      </c>
      <c r="W26" s="379">
        <f t="shared" si="0"/>
        <v>1.1120787163548642E-6</v>
      </c>
      <c r="Y26" s="22"/>
      <c r="Z26" s="22"/>
      <c r="AA26" s="22"/>
      <c r="AB26" s="22"/>
      <c r="AC26" s="22"/>
      <c r="AD26" s="22"/>
      <c r="AJ26" s="574"/>
      <c r="AK26" s="566"/>
      <c r="AL26" s="359" t="s">
        <v>686</v>
      </c>
      <c r="AM26" s="549">
        <v>5</v>
      </c>
      <c r="AN26" s="579"/>
      <c r="AO26" s="580"/>
      <c r="AP26" s="64" t="s">
        <v>684</v>
      </c>
      <c r="AQ26" s="64">
        <v>1.5</v>
      </c>
      <c r="AR26" s="22"/>
      <c r="AS26" s="22"/>
      <c r="AT26" s="22"/>
    </row>
    <row r="27" spans="2:61" ht="20.100000000000001" customHeight="1">
      <c r="B27" s="707" t="s">
        <v>642</v>
      </c>
      <c r="C27" s="708"/>
      <c r="D27" s="708"/>
      <c r="E27" s="709"/>
      <c r="F27" s="285" t="s">
        <v>656</v>
      </c>
      <c r="G27" s="547" t="s">
        <v>3</v>
      </c>
      <c r="T27" s="381">
        <v>17</v>
      </c>
      <c r="U27" s="382">
        <v>998.86</v>
      </c>
      <c r="V27" s="383">
        <v>1.083E-3</v>
      </c>
      <c r="W27" s="379">
        <f t="shared" si="0"/>
        <v>1.0842360290731433E-6</v>
      </c>
      <c r="Y27" s="7"/>
      <c r="Z27" s="7"/>
      <c r="AA27" s="7"/>
      <c r="AB27" s="7"/>
      <c r="AC27" s="7"/>
      <c r="AD27" s="7"/>
      <c r="AJ27" s="24"/>
      <c r="AK27" s="24"/>
      <c r="AL27" s="22"/>
      <c r="AM27" s="22"/>
      <c r="AN27" s="579"/>
      <c r="AO27" s="580"/>
      <c r="AP27" s="64" t="s">
        <v>685</v>
      </c>
      <c r="AQ27" s="64">
        <v>1.5</v>
      </c>
      <c r="AR27" s="22"/>
      <c r="AS27" s="22"/>
      <c r="AT27" s="22"/>
    </row>
    <row r="28" spans="2:61" ht="20.100000000000001" customHeight="1">
      <c r="B28" s="707" t="s">
        <v>643</v>
      </c>
      <c r="C28" s="708"/>
      <c r="D28" s="708"/>
      <c r="E28" s="709"/>
      <c r="F28" s="552" t="s">
        <v>657</v>
      </c>
      <c r="G28" s="533" t="s">
        <v>204</v>
      </c>
      <c r="T28" s="381">
        <v>18</v>
      </c>
      <c r="U28" s="382">
        <v>998.68</v>
      </c>
      <c r="V28" s="383">
        <v>1.0560000000000001E-3</v>
      </c>
      <c r="W28" s="379">
        <f t="shared" si="0"/>
        <v>1.0573957624063765E-6</v>
      </c>
      <c r="Y28" s="7"/>
      <c r="Z28" s="7"/>
      <c r="AA28" s="7"/>
      <c r="AB28" s="7"/>
      <c r="AC28" s="7"/>
      <c r="AD28" s="7"/>
      <c r="AJ28" s="24"/>
      <c r="AK28" s="24"/>
      <c r="AL28" s="22"/>
      <c r="AM28" s="22"/>
      <c r="AN28" s="581"/>
      <c r="AO28" s="582"/>
      <c r="AP28" s="64" t="s">
        <v>686</v>
      </c>
      <c r="AQ28" s="64">
        <v>1.5</v>
      </c>
      <c r="AR28" s="22"/>
      <c r="AS28" s="22"/>
      <c r="AT28" s="22"/>
    </row>
    <row r="29" spans="2:61" ht="20.100000000000001" customHeight="1">
      <c r="T29" s="381">
        <v>19</v>
      </c>
      <c r="U29" s="382">
        <v>998.49</v>
      </c>
      <c r="V29" s="383">
        <v>1.0300000000000001E-3</v>
      </c>
      <c r="W29" s="379">
        <f t="shared" si="0"/>
        <v>1.0315576520546026E-6</v>
      </c>
      <c r="Y29" s="7"/>
      <c r="Z29" s="7"/>
      <c r="AA29" s="7"/>
      <c r="AB29" s="7"/>
      <c r="AC29" s="7"/>
      <c r="AD29" s="7"/>
      <c r="AJ29" s="24"/>
      <c r="AK29" s="24"/>
      <c r="AL29" s="22"/>
      <c r="AM29" s="22"/>
      <c r="AN29" s="555"/>
      <c r="AO29" s="555"/>
      <c r="AP29" s="22"/>
      <c r="AQ29" s="22"/>
      <c r="AR29" s="22"/>
      <c r="AS29" s="22"/>
      <c r="AT29" s="22"/>
    </row>
    <row r="30" spans="2:61" ht="20.100000000000001" customHeight="1">
      <c r="B30" s="23" t="s">
        <v>157</v>
      </c>
      <c r="T30" s="381">
        <v>20</v>
      </c>
      <c r="U30" s="382">
        <v>998.29</v>
      </c>
      <c r="V30" s="383">
        <v>1.005E-3</v>
      </c>
      <c r="W30" s="379">
        <f t="shared" si="0"/>
        <v>1.0067214937543199E-6</v>
      </c>
      <c r="Y30" s="7"/>
      <c r="Z30" s="7"/>
      <c r="AA30" s="7"/>
      <c r="AB30" s="7"/>
      <c r="AC30" s="7"/>
      <c r="AD30" s="7"/>
      <c r="AJ30" s="24"/>
      <c r="AK30" s="24"/>
      <c r="AL30" s="22"/>
      <c r="AM30" s="22"/>
    </row>
    <row r="31" spans="2:61" ht="20.100000000000001" customHeight="1">
      <c r="B31" s="737" t="s">
        <v>138</v>
      </c>
      <c r="C31" s="738"/>
      <c r="D31" s="738"/>
      <c r="E31" s="739"/>
      <c r="F31" s="543" t="s">
        <v>135</v>
      </c>
      <c r="G31" s="528">
        <v>20</v>
      </c>
      <c r="H31" s="543" t="s">
        <v>139</v>
      </c>
      <c r="T31" s="381">
        <v>21</v>
      </c>
      <c r="U31" s="382">
        <v>998.08</v>
      </c>
      <c r="V31" s="383">
        <v>9.810000000000001E-4</v>
      </c>
      <c r="W31" s="379">
        <f t="shared" si="0"/>
        <v>9.8288714331516507E-7</v>
      </c>
      <c r="Y31" s="7"/>
      <c r="Z31" s="7"/>
      <c r="AA31" s="7"/>
      <c r="AB31" s="7"/>
      <c r="AC31" s="7"/>
      <c r="AD31" s="7"/>
      <c r="AJ31" s="24"/>
      <c r="AK31" s="24"/>
      <c r="AL31" s="22"/>
      <c r="AM31" s="22"/>
    </row>
    <row r="32" spans="2:61" ht="20.100000000000001" customHeight="1">
      <c r="B32" s="737" t="str">
        <f>"Densidad del agua a "&amp;G31&amp;" °C"</f>
        <v>Densidad del agua a 20 °C</v>
      </c>
      <c r="C32" s="738"/>
      <c r="D32" s="738"/>
      <c r="E32" s="739"/>
      <c r="F32" s="543" t="s">
        <v>134</v>
      </c>
      <c r="G32" s="268">
        <f>IF(G31="…","",ROUND(VLOOKUP(G31,T10:W45,2,FALSE),9))</f>
        <v>998.29</v>
      </c>
      <c r="H32" s="543" t="s">
        <v>165</v>
      </c>
      <c r="T32" s="381">
        <v>22</v>
      </c>
      <c r="U32" s="382">
        <v>997.86</v>
      </c>
      <c r="V32" s="383">
        <v>9.5790000000000003E-4</v>
      </c>
      <c r="W32" s="379">
        <f t="shared" si="0"/>
        <v>9.5995430220672237E-7</v>
      </c>
      <c r="Y32" s="7"/>
      <c r="Z32" s="7"/>
      <c r="AA32" s="7"/>
      <c r="AB32" s="7"/>
      <c r="AC32" s="7"/>
      <c r="AD32" s="7"/>
      <c r="AJ32" s="24"/>
      <c r="AK32" s="24"/>
      <c r="AL32" s="22"/>
      <c r="AM32" s="22"/>
    </row>
    <row r="33" spans="2:39" ht="20.100000000000001" customHeight="1">
      <c r="B33" s="737" t="str">
        <f>"Viscocidad dinámica del agua a "&amp;G31&amp;" °C"</f>
        <v>Viscocidad dinámica del agua a 20 °C</v>
      </c>
      <c r="C33" s="738"/>
      <c r="D33" s="738"/>
      <c r="E33" s="739"/>
      <c r="F33" s="543" t="s">
        <v>104</v>
      </c>
      <c r="G33" s="589">
        <f>IF(G31="…","",ROUND(VLOOKUP(G31,T10:W45,3,FALSE),9))</f>
        <v>1.005E-3</v>
      </c>
      <c r="H33" s="79" t="s">
        <v>166</v>
      </c>
      <c r="T33" s="381">
        <v>23</v>
      </c>
      <c r="U33" s="382">
        <v>997.62</v>
      </c>
      <c r="V33" s="383">
        <v>9.3579999999999998E-4</v>
      </c>
      <c r="W33" s="379">
        <f t="shared" si="0"/>
        <v>9.3803251739139144E-7</v>
      </c>
      <c r="Y33" s="7"/>
      <c r="Z33" s="7"/>
      <c r="AA33" s="7"/>
      <c r="AB33" s="7"/>
      <c r="AC33" s="7"/>
      <c r="AD33" s="7"/>
      <c r="AJ33" s="24"/>
      <c r="AK33" s="24"/>
      <c r="AL33" s="22"/>
      <c r="AM33" s="22"/>
    </row>
    <row r="34" spans="2:39" ht="20.100000000000001" customHeight="1">
      <c r="B34" s="737" t="str">
        <f>"Viscocidad cinemática del agua a "&amp;G31&amp;" °C"</f>
        <v>Viscocidad cinemática del agua a 20 °C</v>
      </c>
      <c r="C34" s="738"/>
      <c r="D34" s="738"/>
      <c r="E34" s="739"/>
      <c r="F34" s="18" t="s">
        <v>2</v>
      </c>
      <c r="G34" s="268">
        <f>IF(G31="…","",ROUND(VLOOKUP(G31,T10:W45,4,FALSE),9))</f>
        <v>1.0070000000000001E-6</v>
      </c>
      <c r="H34" s="79" t="s">
        <v>167</v>
      </c>
      <c r="T34" s="381">
        <v>24</v>
      </c>
      <c r="U34" s="382">
        <v>997.38</v>
      </c>
      <c r="V34" s="383">
        <v>9.142E-4</v>
      </c>
      <c r="W34" s="379">
        <f t="shared" si="0"/>
        <v>9.1660149591930864E-7</v>
      </c>
      <c r="Y34" s="7"/>
      <c r="Z34" s="7"/>
      <c r="AA34" s="7"/>
      <c r="AB34" s="7"/>
      <c r="AC34" s="7"/>
      <c r="AD34" s="7"/>
      <c r="AJ34" s="24"/>
      <c r="AK34" s="24"/>
      <c r="AL34" s="22"/>
      <c r="AM34" s="22"/>
    </row>
    <row r="35" spans="2:39" ht="20.100000000000001" customHeight="1">
      <c r="B35" s="426"/>
      <c r="C35" s="7"/>
      <c r="D35" s="7"/>
      <c r="E35" s="7"/>
      <c r="F35" s="7"/>
      <c r="G35" s="7"/>
      <c r="H35" s="7"/>
      <c r="T35" s="381">
        <v>25</v>
      </c>
      <c r="U35" s="382">
        <v>997.13</v>
      </c>
      <c r="V35" s="383">
        <v>8.9370000000000009E-4</v>
      </c>
      <c r="W35" s="379">
        <f t="shared" si="0"/>
        <v>8.9627230150532037E-7</v>
      </c>
      <c r="Y35" s="7"/>
      <c r="Z35" s="7"/>
      <c r="AA35" s="7"/>
      <c r="AB35" s="7"/>
      <c r="AC35" s="7"/>
      <c r="AD35" s="7"/>
      <c r="AJ35" s="24"/>
      <c r="AK35" s="24"/>
      <c r="AL35" s="22"/>
      <c r="AM35" s="22"/>
    </row>
    <row r="36" spans="2:39" ht="20.100000000000001" customHeight="1">
      <c r="B36" s="722" t="s">
        <v>63</v>
      </c>
      <c r="C36" s="722"/>
      <c r="D36" s="722"/>
      <c r="E36" s="722"/>
      <c r="F36" s="722"/>
      <c r="G36" s="722"/>
      <c r="H36" s="722"/>
      <c r="I36" s="723"/>
      <c r="J36" s="15"/>
      <c r="K36" s="15"/>
      <c r="L36" s="15"/>
      <c r="M36" s="15"/>
      <c r="O36" s="736"/>
      <c r="P36" s="736"/>
      <c r="Q36" s="736"/>
      <c r="R36" s="736"/>
      <c r="T36" s="381">
        <v>26</v>
      </c>
      <c r="U36" s="382">
        <v>996.86</v>
      </c>
      <c r="V36" s="383">
        <v>8.7370000000000004E-4</v>
      </c>
      <c r="W36" s="379">
        <f t="shared" si="0"/>
        <v>8.7645205946672558E-7</v>
      </c>
      <c r="AJ36" s="24"/>
      <c r="AK36" s="24"/>
      <c r="AL36" s="22"/>
      <c r="AM36" s="22"/>
    </row>
    <row r="37" spans="2:39" ht="20.100000000000001" customHeight="1">
      <c r="B37" s="762" t="s">
        <v>661</v>
      </c>
      <c r="C37" s="762"/>
      <c r="D37" s="762"/>
      <c r="E37" s="762"/>
      <c r="F37" s="783" t="s">
        <v>662</v>
      </c>
      <c r="G37" s="784"/>
      <c r="H37" s="785"/>
      <c r="I37" s="15"/>
      <c r="J37" s="15"/>
      <c r="K37" s="15"/>
      <c r="L37" s="15"/>
      <c r="M37" s="15"/>
      <c r="O37" s="591"/>
      <c r="P37" s="591"/>
      <c r="Q37" s="591"/>
      <c r="R37" s="591"/>
      <c r="T37" s="381">
        <v>27</v>
      </c>
      <c r="U37" s="382">
        <v>996.59</v>
      </c>
      <c r="V37" s="383">
        <v>8.5450000000000001E-4</v>
      </c>
      <c r="W37" s="379">
        <f t="shared" si="0"/>
        <v>8.5742381520986557E-7</v>
      </c>
      <c r="AJ37" s="24"/>
      <c r="AK37" s="24"/>
      <c r="AL37" s="22"/>
      <c r="AM37" s="22"/>
    </row>
    <row r="38" spans="2:39" ht="20.100000000000001" customHeight="1">
      <c r="B38" s="762" t="s">
        <v>702</v>
      </c>
      <c r="C38" s="762"/>
      <c r="D38" s="762"/>
      <c r="E38" s="762"/>
      <c r="F38" s="783" t="s">
        <v>635</v>
      </c>
      <c r="G38" s="784"/>
      <c r="H38" s="785"/>
      <c r="I38" s="15"/>
      <c r="J38" s="15"/>
      <c r="K38" s="15">
        <f>SQRT(3/16)*10</f>
        <v>4.3301270189221928</v>
      </c>
      <c r="L38" s="15"/>
      <c r="M38" s="15"/>
      <c r="O38" s="591"/>
      <c r="P38" s="591"/>
      <c r="Q38" s="591"/>
      <c r="R38" s="591"/>
      <c r="T38" s="381">
        <v>28</v>
      </c>
      <c r="U38" s="382">
        <v>996.31</v>
      </c>
      <c r="V38" s="383">
        <v>8.3599999999999994E-4</v>
      </c>
      <c r="W38" s="379">
        <f t="shared" si="0"/>
        <v>8.3909626521865684E-7</v>
      </c>
      <c r="AJ38" s="24"/>
      <c r="AK38" s="24"/>
      <c r="AL38" s="22"/>
      <c r="AM38" s="22"/>
    </row>
    <row r="39" spans="2:39" ht="20.100000000000001" customHeight="1">
      <c r="B39" s="763" t="str">
        <f>IF(F38=Y9,"",IF(F38=Y10,"Material de "&amp;Y10,IF(F38=Y11,"Material de "&amp;Y11,IF(F38=Y12,"Material de módulos de "&amp;Y12))))</f>
        <v>Material de Placas onduladas paralelas</v>
      </c>
      <c r="C39" s="764"/>
      <c r="D39" s="764"/>
      <c r="E39" s="765"/>
      <c r="F39" s="783" t="s">
        <v>676</v>
      </c>
      <c r="G39" s="784"/>
      <c r="H39" s="785"/>
      <c r="I39" s="15"/>
      <c r="J39" s="15"/>
      <c r="K39" s="15"/>
      <c r="L39" s="15"/>
      <c r="M39" s="15"/>
      <c r="O39" s="591"/>
      <c r="P39" s="591"/>
      <c r="Q39" s="591"/>
      <c r="R39" s="591"/>
      <c r="T39" s="381">
        <v>29</v>
      </c>
      <c r="U39" s="382">
        <v>996.02</v>
      </c>
      <c r="V39" s="383">
        <v>8.1799999999999993E-4</v>
      </c>
      <c r="W39" s="379">
        <f t="shared" si="0"/>
        <v>8.2126864922391111E-7</v>
      </c>
      <c r="AJ39" s="555"/>
      <c r="AK39" s="555"/>
      <c r="AL39" s="22"/>
      <c r="AM39" s="22"/>
    </row>
    <row r="40" spans="2:39" ht="20.100000000000001" customHeight="1">
      <c r="B40" s="763" t="str">
        <f>IF(F38=Y9,"",IF(F38=Y10,"Dimensiones de "&amp;Y10,IF(F38=Y11,"Dimensiones de "&amp;Y11,IF(F38=Y12,"Sección tranversal inclinada de módulos de "&amp;Y12))))</f>
        <v>Dimensiones de Placas onduladas paralelas</v>
      </c>
      <c r="C40" s="764"/>
      <c r="D40" s="764"/>
      <c r="E40" s="765"/>
      <c r="F40" s="588" t="s">
        <v>700</v>
      </c>
      <c r="G40" s="531"/>
      <c r="H40" s="13" t="s">
        <v>701</v>
      </c>
      <c r="I40" s="15"/>
      <c r="J40" s="15"/>
      <c r="K40" s="15"/>
      <c r="L40" s="15"/>
      <c r="M40" s="15"/>
      <c r="O40" s="591"/>
      <c r="P40" s="591"/>
      <c r="Q40" s="591"/>
      <c r="R40" s="591"/>
      <c r="T40" s="381">
        <v>30</v>
      </c>
      <c r="U40" s="382">
        <v>995.71</v>
      </c>
      <c r="V40" s="383">
        <v>8.007E-4</v>
      </c>
      <c r="W40" s="379">
        <f t="shared" si="0"/>
        <v>8.0414980265338299E-7</v>
      </c>
      <c r="AJ40" s="555"/>
      <c r="AK40" s="555"/>
      <c r="AL40" s="22"/>
      <c r="AM40" s="22"/>
    </row>
    <row r="41" spans="2:39" ht="20.100000000000001" customHeight="1">
      <c r="B41" s="763" t="str">
        <f>IF(F38=Y9,"",IF(F38=Y10,"Espesor de "&amp;Y10,IF(F38=Y11,"Espesor de "&amp;Y11,IF(F38=Y12,"Espesor de pared de "&amp;Y12))))</f>
        <v>Espesor de Placas onduladas paralelas</v>
      </c>
      <c r="C41" s="764"/>
      <c r="D41" s="764"/>
      <c r="E41" s="765"/>
      <c r="F41" s="596" t="s">
        <v>10</v>
      </c>
      <c r="G41" s="9" t="e">
        <f>IF(AH10=AE10,VLOOKUP(G40,AL9:AM12,2,FALSE),IF(AH10=AF10,VLOOKUP(G40,AL13:AM22,2,FALSE),IF(AH10=AG10,VLOOKUP(G40,AL23:AM26,2,FALSE),IF(AH10=AE11,VLOOKUP(G40,AP9:AQ18,2,FALSE),IF(AH10=AF11,VLOOKUP(G40,AP19:AQ28,2,FALSE),IF(AH10=AE12,VLOOKUP(G40,AT9:AU12,2,FALSE),IF(AH10=AF12,VLOOKUP(G40,AT13:AU16,2,FALSE))))))))</f>
        <v>#N/A</v>
      </c>
      <c r="H41" s="596" t="s">
        <v>128</v>
      </c>
      <c r="I41" s="15"/>
      <c r="J41" s="15"/>
      <c r="K41" s="15"/>
      <c r="L41" s="15"/>
      <c r="M41" s="15"/>
      <c r="O41" s="591"/>
      <c r="P41" s="591"/>
      <c r="Q41" s="591"/>
      <c r="R41" s="591"/>
      <c r="T41" s="381">
        <v>31</v>
      </c>
      <c r="U41" s="382">
        <v>995.41</v>
      </c>
      <c r="V41" s="383">
        <v>7.8400000000000008E-4</v>
      </c>
      <c r="W41" s="379">
        <f t="shared" si="0"/>
        <v>7.8761515355481675E-7</v>
      </c>
      <c r="AJ41" s="555" t="s">
        <v>11</v>
      </c>
      <c r="AK41" s="555"/>
      <c r="AL41" s="22"/>
      <c r="AM41" s="22"/>
    </row>
    <row r="42" spans="2:39" ht="20.100000000000001" customHeight="1">
      <c r="B42" s="763" t="str">
        <f>IF(F38=Y9,"",IF(F38=Y10,"Ángulo de inclinación de "&amp;Y10,IF(F38=Y11,"Ángulo de inclinación de "&amp;Y11,IF(F38=Y12,"Ángulo de inclinación de "&amp;Y12))))</f>
        <v>Ángulo de inclinación de Placas onduladas paralelas</v>
      </c>
      <c r="C42" s="764"/>
      <c r="D42" s="764"/>
      <c r="E42" s="765"/>
      <c r="F42" s="69" t="s">
        <v>13</v>
      </c>
      <c r="G42" s="554">
        <v>60</v>
      </c>
      <c r="H42" s="594" t="s">
        <v>12</v>
      </c>
      <c r="I42" s="15"/>
      <c r="J42" s="15"/>
      <c r="K42" s="15"/>
      <c r="L42" s="15"/>
      <c r="M42" s="15"/>
      <c r="O42" s="591"/>
      <c r="P42" s="591"/>
      <c r="Q42" s="591"/>
      <c r="R42" s="591"/>
      <c r="T42" s="381">
        <v>32</v>
      </c>
      <c r="U42" s="382">
        <v>995.09</v>
      </c>
      <c r="V42" s="383">
        <v>7.6790000000000007E-4</v>
      </c>
      <c r="W42" s="379">
        <f t="shared" si="0"/>
        <v>7.7168899295541107E-7</v>
      </c>
      <c r="AJ42" s="555"/>
      <c r="AK42" s="555"/>
      <c r="AL42" s="22"/>
      <c r="AM42" s="22"/>
    </row>
    <row r="43" spans="2:39" ht="20.100000000000001" customHeight="1">
      <c r="B43" s="763" t="str">
        <f>"Eficiencia crítica para "&amp;F38</f>
        <v>Eficiencia crítica para Placas onduladas paralelas</v>
      </c>
      <c r="C43" s="764"/>
      <c r="D43" s="764"/>
      <c r="E43" s="765"/>
      <c r="F43" s="599" t="s">
        <v>659</v>
      </c>
      <c r="G43" s="535">
        <f>IF(F38="…","",VLOOKUP(F38,Y$10:AA$12,3,FALSE))</f>
        <v>1.3</v>
      </c>
      <c r="H43" s="536"/>
      <c r="I43" s="15"/>
      <c r="J43" s="15"/>
      <c r="K43" s="15"/>
      <c r="L43" s="15"/>
      <c r="M43" s="15"/>
      <c r="O43" s="591"/>
      <c r="P43" s="591"/>
      <c r="Q43" s="591"/>
      <c r="R43" s="591"/>
      <c r="T43" s="381">
        <v>33</v>
      </c>
      <c r="U43" s="382">
        <v>994.76</v>
      </c>
      <c r="V43" s="383">
        <v>7.5230000000000002E-4</v>
      </c>
      <c r="W43" s="379">
        <f t="shared" si="0"/>
        <v>7.5626281716192853E-7</v>
      </c>
      <c r="AJ43" s="555" t="s">
        <v>693</v>
      </c>
      <c r="AK43" s="555"/>
      <c r="AL43" s="22"/>
      <c r="AM43" s="22"/>
    </row>
    <row r="44" spans="2:39" ht="20.100000000000001" customHeight="1">
      <c r="B44" s="762" t="s">
        <v>18</v>
      </c>
      <c r="C44" s="762"/>
      <c r="D44" s="762"/>
      <c r="E44" s="762"/>
      <c r="F44" s="596" t="s">
        <v>0</v>
      </c>
      <c r="G44" s="529">
        <f>G11</f>
        <v>5.7252000000000004E-2</v>
      </c>
      <c r="H44" s="596" t="s">
        <v>313</v>
      </c>
      <c r="I44" s="7"/>
      <c r="J44" s="7"/>
      <c r="K44" s="7"/>
      <c r="L44" s="7"/>
      <c r="M44" s="7"/>
      <c r="O44" s="600"/>
      <c r="P44" s="591"/>
      <c r="Q44" s="600"/>
      <c r="R44" s="591"/>
      <c r="T44" s="381">
        <v>34</v>
      </c>
      <c r="U44" s="382">
        <v>994.43</v>
      </c>
      <c r="V44" s="383">
        <v>7.3709999999999997E-4</v>
      </c>
      <c r="W44" s="379">
        <f t="shared" si="0"/>
        <v>7.4122864354454311E-7</v>
      </c>
      <c r="AJ44" s="555"/>
      <c r="AK44" s="555"/>
      <c r="AL44" s="22"/>
      <c r="AM44" s="22"/>
    </row>
    <row r="45" spans="2:39" ht="20.100000000000001" customHeight="1">
      <c r="B45" s="762" t="s">
        <v>704</v>
      </c>
      <c r="C45" s="762"/>
      <c r="D45" s="762"/>
      <c r="E45" s="762"/>
      <c r="F45" s="596" t="s">
        <v>3</v>
      </c>
      <c r="G45" s="531">
        <v>4</v>
      </c>
      <c r="H45" s="596" t="s">
        <v>15</v>
      </c>
      <c r="I45" s="7"/>
      <c r="J45" s="7"/>
      <c r="K45" s="7"/>
      <c r="L45" s="7"/>
      <c r="M45" s="7"/>
      <c r="O45" s="8"/>
      <c r="P45" s="7"/>
      <c r="Q45" s="7"/>
      <c r="R45" s="8"/>
      <c r="T45" s="381">
        <v>35</v>
      </c>
      <c r="U45" s="382">
        <v>994.08</v>
      </c>
      <c r="V45" s="383">
        <v>7.2250000000000005E-4</v>
      </c>
      <c r="W45" s="534">
        <f t="shared" si="0"/>
        <v>7.2680267181715759E-7</v>
      </c>
      <c r="AJ45" s="555" t="s">
        <v>694</v>
      </c>
      <c r="AK45" s="555"/>
      <c r="AL45" s="22"/>
      <c r="AM45" s="22"/>
    </row>
    <row r="46" spans="2:39" ht="20.100000000000001" customHeight="1">
      <c r="B46" s="762" t="s">
        <v>705</v>
      </c>
      <c r="C46" s="762"/>
      <c r="D46" s="762"/>
      <c r="E46" s="762"/>
      <c r="F46" s="596" t="s">
        <v>706</v>
      </c>
      <c r="G46" s="529">
        <f>G44/G45</f>
        <v>1.4313000000000001E-2</v>
      </c>
      <c r="H46" s="596" t="s">
        <v>313</v>
      </c>
      <c r="I46" s="7"/>
      <c r="J46" s="7"/>
      <c r="K46" s="7"/>
      <c r="L46" s="7"/>
      <c r="M46" s="7"/>
      <c r="O46" s="8"/>
      <c r="P46" s="7"/>
      <c r="Q46" s="7"/>
      <c r="R46" s="8"/>
      <c r="T46" s="22"/>
      <c r="U46" s="587"/>
      <c r="V46" s="142"/>
      <c r="W46" s="141"/>
      <c r="AJ46" s="555" t="s">
        <v>695</v>
      </c>
      <c r="AK46" s="555"/>
      <c r="AL46" s="22"/>
      <c r="AM46" s="22"/>
    </row>
    <row r="47" spans="2:39" ht="20.100000000000001" customHeight="1">
      <c r="B47" s="762" t="s">
        <v>7</v>
      </c>
      <c r="C47" s="762"/>
      <c r="D47" s="762"/>
      <c r="E47" s="762"/>
      <c r="F47" s="3" t="s">
        <v>2</v>
      </c>
      <c r="G47" s="530">
        <f>G34</f>
        <v>1.0070000000000001E-6</v>
      </c>
      <c r="H47" s="596" t="s">
        <v>660</v>
      </c>
      <c r="I47" s="7"/>
      <c r="J47" s="7"/>
      <c r="K47" s="7"/>
      <c r="L47" s="7"/>
      <c r="M47" s="7"/>
      <c r="O47" s="8"/>
      <c r="P47" s="7"/>
      <c r="Q47" s="7"/>
      <c r="R47" s="8"/>
      <c r="T47" s="22"/>
      <c r="U47" s="587"/>
      <c r="V47" s="142"/>
      <c r="W47" s="141"/>
      <c r="AJ47" s="555"/>
      <c r="AK47" s="555"/>
      <c r="AL47" s="22"/>
      <c r="AM47" s="22"/>
    </row>
    <row r="48" spans="2:39" ht="20.100000000000001" customHeight="1">
      <c r="B48" s="762" t="str">
        <f>IF(F38=Y9,"",IF(F38=Y10,"Distancia entre placas",IF(F38=Y11,"Distancia entre placas",IF(F38=Y12,"Lado interno de "&amp;Y12))))</f>
        <v>Distancia entre placas</v>
      </c>
      <c r="C48" s="762"/>
      <c r="D48" s="762"/>
      <c r="E48" s="762"/>
      <c r="F48" s="596" t="s">
        <v>8</v>
      </c>
      <c r="G48" s="554">
        <v>5</v>
      </c>
      <c r="H48" s="596" t="s">
        <v>645</v>
      </c>
      <c r="I48" s="24"/>
      <c r="J48" s="24"/>
      <c r="K48" s="24"/>
      <c r="L48" s="24"/>
      <c r="M48" s="24"/>
      <c r="O48" s="8"/>
      <c r="P48" s="7"/>
      <c r="Q48" s="7"/>
      <c r="R48" s="8"/>
      <c r="T48" s="22"/>
      <c r="U48" s="587"/>
      <c r="V48" s="142"/>
      <c r="W48" s="141"/>
      <c r="AJ48" s="555" t="s">
        <v>322</v>
      </c>
      <c r="AK48" s="555"/>
      <c r="AL48" s="22"/>
      <c r="AM48" s="22"/>
    </row>
    <row r="49" spans="2:23" ht="20.100000000000001" customHeight="1">
      <c r="B49" s="11"/>
      <c r="C49" s="11"/>
      <c r="D49" s="11"/>
      <c r="E49" s="11"/>
      <c r="F49" s="14"/>
      <c r="G49" s="12"/>
      <c r="H49" s="12"/>
      <c r="I49" s="7"/>
      <c r="J49" s="7"/>
      <c r="K49" s="7"/>
      <c r="L49" s="7"/>
      <c r="M49" s="7"/>
      <c r="O49" s="8"/>
      <c r="P49" s="7"/>
      <c r="Q49" s="7"/>
      <c r="R49" s="8"/>
      <c r="T49" s="22"/>
      <c r="U49" s="548"/>
      <c r="V49" s="142"/>
      <c r="W49" s="141"/>
    </row>
    <row r="50" spans="2:23" ht="20.100000000000001" customHeight="1">
      <c r="B50" s="722" t="s">
        <v>766</v>
      </c>
      <c r="C50" s="722"/>
      <c r="D50" s="722"/>
      <c r="E50" s="722"/>
      <c r="F50" s="722"/>
      <c r="G50" s="722"/>
      <c r="H50" s="722"/>
      <c r="I50" s="723"/>
      <c r="J50" s="7"/>
      <c r="K50" s="7"/>
      <c r="L50" s="7"/>
      <c r="M50" s="7"/>
      <c r="O50" s="8"/>
      <c r="P50" s="7"/>
      <c r="Q50" s="7"/>
      <c r="R50" s="8"/>
      <c r="T50" s="22"/>
      <c r="U50" s="592"/>
      <c r="V50" s="142"/>
      <c r="W50" s="141"/>
    </row>
    <row r="51" spans="2:23" ht="20.100000000000001" customHeight="1">
      <c r="B51" s="763" t="str">
        <f>IF(F38=Y9,"",IF(F38=Y10,"Longitud ocupada por las placas (longitud de tanque)",IF(F38=Y11,"Longitud ocupada por las placas (longitud de tanque)",IF(F38=Y12,"Longitud ocupada por los módulos (longitud de tanque)"))))</f>
        <v>Longitud ocupada por las placas (longitud de tanque)</v>
      </c>
      <c r="C51" s="764"/>
      <c r="D51" s="764"/>
      <c r="E51" s="765"/>
      <c r="F51" s="590" t="s">
        <v>141</v>
      </c>
      <c r="G51" s="613">
        <v>5.8570000000000002</v>
      </c>
      <c r="H51" s="287" t="s">
        <v>3</v>
      </c>
      <c r="I51" s="822"/>
      <c r="J51" s="822"/>
      <c r="K51" s="822"/>
      <c r="L51" s="822"/>
      <c r="M51" s="7"/>
      <c r="O51" s="8"/>
      <c r="P51" s="7"/>
      <c r="Q51" s="7"/>
      <c r="R51" s="8"/>
      <c r="T51" s="22"/>
      <c r="U51" s="592"/>
      <c r="V51" s="142"/>
      <c r="W51" s="141"/>
    </row>
    <row r="52" spans="2:23" ht="20.100000000000001" customHeight="1">
      <c r="B52" s="763" t="str">
        <f>IF(F38=Y9,"",IF(F38=Y10,"Ancho de placas (ancho de tanque)",IF(F38=Y11,"Ancho de placas (ancho de tanque)",IF(F38=Y12,"Ancho de módulos (ancho de tanque)"))))</f>
        <v>Ancho de placas (ancho de tanque)</v>
      </c>
      <c r="C52" s="764"/>
      <c r="D52" s="764"/>
      <c r="E52" s="765"/>
      <c r="F52" s="69" t="s">
        <v>11</v>
      </c>
      <c r="G52" s="535" t="e">
        <f>RIGHT(G40,4)/1000</f>
        <v>#VALUE!</v>
      </c>
      <c r="H52" s="287" t="s">
        <v>3</v>
      </c>
      <c r="I52" s="822"/>
      <c r="J52" s="822"/>
      <c r="K52" s="822"/>
      <c r="L52" s="822"/>
      <c r="M52" s="7"/>
      <c r="O52" s="8"/>
      <c r="P52" s="7"/>
      <c r="Q52" s="7"/>
      <c r="R52" s="8"/>
      <c r="T52" s="22"/>
      <c r="U52" s="592"/>
      <c r="V52" s="142"/>
      <c r="W52" s="141"/>
    </row>
    <row r="53" spans="2:23" ht="20.100000000000001" customHeight="1">
      <c r="B53" s="763" t="s">
        <v>708</v>
      </c>
      <c r="C53" s="764"/>
      <c r="D53" s="764"/>
      <c r="E53" s="765"/>
      <c r="F53" s="615" t="s">
        <v>9</v>
      </c>
      <c r="G53" s="619" t="e">
        <f>LEFT(G40,4)/1000</f>
        <v>#VALUE!</v>
      </c>
      <c r="H53" s="597" t="s">
        <v>3</v>
      </c>
      <c r="I53" s="616"/>
      <c r="J53" s="617"/>
      <c r="K53" s="617"/>
      <c r="L53" s="618"/>
      <c r="M53" s="7"/>
      <c r="O53" s="8"/>
      <c r="P53" s="7"/>
      <c r="Q53" s="7"/>
      <c r="R53" s="8"/>
      <c r="T53" s="22"/>
      <c r="U53" s="595"/>
      <c r="V53" s="142"/>
      <c r="W53" s="141"/>
    </row>
    <row r="54" spans="2:23" ht="20.100000000000001" customHeight="1">
      <c r="B54" s="786" t="s">
        <v>48</v>
      </c>
      <c r="C54" s="787"/>
      <c r="D54" s="787"/>
      <c r="E54" s="788"/>
      <c r="F54" s="792" t="s">
        <v>49</v>
      </c>
      <c r="G54" s="794" t="e">
        <f>(G46*86400)/(G51*G52)</f>
        <v>#VALUE!</v>
      </c>
      <c r="H54" s="796" t="s">
        <v>703</v>
      </c>
      <c r="I54" s="776"/>
      <c r="J54" s="777"/>
      <c r="K54" s="777"/>
      <c r="L54" s="778"/>
      <c r="M54" s="623"/>
      <c r="O54" s="8"/>
      <c r="P54" s="7"/>
      <c r="Q54" s="7"/>
      <c r="R54" s="8"/>
      <c r="T54" s="22"/>
      <c r="U54" s="595"/>
      <c r="V54" s="142"/>
      <c r="W54" s="141"/>
    </row>
    <row r="55" spans="2:23" ht="20.100000000000001" customHeight="1">
      <c r="B55" s="789"/>
      <c r="C55" s="790"/>
      <c r="D55" s="790"/>
      <c r="E55" s="791"/>
      <c r="F55" s="793"/>
      <c r="G55" s="795"/>
      <c r="H55" s="797"/>
      <c r="I55" s="779"/>
      <c r="J55" s="780"/>
      <c r="K55" s="780"/>
      <c r="L55" s="781"/>
      <c r="M55" s="623" t="e">
        <f>IF(G54&lt;120,"¡Carga superficial baja, seleccione otra longitud de tanque y/u otro número de módulos!",IF(G54&gt;185,"¡Carga superficial alta, seleccione otra longitud de tanque y/u otro número de módulos!","¡Ok!"))</f>
        <v>#VALUE!</v>
      </c>
      <c r="O55" s="8"/>
      <c r="P55" s="7"/>
      <c r="Q55" s="7"/>
      <c r="R55" s="8"/>
      <c r="T55" s="22"/>
      <c r="U55" s="595"/>
      <c r="V55" s="142"/>
      <c r="W55" s="141"/>
    </row>
    <row r="56" spans="2:23" ht="20.100000000000001" customHeight="1">
      <c r="B56" s="786" t="str">
        <f>IF(F38=Y9,"",IF(F38=Y10,"Número de canales a lo largo de la unidad",IF(F38=Y11,"Número de canales a lo largo de la unidad",IF(F38=Y12,"Número de conductos a lo largo de la unidad"))))</f>
        <v>Número de canales a lo largo de la unidad</v>
      </c>
      <c r="C56" s="787"/>
      <c r="D56" s="787"/>
      <c r="E56" s="788"/>
      <c r="F56" s="792" t="s">
        <v>14</v>
      </c>
      <c r="G56" s="820" t="e">
        <f>ROUND((G51*SIN(G42*PI()/180)+G41/1000)/(G48/100+G41/1000),0)</f>
        <v>#N/A</v>
      </c>
      <c r="H56" s="796" t="s">
        <v>15</v>
      </c>
      <c r="I56" s="776"/>
      <c r="J56" s="777"/>
      <c r="K56" s="777"/>
      <c r="L56" s="778"/>
      <c r="M56" s="7"/>
      <c r="N56" s="601"/>
      <c r="O56" s="36"/>
      <c r="P56" s="22"/>
      <c r="Q56" s="22"/>
      <c r="R56" s="601"/>
      <c r="S56" s="601"/>
      <c r="T56" s="22"/>
      <c r="U56" s="612"/>
      <c r="V56" s="637"/>
      <c r="W56" s="141"/>
    </row>
    <row r="57" spans="2:23" ht="20.100000000000001" customHeight="1">
      <c r="B57" s="789"/>
      <c r="C57" s="790"/>
      <c r="D57" s="790"/>
      <c r="E57" s="791"/>
      <c r="F57" s="793"/>
      <c r="G57" s="821"/>
      <c r="H57" s="797"/>
      <c r="I57" s="779"/>
      <c r="J57" s="780"/>
      <c r="K57" s="780"/>
      <c r="L57" s="781"/>
      <c r="M57" s="7"/>
      <c r="N57" s="601"/>
      <c r="O57" s="36"/>
      <c r="P57" s="22"/>
      <c r="Q57" s="22"/>
      <c r="R57" s="601"/>
      <c r="S57" s="601"/>
      <c r="T57" s="22"/>
      <c r="U57" s="612"/>
      <c r="V57" s="637"/>
      <c r="W57" s="141"/>
    </row>
    <row r="58" spans="2:23" ht="20.100000000000001" customHeight="1">
      <c r="B58" s="786" t="str">
        <f>IF(F38=Y9,"",IF(F38=Y10,"Velocidad promedio del flujo entre placas",IF(F38=Y11,"Velocidad promedio del flujo entre placas",IF(F38=Y12,"Velocidad promedio del flujo entre conductos"))))</f>
        <v>Velocidad promedio del flujo entre placas</v>
      </c>
      <c r="C58" s="787"/>
      <c r="D58" s="787"/>
      <c r="E58" s="788"/>
      <c r="F58" s="792" t="s">
        <v>707</v>
      </c>
      <c r="G58" s="807" t="e">
        <f>G46/(G56*(G48/100)*G52)</f>
        <v>#N/A</v>
      </c>
      <c r="H58" s="796" t="s">
        <v>5</v>
      </c>
      <c r="I58" s="776"/>
      <c r="J58" s="777"/>
      <c r="K58" s="777"/>
      <c r="L58" s="778"/>
      <c r="M58" s="7"/>
      <c r="O58" s="8"/>
      <c r="P58" s="7"/>
      <c r="Q58" s="7"/>
      <c r="R58" s="8"/>
      <c r="T58" s="22"/>
      <c r="U58" s="595"/>
      <c r="V58" s="142"/>
      <c r="W58" s="141"/>
    </row>
    <row r="59" spans="2:23" ht="20.100000000000001" customHeight="1">
      <c r="B59" s="789"/>
      <c r="C59" s="790"/>
      <c r="D59" s="790"/>
      <c r="E59" s="791"/>
      <c r="F59" s="793"/>
      <c r="G59" s="808"/>
      <c r="H59" s="797"/>
      <c r="I59" s="779"/>
      <c r="J59" s="780"/>
      <c r="K59" s="780"/>
      <c r="L59" s="781"/>
      <c r="M59" s="7" t="e">
        <f>IF(F38=Y9,"",IF(AND(F38=Y10,G58&lt;0.002),"¡"&amp;B58&amp;" es baja, ajuste datos de entrada!",IF(AND(F38=Y10,G58&gt;0.0025),"¡"&amp;B58&amp;" es alta, ajuste datos de entrada!",IF(AND(F38=Y11,G58&lt;0.002),"¡"&amp;B58&amp;" es baja, ajuste datos de entrada!",IF(AND(F38=Y11,G58&gt;0.0025),"¡"&amp;B58&amp;" es alta, ajuste datos de entrada!",IF(AND(F38=Y12,G58&lt;0.002),"¡"&amp;B58&amp;" es baja, ajuste datos de entrada!",IF(AND(F38=Y12,G58&gt;0.0025),"¡"&amp;B58&amp;" es alta, ajuste datos de entrada!","¡Ok!")))))))</f>
        <v>#N/A</v>
      </c>
      <c r="O59" s="8"/>
      <c r="P59" s="7"/>
      <c r="Q59" s="7"/>
      <c r="R59" s="8"/>
      <c r="T59" s="22"/>
      <c r="U59" s="595"/>
      <c r="V59" s="142"/>
      <c r="W59" s="141"/>
    </row>
    <row r="60" spans="2:23" ht="20.100000000000001" customHeight="1">
      <c r="B60" s="786" t="s">
        <v>51</v>
      </c>
      <c r="C60" s="787"/>
      <c r="D60" s="787"/>
      <c r="E60" s="788"/>
      <c r="F60" s="792" t="s">
        <v>46</v>
      </c>
      <c r="G60" s="794" t="e">
        <f>G53/(G48/100)</f>
        <v>#VALUE!</v>
      </c>
      <c r="H60" s="796"/>
      <c r="I60" s="776"/>
      <c r="J60" s="777"/>
      <c r="K60" s="777"/>
      <c r="L60" s="778"/>
      <c r="M60" s="7"/>
      <c r="O60" s="8"/>
      <c r="P60" s="7"/>
      <c r="Q60" s="7"/>
      <c r="R60" s="8"/>
      <c r="T60" s="22"/>
      <c r="U60" s="595"/>
      <c r="V60" s="142"/>
      <c r="W60" s="141"/>
    </row>
    <row r="61" spans="2:23" ht="20.100000000000001" customHeight="1">
      <c r="B61" s="789"/>
      <c r="C61" s="790"/>
      <c r="D61" s="790"/>
      <c r="E61" s="791"/>
      <c r="F61" s="793"/>
      <c r="G61" s="795"/>
      <c r="H61" s="797"/>
      <c r="I61" s="779"/>
      <c r="J61" s="780"/>
      <c r="K61" s="780"/>
      <c r="L61" s="781"/>
      <c r="M61" s="7"/>
      <c r="O61" s="8"/>
      <c r="P61" s="7"/>
      <c r="Q61" s="7"/>
      <c r="R61" s="8"/>
      <c r="T61" s="22"/>
      <c r="U61" s="595"/>
      <c r="V61" s="142"/>
      <c r="W61" s="141"/>
    </row>
    <row r="62" spans="2:23" ht="20.100000000000001" customHeight="1">
      <c r="B62" s="786" t="s">
        <v>709</v>
      </c>
      <c r="C62" s="787"/>
      <c r="D62" s="787"/>
      <c r="E62" s="788"/>
      <c r="F62" s="792" t="s">
        <v>711</v>
      </c>
      <c r="G62" s="805" t="e">
        <f>0.058*G58*(G48/100)/G34</f>
        <v>#N/A</v>
      </c>
      <c r="H62" s="796"/>
      <c r="I62" s="776"/>
      <c r="J62" s="777"/>
      <c r="K62" s="777"/>
      <c r="L62" s="778"/>
      <c r="M62" s="7"/>
      <c r="O62" s="8"/>
      <c r="P62" s="7"/>
      <c r="Q62" s="7"/>
      <c r="R62" s="8"/>
      <c r="T62" s="22"/>
      <c r="U62" s="595"/>
      <c r="V62" s="142"/>
      <c r="W62" s="141"/>
    </row>
    <row r="63" spans="2:23" ht="20.100000000000001" customHeight="1">
      <c r="B63" s="789"/>
      <c r="C63" s="790"/>
      <c r="D63" s="790"/>
      <c r="E63" s="791"/>
      <c r="F63" s="793"/>
      <c r="G63" s="806"/>
      <c r="H63" s="797"/>
      <c r="I63" s="779"/>
      <c r="J63" s="780"/>
      <c r="K63" s="780"/>
      <c r="L63" s="781"/>
      <c r="M63" s="622"/>
      <c r="O63" s="8"/>
      <c r="P63" s="7"/>
      <c r="Q63" s="7"/>
      <c r="R63" s="8"/>
      <c r="T63" s="22"/>
      <c r="U63" s="595"/>
      <c r="V63" s="142"/>
      <c r="W63" s="141"/>
    </row>
    <row r="64" spans="2:23" ht="20.100000000000001" customHeight="1">
      <c r="B64" s="762" t="s">
        <v>710</v>
      </c>
      <c r="C64" s="762"/>
      <c r="D64" s="762"/>
      <c r="E64" s="762"/>
      <c r="F64" s="614" t="s">
        <v>712</v>
      </c>
      <c r="G64" s="620" t="e">
        <f>IF(G62&lt;G60,G60-G62,G60)</f>
        <v>#N/A</v>
      </c>
      <c r="H64" s="598"/>
      <c r="I64" s="831"/>
      <c r="J64" s="832"/>
      <c r="K64" s="832"/>
      <c r="L64" s="833"/>
      <c r="M64" s="164" t="e">
        <f>IF(G62&gt;G64,"L´ &gt; Lc; aumente el valor de la longitud del sedimentador, l, a un valor comercial aproximado a 2·Lc·e","¡Ok!")</f>
        <v>#N/A</v>
      </c>
      <c r="N64" s="621"/>
      <c r="O64" s="8"/>
      <c r="P64" s="7"/>
      <c r="Q64" s="7"/>
      <c r="R64" s="8"/>
      <c r="T64" s="22"/>
      <c r="U64" s="595"/>
      <c r="V64" s="142"/>
      <c r="W64" s="141"/>
    </row>
    <row r="65" spans="2:23" ht="20.100000000000001" customHeight="1">
      <c r="B65" s="786" t="s">
        <v>52</v>
      </c>
      <c r="C65" s="787"/>
      <c r="D65" s="787"/>
      <c r="E65" s="788"/>
      <c r="F65" s="792" t="s">
        <v>713</v>
      </c>
      <c r="G65" s="794" t="e">
        <f>(G43*(G58*86400))/(SIN(G42*PI()/180)+G64*COS(G42*PI()/180))</f>
        <v>#N/A</v>
      </c>
      <c r="H65" s="796" t="s">
        <v>4</v>
      </c>
      <c r="I65" s="776"/>
      <c r="J65" s="777"/>
      <c r="K65" s="777"/>
      <c r="L65" s="778"/>
      <c r="M65" s="7"/>
      <c r="O65" s="8"/>
      <c r="P65" s="7"/>
      <c r="Q65" s="7"/>
      <c r="R65" s="8"/>
      <c r="T65" s="22"/>
      <c r="U65" s="595"/>
      <c r="V65" s="142"/>
      <c r="W65" s="141"/>
    </row>
    <row r="66" spans="2:23" ht="20.100000000000001" customHeight="1">
      <c r="B66" s="789"/>
      <c r="C66" s="790"/>
      <c r="D66" s="790"/>
      <c r="E66" s="791"/>
      <c r="F66" s="793"/>
      <c r="G66" s="795"/>
      <c r="H66" s="797"/>
      <c r="I66" s="779"/>
      <c r="J66" s="780"/>
      <c r="K66" s="780"/>
      <c r="L66" s="781"/>
      <c r="M66" s="164" t="e">
        <f>IF(F37=AW9,"",IF(AND(F37=AW10,G65&lt;12),"¡"&amp;B17&amp;" es baja, ajuste datos de entrada!",IF(AND(F37=AW10,G65&gt;23),"¡"&amp;B17&amp;" es alta, ajuste datos de entrada!",IF(AND(F37=AW11,G65&lt;16),"¡"&amp;B19&amp;" es baja, ajuste datos de entrada!",IF(AND(F37=AW11,G65&gt;29),"¡"&amp;B19&amp;" es alta, ajuste datos de entrada!","¡Ok!")))))</f>
        <v>#N/A</v>
      </c>
      <c r="O66" s="8"/>
      <c r="P66" s="7"/>
      <c r="Q66" s="7"/>
      <c r="R66" s="8"/>
      <c r="T66" s="22"/>
      <c r="U66" s="595"/>
      <c r="V66" s="142"/>
      <c r="W66" s="141"/>
    </row>
    <row r="67" spans="2:23" ht="20.100000000000001" customHeight="1">
      <c r="B67" s="786" t="s">
        <v>53</v>
      </c>
      <c r="C67" s="787"/>
      <c r="D67" s="787"/>
      <c r="E67" s="788"/>
      <c r="F67" s="792" t="s">
        <v>1</v>
      </c>
      <c r="G67" s="820" t="e">
        <f>ROUND((G58*(G48/100))/G34,0)</f>
        <v>#N/A</v>
      </c>
      <c r="H67" s="796"/>
      <c r="I67" s="776"/>
      <c r="J67" s="777"/>
      <c r="K67" s="777"/>
      <c r="L67" s="778"/>
      <c r="M67" s="164"/>
      <c r="O67" s="8"/>
      <c r="P67" s="7"/>
      <c r="Q67" s="7"/>
      <c r="R67" s="8"/>
      <c r="T67" s="22"/>
      <c r="U67" s="595"/>
      <c r="V67" s="142"/>
      <c r="W67" s="141"/>
    </row>
    <row r="68" spans="2:23" ht="20.100000000000001" customHeight="1">
      <c r="B68" s="789"/>
      <c r="C68" s="790"/>
      <c r="D68" s="790"/>
      <c r="E68" s="791"/>
      <c r="F68" s="793"/>
      <c r="G68" s="821"/>
      <c r="H68" s="797"/>
      <c r="I68" s="779"/>
      <c r="J68" s="780"/>
      <c r="K68" s="780"/>
      <c r="L68" s="781"/>
      <c r="M68" s="164" t="e">
        <f>IF(G67&lt;100,"¡Valor de Re es bajo, ajuste datos de entrada!",IF(G67&gt;500,"¡Valor de Re es alto, ajuste datos de entrada!","¡Ok!"))</f>
        <v>#N/A</v>
      </c>
      <c r="O68" s="8"/>
      <c r="P68" s="7"/>
      <c r="Q68" s="7"/>
      <c r="R68" s="8"/>
      <c r="T68" s="22"/>
      <c r="U68" s="595"/>
      <c r="V68" s="142"/>
      <c r="W68" s="141"/>
    </row>
    <row r="69" spans="2:23" ht="20.100000000000001" customHeight="1">
      <c r="B69" s="762" t="str">
        <f>IF(F38=Y9,"",IF(F38=Y10,"Tiempo de retención en cada canal",IF(F38=Y11,"Tiempo de retención en cada canal",IF(F38=Y12,"Tiempo de retención en cada conducto"))))</f>
        <v>Tiempo de retención en cada canal</v>
      </c>
      <c r="C69" s="762"/>
      <c r="D69" s="762"/>
      <c r="E69" s="762"/>
      <c r="F69" s="834" t="s">
        <v>714</v>
      </c>
      <c r="G69" s="835" t="e">
        <f>(G53/G58)/60</f>
        <v>#VALUE!</v>
      </c>
      <c r="H69" s="836" t="s">
        <v>38</v>
      </c>
      <c r="I69" s="822"/>
      <c r="J69" s="822"/>
      <c r="K69" s="822"/>
      <c r="L69" s="822"/>
      <c r="M69" s="164"/>
      <c r="O69" s="8"/>
      <c r="P69" s="7"/>
      <c r="Q69" s="7"/>
      <c r="R69" s="8"/>
      <c r="T69" s="22"/>
      <c r="U69" s="595"/>
      <c r="V69" s="142"/>
      <c r="W69" s="141"/>
    </row>
    <row r="70" spans="2:23" ht="20.100000000000001" customHeight="1">
      <c r="B70" s="762"/>
      <c r="C70" s="762"/>
      <c r="D70" s="762"/>
      <c r="E70" s="762"/>
      <c r="F70" s="834"/>
      <c r="G70" s="835"/>
      <c r="H70" s="836"/>
      <c r="I70" s="822"/>
      <c r="J70" s="822"/>
      <c r="K70" s="822"/>
      <c r="L70" s="822"/>
      <c r="M70" s="164" t="e">
        <f>IF(F38=Y9,"",IF(AND(F38=Y10,G69&lt;10),"¡"&amp;B21&amp;" es bajo, ajuste datos de entrada!",IF(AND(F38=Y10,G69&gt;15),"¡"&amp;B21&amp;" es alto, ajuste datos de entrada!",IF(AND(F38=Y11,G69&lt;10),"¡"&amp;B21&amp;" es bajo, ajuste datos de entrada!",IF(AND(F38=Y11,G69&gt;15),"¡"&amp;B21&amp;" es alto, ajuste datos de entrada!",IF(AND(F38=Y12,G69&lt;6),"¡"&amp;B22&amp;" es bajo, ajuste datos de entrada!",IF(AND(F38=Y12,G69&gt;10),"¡"&amp;B22&amp;" es alto, ajuste datos de entrada!","¡Ok!")))))))</f>
        <v>#VALUE!</v>
      </c>
      <c r="O70" s="8"/>
      <c r="P70" s="7"/>
      <c r="Q70" s="7"/>
      <c r="R70" s="8"/>
      <c r="T70" s="22"/>
      <c r="U70" s="595"/>
      <c r="V70" s="142"/>
      <c r="W70" s="141"/>
    </row>
    <row r="71" spans="2:23" ht="20.100000000000001" customHeight="1">
      <c r="B71" s="625"/>
      <c r="C71" s="625"/>
      <c r="D71" s="625"/>
      <c r="E71" s="625"/>
      <c r="F71" s="626"/>
      <c r="G71" s="627"/>
      <c r="H71" s="628"/>
      <c r="I71" s="629"/>
      <c r="J71" s="629"/>
      <c r="K71" s="629"/>
      <c r="L71" s="629"/>
      <c r="M71" s="164"/>
      <c r="O71" s="8"/>
      <c r="P71" s="7"/>
      <c r="Q71" s="7"/>
      <c r="R71" s="8"/>
      <c r="T71" s="22"/>
      <c r="U71" s="595"/>
      <c r="V71" s="142"/>
      <c r="W71" s="141"/>
    </row>
    <row r="72" spans="2:23" ht="20.100000000000001" customHeight="1">
      <c r="B72" s="782" t="s">
        <v>718</v>
      </c>
      <c r="C72" s="782"/>
      <c r="D72" s="782"/>
      <c r="E72" s="782"/>
      <c r="F72" s="634"/>
      <c r="G72" s="635"/>
      <c r="H72" s="232"/>
      <c r="I72" s="700"/>
      <c r="J72" s="700"/>
      <c r="K72" s="700"/>
      <c r="L72" s="700"/>
      <c r="M72" s="164"/>
      <c r="O72" s="8"/>
      <c r="P72" s="7"/>
      <c r="Q72" s="7"/>
      <c r="R72" s="8"/>
      <c r="T72" s="22"/>
      <c r="U72" s="612"/>
      <c r="V72" s="142"/>
      <c r="W72" s="141"/>
    </row>
    <row r="73" spans="2:23" ht="20.100000000000001" customHeight="1">
      <c r="B73" s="741" t="s">
        <v>24</v>
      </c>
      <c r="C73" s="742"/>
      <c r="D73" s="742"/>
      <c r="E73" s="743"/>
      <c r="F73" s="604" t="s">
        <v>143</v>
      </c>
      <c r="G73" s="662">
        <v>0.9</v>
      </c>
      <c r="H73" s="608" t="s">
        <v>3</v>
      </c>
      <c r="I73" s="744"/>
      <c r="J73" s="745"/>
      <c r="K73" s="745"/>
      <c r="L73" s="746"/>
      <c r="M73" s="164"/>
      <c r="O73" s="8"/>
      <c r="P73" s="7"/>
      <c r="Q73" s="7"/>
      <c r="R73" s="8"/>
      <c r="T73" s="22"/>
      <c r="U73" s="612"/>
      <c r="V73" s="142"/>
      <c r="W73" s="141"/>
    </row>
    <row r="74" spans="2:23" ht="20.100000000000001" customHeight="1">
      <c r="B74" s="741" t="s">
        <v>74</v>
      </c>
      <c r="C74" s="742"/>
      <c r="D74" s="742"/>
      <c r="E74" s="743"/>
      <c r="F74" s="750" t="s">
        <v>144</v>
      </c>
      <c r="G74" s="752">
        <f>ROUNDDOWN(G51/G73,0)</f>
        <v>6</v>
      </c>
      <c r="H74" s="754" t="s">
        <v>15</v>
      </c>
      <c r="I74" s="744"/>
      <c r="J74" s="745"/>
      <c r="K74" s="745"/>
      <c r="L74" s="746"/>
      <c r="M74" s="164"/>
      <c r="O74" s="8"/>
      <c r="P74" s="7"/>
      <c r="Q74" s="7"/>
      <c r="R74" s="8"/>
      <c r="T74" s="22"/>
      <c r="U74" s="612"/>
      <c r="V74" s="142"/>
      <c r="W74" s="141"/>
    </row>
    <row r="75" spans="2:23" ht="20.100000000000001" customHeight="1">
      <c r="B75" s="747"/>
      <c r="C75" s="748"/>
      <c r="D75" s="748"/>
      <c r="E75" s="749"/>
      <c r="F75" s="751"/>
      <c r="G75" s="753"/>
      <c r="H75" s="755"/>
      <c r="I75" s="756"/>
      <c r="J75" s="757"/>
      <c r="K75" s="757"/>
      <c r="L75" s="758"/>
      <c r="M75" s="164"/>
      <c r="O75" s="8"/>
      <c r="P75" s="7"/>
      <c r="Q75" s="7"/>
      <c r="R75" s="8"/>
      <c r="T75" s="22"/>
      <c r="U75" s="612"/>
      <c r="V75" s="142"/>
      <c r="W75" s="141"/>
    </row>
    <row r="76" spans="2:23" ht="20.100000000000001" customHeight="1">
      <c r="B76" s="741" t="s">
        <v>75</v>
      </c>
      <c r="C76" s="742"/>
      <c r="D76" s="742"/>
      <c r="E76" s="743"/>
      <c r="F76" s="750" t="s">
        <v>143</v>
      </c>
      <c r="G76" s="752">
        <f>G51/G74</f>
        <v>0.97616666666666674</v>
      </c>
      <c r="H76" s="798" t="s">
        <v>3</v>
      </c>
      <c r="I76" s="744"/>
      <c r="J76" s="745"/>
      <c r="K76" s="745"/>
      <c r="L76" s="746"/>
      <c r="M76" s="164"/>
      <c r="O76" s="8"/>
      <c r="P76" s="7"/>
      <c r="Q76" s="7"/>
      <c r="R76" s="8"/>
      <c r="T76" s="22"/>
      <c r="U76" s="612"/>
      <c r="V76" s="142"/>
      <c r="W76" s="141"/>
    </row>
    <row r="77" spans="2:23" ht="20.100000000000001" customHeight="1">
      <c r="B77" s="747"/>
      <c r="C77" s="748"/>
      <c r="D77" s="748"/>
      <c r="E77" s="749"/>
      <c r="F77" s="751"/>
      <c r="G77" s="753"/>
      <c r="H77" s="799"/>
      <c r="I77" s="756"/>
      <c r="J77" s="757"/>
      <c r="K77" s="757"/>
      <c r="L77" s="758"/>
      <c r="M77" s="164"/>
      <c r="O77" s="8"/>
      <c r="P77" s="7"/>
      <c r="Q77" s="7"/>
      <c r="R77" s="8"/>
      <c r="T77" s="22"/>
      <c r="U77" s="612"/>
      <c r="V77" s="142"/>
      <c r="W77" s="141"/>
    </row>
    <row r="78" spans="2:23" ht="20.100000000000001" customHeight="1">
      <c r="B78" s="625"/>
      <c r="C78" s="625"/>
      <c r="D78" s="625"/>
      <c r="E78" s="625"/>
      <c r="F78" s="626"/>
      <c r="G78" s="627"/>
      <c r="H78" s="628"/>
      <c r="I78" s="629"/>
      <c r="J78" s="629"/>
      <c r="K78" s="629"/>
      <c r="L78" s="629"/>
      <c r="M78" s="164"/>
      <c r="O78" s="8"/>
      <c r="P78" s="7"/>
      <c r="Q78" s="7"/>
      <c r="R78" s="8"/>
      <c r="T78" s="22"/>
      <c r="U78" s="612"/>
      <c r="V78" s="142"/>
      <c r="W78" s="141"/>
    </row>
    <row r="79" spans="2:23" ht="20.100000000000001" customHeight="1">
      <c r="B79" s="23" t="s">
        <v>715</v>
      </c>
      <c r="C79" s="609"/>
      <c r="D79" s="625"/>
      <c r="E79" s="625"/>
      <c r="F79" s="626"/>
      <c r="G79" s="627"/>
      <c r="H79" s="628"/>
      <c r="I79" s="629"/>
      <c r="J79" s="629"/>
      <c r="K79" s="629"/>
      <c r="L79" s="629"/>
      <c r="M79" s="164"/>
      <c r="O79" s="8"/>
      <c r="P79" s="7"/>
      <c r="Q79" s="7"/>
      <c r="R79" s="8"/>
      <c r="T79" s="22"/>
      <c r="U79" s="612"/>
      <c r="V79" s="142"/>
      <c r="W79" s="141"/>
    </row>
    <row r="80" spans="2:23" ht="20.100000000000001" customHeight="1">
      <c r="B80" s="707" t="s">
        <v>719</v>
      </c>
      <c r="C80" s="708"/>
      <c r="D80" s="708"/>
      <c r="E80" s="709"/>
      <c r="F80" s="603" t="s">
        <v>447</v>
      </c>
      <c r="G80" s="636">
        <v>0.6</v>
      </c>
      <c r="H80" s="610" t="s">
        <v>3</v>
      </c>
      <c r="I80" s="759"/>
      <c r="J80" s="760"/>
      <c r="K80" s="760"/>
      <c r="L80" s="761"/>
      <c r="M80" s="164"/>
      <c r="O80" s="8"/>
      <c r="P80" s="7"/>
      <c r="Q80" s="7"/>
      <c r="R80" s="8"/>
      <c r="T80" s="22"/>
      <c r="U80" s="612"/>
      <c r="V80" s="142"/>
      <c r="W80" s="141"/>
    </row>
    <row r="81" spans="2:23" ht="20.100000000000001" customHeight="1">
      <c r="B81" s="707" t="s">
        <v>16</v>
      </c>
      <c r="C81" s="708"/>
      <c r="D81" s="708"/>
      <c r="E81" s="709"/>
      <c r="F81" s="603" t="s">
        <v>142</v>
      </c>
      <c r="G81" s="633" t="e">
        <f>G53*SIN(G42*PI()/180)</f>
        <v>#VALUE!</v>
      </c>
      <c r="H81" s="610" t="s">
        <v>3</v>
      </c>
      <c r="I81" s="759"/>
      <c r="J81" s="760"/>
      <c r="K81" s="760"/>
      <c r="L81" s="761"/>
      <c r="M81" s="164"/>
      <c r="O81" s="8"/>
      <c r="P81" s="7"/>
      <c r="Q81" s="7"/>
      <c r="R81" s="8"/>
      <c r="T81" s="22"/>
      <c r="U81" s="612"/>
      <c r="V81" s="142"/>
      <c r="W81" s="141"/>
    </row>
    <row r="82" spans="2:23" ht="20.100000000000001" customHeight="1">
      <c r="B82" s="741" t="s">
        <v>27</v>
      </c>
      <c r="C82" s="742"/>
      <c r="D82" s="742"/>
      <c r="E82" s="743"/>
      <c r="F82" s="750" t="s">
        <v>716</v>
      </c>
      <c r="G82" s="752" t="e">
        <f>G76*(G58*86400)/432</f>
        <v>#N/A</v>
      </c>
      <c r="H82" s="754" t="s">
        <v>3</v>
      </c>
      <c r="I82" s="744"/>
      <c r="J82" s="745"/>
      <c r="K82" s="745"/>
      <c r="L82" s="746"/>
      <c r="M82" s="164"/>
      <c r="O82" s="8"/>
      <c r="P82" s="7"/>
      <c r="Q82" s="7"/>
      <c r="R82" s="8"/>
      <c r="T82" s="22"/>
      <c r="U82" s="612"/>
      <c r="V82" s="142"/>
      <c r="W82" s="141"/>
    </row>
    <row r="83" spans="2:23" ht="20.100000000000001" customHeight="1">
      <c r="B83" s="747"/>
      <c r="C83" s="748"/>
      <c r="D83" s="748"/>
      <c r="E83" s="749"/>
      <c r="F83" s="751"/>
      <c r="G83" s="753"/>
      <c r="H83" s="755"/>
      <c r="I83" s="756"/>
      <c r="J83" s="757"/>
      <c r="K83" s="757"/>
      <c r="L83" s="758"/>
      <c r="M83" s="164"/>
      <c r="O83" s="8"/>
      <c r="P83" s="7"/>
      <c r="Q83" s="7"/>
      <c r="R83" s="8"/>
      <c r="T83" s="22"/>
      <c r="U83" s="612"/>
      <c r="V83" s="142"/>
      <c r="W83" s="141"/>
    </row>
    <row r="84" spans="2:23" ht="20.100000000000001" customHeight="1">
      <c r="B84" s="707" t="s">
        <v>33</v>
      </c>
      <c r="C84" s="708"/>
      <c r="D84" s="708"/>
      <c r="E84" s="709"/>
      <c r="F84" s="602" t="s">
        <v>145</v>
      </c>
      <c r="G84" s="633" t="e">
        <f>G80+G81+G82</f>
        <v>#VALUE!</v>
      </c>
      <c r="H84" s="602" t="s">
        <v>3</v>
      </c>
      <c r="I84" s="759"/>
      <c r="J84" s="760"/>
      <c r="K84" s="760"/>
      <c r="L84" s="761"/>
      <c r="M84" s="164"/>
      <c r="O84" s="8"/>
      <c r="P84" s="7"/>
      <c r="Q84" s="7"/>
      <c r="R84" s="8"/>
      <c r="T84" s="22"/>
      <c r="U84" s="612"/>
      <c r="V84" s="142"/>
      <c r="W84" s="141"/>
    </row>
    <row r="85" spans="2:23" ht="20.100000000000001" customHeight="1">
      <c r="B85" s="741" t="s">
        <v>725</v>
      </c>
      <c r="C85" s="742"/>
      <c r="D85" s="742"/>
      <c r="E85" s="743"/>
      <c r="F85" s="652" t="s">
        <v>726</v>
      </c>
      <c r="G85" s="653" t="e">
        <f>G84*G51*G52-(G56-1)*G53*G52*(G41/1000)</f>
        <v>#VALUE!</v>
      </c>
      <c r="H85" s="652" t="s">
        <v>717</v>
      </c>
      <c r="I85" s="744"/>
      <c r="J85" s="745"/>
      <c r="K85" s="745"/>
      <c r="L85" s="746"/>
      <c r="M85" s="164"/>
      <c r="O85" s="8"/>
      <c r="P85" s="7"/>
      <c r="Q85" s="7"/>
      <c r="R85" s="8"/>
      <c r="T85" s="22"/>
      <c r="U85" s="612"/>
      <c r="V85" s="142"/>
      <c r="W85" s="141"/>
    </row>
    <row r="86" spans="2:23" ht="20.100000000000001" customHeight="1">
      <c r="B86" s="802" t="s">
        <v>37</v>
      </c>
      <c r="C86" s="802"/>
      <c r="D86" s="802"/>
      <c r="E86" s="802"/>
      <c r="F86" s="800" t="s">
        <v>147</v>
      </c>
      <c r="G86" s="803" t="e">
        <f>G85/(G46*60)</f>
        <v>#VALUE!</v>
      </c>
      <c r="H86" s="800" t="s">
        <v>38</v>
      </c>
      <c r="I86" s="801"/>
      <c r="J86" s="801"/>
      <c r="K86" s="801"/>
      <c r="L86" s="801"/>
      <c r="M86" s="164"/>
      <c r="O86" s="8"/>
      <c r="P86" s="7"/>
      <c r="Q86" s="7"/>
      <c r="R86" s="8"/>
      <c r="T86" s="22"/>
      <c r="U86" s="612"/>
      <c r="V86" s="142"/>
      <c r="W86" s="141"/>
    </row>
    <row r="87" spans="2:23" ht="20.100000000000001" customHeight="1">
      <c r="B87" s="802"/>
      <c r="C87" s="802"/>
      <c r="D87" s="802"/>
      <c r="E87" s="802"/>
      <c r="F87" s="800"/>
      <c r="G87" s="803"/>
      <c r="H87" s="800"/>
      <c r="I87" s="801"/>
      <c r="J87" s="801"/>
      <c r="K87" s="801"/>
      <c r="L87" s="801"/>
      <c r="M87" s="164"/>
      <c r="O87" s="8"/>
      <c r="P87" s="7"/>
      <c r="Q87" s="7"/>
      <c r="R87" s="8"/>
      <c r="T87" s="22"/>
      <c r="U87" s="612"/>
      <c r="V87" s="142"/>
      <c r="W87" s="141"/>
    </row>
    <row r="88" spans="2:23" ht="20.100000000000001" customHeight="1">
      <c r="B88" s="700"/>
      <c r="C88" s="700"/>
      <c r="D88" s="700"/>
      <c r="E88" s="700"/>
      <c r="F88" s="634"/>
      <c r="G88" s="635"/>
      <c r="H88" s="232"/>
      <c r="I88" s="700"/>
      <c r="J88" s="700"/>
      <c r="K88" s="700"/>
      <c r="L88" s="700"/>
      <c r="M88" s="164"/>
      <c r="O88" s="8"/>
      <c r="P88" s="7"/>
      <c r="Q88" s="7"/>
      <c r="R88" s="8"/>
      <c r="T88" s="22"/>
      <c r="U88" s="612"/>
      <c r="V88" s="142"/>
      <c r="W88" s="141"/>
    </row>
    <row r="89" spans="2:23" ht="20.100000000000001" customHeight="1">
      <c r="B89" s="23" t="s">
        <v>720</v>
      </c>
      <c r="C89" s="110"/>
      <c r="D89" s="110"/>
      <c r="E89" s="110"/>
      <c r="F89" s="634"/>
      <c r="G89" s="635"/>
      <c r="H89" s="232"/>
      <c r="I89" s="110"/>
      <c r="J89" s="110"/>
      <c r="K89" s="110"/>
      <c r="L89" s="110"/>
      <c r="M89" s="164"/>
      <c r="O89" s="8"/>
      <c r="P89" s="7"/>
      <c r="Q89" s="7"/>
      <c r="R89" s="8"/>
      <c r="T89" s="22"/>
      <c r="U89" s="612"/>
      <c r="V89" s="142"/>
      <c r="W89" s="141"/>
    </row>
    <row r="90" spans="2:23" ht="20.100000000000001" customHeight="1">
      <c r="B90" s="762" t="s">
        <v>28</v>
      </c>
      <c r="C90" s="762"/>
      <c r="D90" s="762"/>
      <c r="E90" s="762"/>
      <c r="F90" s="611" t="s">
        <v>29</v>
      </c>
      <c r="G90" s="613">
        <v>0.3</v>
      </c>
      <c r="H90" s="632" t="s">
        <v>3</v>
      </c>
      <c r="I90" s="759"/>
      <c r="J90" s="760"/>
      <c r="K90" s="760"/>
      <c r="L90" s="761"/>
      <c r="M90" s="164"/>
      <c r="O90" s="8"/>
      <c r="P90" s="7"/>
      <c r="Q90" s="7"/>
      <c r="R90" s="8"/>
      <c r="T90" s="22"/>
      <c r="U90" s="612"/>
      <c r="V90" s="142"/>
      <c r="W90" s="141"/>
    </row>
    <row r="91" spans="2:23" ht="20.100000000000001" customHeight="1">
      <c r="B91" s="763" t="s">
        <v>724</v>
      </c>
      <c r="C91" s="764"/>
      <c r="D91" s="764"/>
      <c r="E91" s="765"/>
      <c r="F91" s="611" t="s">
        <v>721</v>
      </c>
      <c r="G91" s="613">
        <v>0.3</v>
      </c>
      <c r="H91" s="632" t="s">
        <v>3</v>
      </c>
      <c r="I91" s="605"/>
      <c r="J91" s="606"/>
      <c r="K91" s="606"/>
      <c r="L91" s="607"/>
      <c r="M91" s="164"/>
      <c r="O91" s="8"/>
      <c r="P91" s="7"/>
      <c r="Q91" s="7"/>
      <c r="R91" s="8"/>
      <c r="T91" s="22"/>
      <c r="U91" s="612"/>
      <c r="V91" s="142"/>
      <c r="W91" s="141"/>
    </row>
    <row r="92" spans="2:23" ht="20.100000000000001" customHeight="1">
      <c r="B92" s="763" t="s">
        <v>39</v>
      </c>
      <c r="C92" s="764"/>
      <c r="D92" s="764"/>
      <c r="E92" s="765"/>
      <c r="F92" s="611" t="s">
        <v>44</v>
      </c>
      <c r="G92" s="640">
        <v>55</v>
      </c>
      <c r="H92" s="632" t="s">
        <v>12</v>
      </c>
      <c r="I92" s="605"/>
      <c r="J92" s="606"/>
      <c r="K92" s="606"/>
      <c r="L92" s="607"/>
      <c r="M92" s="164"/>
      <c r="O92" s="8"/>
      <c r="P92" s="7"/>
      <c r="Q92" s="7"/>
      <c r="R92" s="8"/>
      <c r="T92" s="22"/>
      <c r="U92" s="612"/>
      <c r="V92" s="142"/>
      <c r="W92" s="141"/>
    </row>
    <row r="93" spans="2:23" ht="20.100000000000001" customHeight="1">
      <c r="B93" s="762" t="s">
        <v>728</v>
      </c>
      <c r="C93" s="762"/>
      <c r="D93" s="762"/>
      <c r="E93" s="762"/>
      <c r="F93" s="611" t="s">
        <v>729</v>
      </c>
      <c r="G93" s="639">
        <v>0.1</v>
      </c>
      <c r="H93" s="632" t="s">
        <v>3</v>
      </c>
      <c r="I93" s="759"/>
      <c r="J93" s="760"/>
      <c r="K93" s="760"/>
      <c r="L93" s="761"/>
      <c r="M93" s="164"/>
      <c r="O93" s="8"/>
      <c r="P93" s="7"/>
      <c r="Q93" s="7"/>
      <c r="R93" s="8"/>
      <c r="T93" s="22"/>
      <c r="U93" s="612"/>
      <c r="V93" s="142"/>
      <c r="W93" s="141"/>
    </row>
    <row r="94" spans="2:23" ht="20.100000000000001" customHeight="1">
      <c r="B94" s="823" t="s">
        <v>62</v>
      </c>
      <c r="C94" s="824"/>
      <c r="D94" s="824"/>
      <c r="E94" s="825"/>
      <c r="F94" s="750" t="s">
        <v>722</v>
      </c>
      <c r="G94" s="768" t="e">
        <f>"1 : "&amp;ROUND(G51/G52,1)</f>
        <v>#VALUE!</v>
      </c>
      <c r="H94" s="750"/>
      <c r="I94" s="744"/>
      <c r="J94" s="745"/>
      <c r="K94" s="745"/>
      <c r="L94" s="746"/>
      <c r="M94" s="164"/>
      <c r="O94" s="8"/>
      <c r="P94" s="7"/>
      <c r="Q94" s="7"/>
      <c r="R94" s="8"/>
      <c r="T94" s="22"/>
      <c r="U94" s="612"/>
      <c r="V94" s="142"/>
      <c r="W94" s="141"/>
    </row>
    <row r="95" spans="2:23" ht="20.100000000000001" customHeight="1">
      <c r="B95" s="826"/>
      <c r="C95" s="827"/>
      <c r="D95" s="827"/>
      <c r="E95" s="828"/>
      <c r="F95" s="751"/>
      <c r="G95" s="769"/>
      <c r="H95" s="751"/>
      <c r="I95" s="756"/>
      <c r="J95" s="757"/>
      <c r="K95" s="757"/>
      <c r="L95" s="758"/>
      <c r="M95" s="164"/>
      <c r="O95" s="8"/>
      <c r="P95" s="7"/>
      <c r="Q95" s="7"/>
      <c r="R95" s="8"/>
      <c r="T95" s="22"/>
      <c r="U95" s="612"/>
      <c r="V95" s="142"/>
      <c r="W95" s="141"/>
    </row>
    <row r="96" spans="2:23" ht="20.100000000000001" customHeight="1">
      <c r="B96" s="823" t="s">
        <v>42</v>
      </c>
      <c r="C96" s="824"/>
      <c r="D96" s="824"/>
      <c r="E96" s="825"/>
      <c r="F96" s="750" t="s">
        <v>148</v>
      </c>
      <c r="G96" s="752" t="e">
        <f>((G52-G93)/2)*TAN(G92*PI()/180)</f>
        <v>#VALUE!</v>
      </c>
      <c r="H96" s="750" t="s">
        <v>3</v>
      </c>
      <c r="I96" s="744"/>
      <c r="J96" s="745"/>
      <c r="K96" s="745"/>
      <c r="L96" s="746"/>
      <c r="M96" s="164"/>
      <c r="O96" s="8"/>
      <c r="P96" s="7"/>
      <c r="Q96" s="7"/>
      <c r="R96" s="8"/>
      <c r="T96" s="22"/>
      <c r="U96" s="612"/>
      <c r="V96" s="142"/>
      <c r="W96" s="141"/>
    </row>
    <row r="97" spans="2:23" ht="20.100000000000001" customHeight="1">
      <c r="B97" s="826"/>
      <c r="C97" s="827"/>
      <c r="D97" s="827"/>
      <c r="E97" s="828"/>
      <c r="F97" s="751"/>
      <c r="G97" s="753"/>
      <c r="H97" s="751"/>
      <c r="I97" s="756"/>
      <c r="J97" s="757"/>
      <c r="K97" s="757"/>
      <c r="L97" s="758"/>
      <c r="M97" s="164"/>
      <c r="O97" s="8"/>
      <c r="P97" s="7"/>
      <c r="Q97" s="7"/>
      <c r="R97" s="8"/>
      <c r="T97" s="22"/>
      <c r="U97" s="612"/>
      <c r="V97" s="142"/>
      <c r="W97" s="141"/>
    </row>
    <row r="98" spans="2:23" ht="20.100000000000001" customHeight="1">
      <c r="B98" s="741" t="s">
        <v>727</v>
      </c>
      <c r="C98" s="742"/>
      <c r="D98" s="742"/>
      <c r="E98" s="743"/>
      <c r="F98" s="750" t="s">
        <v>146</v>
      </c>
      <c r="G98" s="752" t="e">
        <f>G51*G96*(G93+(G52-G93)/2)</f>
        <v>#VALUE!</v>
      </c>
      <c r="H98" s="750" t="s">
        <v>717</v>
      </c>
      <c r="I98" s="744"/>
      <c r="J98" s="745"/>
      <c r="K98" s="745"/>
      <c r="L98" s="746"/>
      <c r="M98" s="164"/>
      <c r="N98" s="638"/>
      <c r="O98" s="8"/>
      <c r="P98" s="7"/>
      <c r="Q98" s="7"/>
      <c r="R98" s="8"/>
      <c r="T98" s="22"/>
      <c r="U98" s="631"/>
      <c r="V98" s="142"/>
      <c r="W98" s="141"/>
    </row>
    <row r="99" spans="2:23" ht="20.100000000000001" customHeight="1">
      <c r="B99" s="747"/>
      <c r="C99" s="748"/>
      <c r="D99" s="748"/>
      <c r="E99" s="749"/>
      <c r="F99" s="751"/>
      <c r="G99" s="753"/>
      <c r="H99" s="751"/>
      <c r="I99" s="756"/>
      <c r="J99" s="757"/>
      <c r="K99" s="757"/>
      <c r="L99" s="758"/>
      <c r="M99" s="164" t="e">
        <f>IF(G98&lt;0.1*(G98+G85),"¡Volumen de la tolva de lodos es bajo en rrelación al volumen total del tanque, revise datos!",IF(G98&gt;0.2*(G98+G85),"¡Volumen de la tolva de lodos es alto en rrelación al volumen total del tanque, revise datos!","¡Ok!"))</f>
        <v>#VALUE!</v>
      </c>
      <c r="O99" s="8"/>
      <c r="P99" s="7"/>
      <c r="Q99" s="7"/>
      <c r="R99" s="8"/>
      <c r="T99" s="22"/>
      <c r="U99" s="631"/>
      <c r="V99" s="142"/>
      <c r="W99" s="141"/>
    </row>
    <row r="100" spans="2:23" ht="20.100000000000001" customHeight="1">
      <c r="B100" s="823" t="s">
        <v>45</v>
      </c>
      <c r="C100" s="824"/>
      <c r="D100" s="824"/>
      <c r="E100" s="825"/>
      <c r="F100" s="652" t="s">
        <v>149</v>
      </c>
      <c r="G100" s="653">
        <f>2*G91+G51</f>
        <v>6.4569999999999999</v>
      </c>
      <c r="H100" s="652" t="s">
        <v>3</v>
      </c>
      <c r="I100" s="744"/>
      <c r="J100" s="745"/>
      <c r="K100" s="745"/>
      <c r="L100" s="746"/>
      <c r="M100" s="164"/>
      <c r="O100" s="8"/>
      <c r="P100" s="7"/>
      <c r="Q100" s="7"/>
      <c r="R100" s="8"/>
      <c r="T100" s="22"/>
      <c r="U100" s="612"/>
      <c r="V100" s="142"/>
      <c r="W100" s="141"/>
    </row>
    <row r="101" spans="2:23" ht="20.100000000000001" customHeight="1">
      <c r="B101" s="823" t="s">
        <v>47</v>
      </c>
      <c r="C101" s="824"/>
      <c r="D101" s="824"/>
      <c r="E101" s="825"/>
      <c r="F101" s="652" t="s">
        <v>150</v>
      </c>
      <c r="G101" s="653" t="e">
        <f>(G52+G91)*G45</f>
        <v>#VALUE!</v>
      </c>
      <c r="H101" s="652" t="s">
        <v>3</v>
      </c>
      <c r="I101" s="744"/>
      <c r="J101" s="745"/>
      <c r="K101" s="745"/>
      <c r="L101" s="746"/>
      <c r="M101" s="164"/>
      <c r="O101" s="8"/>
      <c r="P101" s="7"/>
      <c r="Q101" s="7"/>
      <c r="R101" s="8"/>
      <c r="T101" s="22"/>
      <c r="U101" s="612"/>
      <c r="V101" s="142"/>
      <c r="W101" s="141"/>
    </row>
    <row r="102" spans="2:23" ht="20.100000000000001" customHeight="1">
      <c r="B102" s="829" t="s">
        <v>723</v>
      </c>
      <c r="C102" s="829"/>
      <c r="D102" s="829"/>
      <c r="E102" s="829"/>
      <c r="F102" s="647" t="s">
        <v>151</v>
      </c>
      <c r="G102" s="656" t="e">
        <f>G91+G96+G84+G90</f>
        <v>#VALUE!</v>
      </c>
      <c r="H102" s="647" t="s">
        <v>3</v>
      </c>
      <c r="I102" s="801"/>
      <c r="J102" s="801"/>
      <c r="K102" s="801"/>
      <c r="L102" s="801"/>
      <c r="M102" s="164"/>
      <c r="O102" s="8"/>
      <c r="P102" s="7"/>
      <c r="Q102" s="7"/>
      <c r="R102" s="8"/>
      <c r="T102" s="22"/>
      <c r="U102" s="612"/>
      <c r="V102" s="142"/>
      <c r="W102" s="141"/>
    </row>
    <row r="103" spans="2:23" ht="20.100000000000001" customHeight="1">
      <c r="B103" s="609"/>
      <c r="C103" s="609"/>
      <c r="D103" s="609"/>
      <c r="E103" s="609"/>
      <c r="F103" s="634"/>
      <c r="G103" s="103"/>
      <c r="H103" s="232"/>
      <c r="I103" s="51"/>
      <c r="J103" s="51"/>
      <c r="K103" s="51"/>
      <c r="L103" s="51"/>
      <c r="M103" s="7"/>
      <c r="O103" s="8"/>
      <c r="P103" s="7"/>
      <c r="Q103" s="7"/>
      <c r="R103" s="8"/>
      <c r="T103" s="22"/>
      <c r="U103" s="612"/>
      <c r="V103" s="142"/>
      <c r="W103" s="141"/>
    </row>
    <row r="104" spans="2:23" ht="20.100000000000001" customHeight="1">
      <c r="B104" s="767"/>
      <c r="C104" s="767"/>
      <c r="D104" s="767"/>
      <c r="E104" s="767"/>
      <c r="F104" s="4"/>
      <c r="G104" s="2"/>
      <c r="H104" s="2"/>
      <c r="O104" s="6"/>
      <c r="P104" s="7"/>
      <c r="Q104" s="7"/>
      <c r="R104" s="8"/>
    </row>
    <row r="105" spans="2:23" ht="20.100000000000001" customHeight="1">
      <c r="B105" s="773" t="s">
        <v>65</v>
      </c>
      <c r="C105" s="773"/>
      <c r="D105" s="773"/>
      <c r="E105" s="773"/>
      <c r="F105" s="773"/>
      <c r="G105" s="773"/>
      <c r="H105" s="773"/>
      <c r="I105" s="773"/>
      <c r="J105" s="539"/>
      <c r="K105" s="539"/>
      <c r="L105" s="539"/>
      <c r="M105" s="539"/>
      <c r="O105" s="6"/>
      <c r="P105" s="7"/>
      <c r="Q105" s="7"/>
      <c r="R105" s="8"/>
      <c r="U105" s="7"/>
    </row>
    <row r="106" spans="2:23" ht="20.100000000000001" customHeight="1">
      <c r="B106" s="707" t="s">
        <v>69</v>
      </c>
      <c r="C106" s="708"/>
      <c r="D106" s="708"/>
      <c r="E106" s="709"/>
      <c r="F106" s="654" t="s">
        <v>492</v>
      </c>
      <c r="G106" s="641">
        <v>0.01</v>
      </c>
      <c r="H106" s="588" t="s">
        <v>5</v>
      </c>
      <c r="I106" s="830"/>
      <c r="J106" s="830"/>
      <c r="K106" s="830"/>
      <c r="L106" s="830"/>
      <c r="M106" s="7"/>
      <c r="N106" s="7"/>
      <c r="O106" s="6"/>
      <c r="P106" s="7"/>
      <c r="Q106" s="7"/>
      <c r="R106" s="8"/>
      <c r="S106" s="7"/>
      <c r="U106" s="7"/>
    </row>
    <row r="107" spans="2:23" ht="20.100000000000001" customHeight="1">
      <c r="B107" s="707" t="s">
        <v>67</v>
      </c>
      <c r="C107" s="708"/>
      <c r="D107" s="708"/>
      <c r="E107" s="709"/>
      <c r="F107" s="630" t="s">
        <v>152</v>
      </c>
      <c r="G107" s="642">
        <f>G51</f>
        <v>5.8570000000000002</v>
      </c>
      <c r="H107" s="648" t="s">
        <v>3</v>
      </c>
      <c r="I107" s="831"/>
      <c r="J107" s="832"/>
      <c r="K107" s="832"/>
      <c r="L107" s="833"/>
      <c r="M107" s="7"/>
      <c r="N107" s="766"/>
      <c r="O107" s="766"/>
      <c r="P107" s="766"/>
      <c r="Q107" s="766"/>
      <c r="R107" s="766"/>
      <c r="S107" s="766"/>
      <c r="T107" s="22"/>
      <c r="U107" s="7"/>
    </row>
    <row r="108" spans="2:23" ht="20.100000000000001" customHeight="1">
      <c r="B108" s="707" t="s">
        <v>752</v>
      </c>
      <c r="C108" s="708"/>
      <c r="D108" s="708"/>
      <c r="E108" s="709"/>
      <c r="F108" s="647" t="s">
        <v>155</v>
      </c>
      <c r="G108" s="663" t="e">
        <f>G96+G84</f>
        <v>#VALUE!</v>
      </c>
      <c r="H108" s="664" t="s">
        <v>3</v>
      </c>
      <c r="I108" s="649"/>
      <c r="J108" s="650"/>
      <c r="K108" s="650"/>
      <c r="L108" s="651"/>
      <c r="M108" s="7"/>
      <c r="N108" s="655"/>
      <c r="O108" s="655"/>
      <c r="P108" s="655"/>
      <c r="Q108" s="655"/>
      <c r="R108" s="655"/>
      <c r="S108" s="655"/>
      <c r="T108" s="655"/>
      <c r="U108" s="7"/>
    </row>
    <row r="109" spans="2:23" ht="20.100000000000001" customHeight="1">
      <c r="B109" s="741" t="s">
        <v>66</v>
      </c>
      <c r="C109" s="742"/>
      <c r="D109" s="742"/>
      <c r="E109" s="743"/>
      <c r="F109" s="750" t="s">
        <v>153</v>
      </c>
      <c r="G109" s="768" t="str">
        <f>IF(AND(G107&gt;2,G107&lt;3.5),BC9,IF(AND(G107&gt;3.5,G107&lt;6.5),BC10,IF(AND(G107&gt;6.5,G107&lt;8),BC11)))</f>
        <v>6 (RDE 13,5)</v>
      </c>
      <c r="H109" s="750" t="s">
        <v>64</v>
      </c>
      <c r="I109" s="776"/>
      <c r="J109" s="777"/>
      <c r="K109" s="777"/>
      <c r="L109" s="778"/>
      <c r="M109" s="7"/>
      <c r="N109" s="22"/>
      <c r="O109" s="22"/>
      <c r="P109" s="22"/>
      <c r="Q109" s="22"/>
      <c r="R109" s="22"/>
      <c r="S109" s="22"/>
      <c r="T109" s="22"/>
      <c r="U109" s="7"/>
    </row>
    <row r="110" spans="2:23" ht="20.100000000000001" customHeight="1">
      <c r="B110" s="812"/>
      <c r="C110" s="813"/>
      <c r="D110" s="813"/>
      <c r="E110" s="814"/>
      <c r="F110" s="818"/>
      <c r="G110" s="819"/>
      <c r="H110" s="818"/>
      <c r="I110" s="815"/>
      <c r="J110" s="816"/>
      <c r="K110" s="816"/>
      <c r="L110" s="817"/>
      <c r="M110" s="7"/>
      <c r="N110" s="22"/>
      <c r="O110" s="22"/>
      <c r="P110" s="22"/>
      <c r="Q110" s="22"/>
      <c r="R110" s="22"/>
      <c r="S110" s="22"/>
      <c r="T110" s="22"/>
      <c r="U110" s="7"/>
    </row>
    <row r="111" spans="2:23" ht="20.100000000000001" customHeight="1">
      <c r="B111" s="747"/>
      <c r="C111" s="748"/>
      <c r="D111" s="748"/>
      <c r="E111" s="749"/>
      <c r="F111" s="751"/>
      <c r="G111" s="769"/>
      <c r="H111" s="751"/>
      <c r="I111" s="779"/>
      <c r="J111" s="780"/>
      <c r="K111" s="780"/>
      <c r="L111" s="781"/>
      <c r="M111" s="7"/>
      <c r="N111" s="7"/>
      <c r="O111" s="7"/>
      <c r="P111" s="7"/>
      <c r="Q111" s="7"/>
      <c r="R111" s="7"/>
      <c r="S111" s="7"/>
      <c r="T111" s="22"/>
      <c r="U111" s="7"/>
    </row>
    <row r="112" spans="2:23" ht="20.100000000000001" customHeight="1">
      <c r="B112" s="707" t="s">
        <v>756</v>
      </c>
      <c r="C112" s="708"/>
      <c r="D112" s="708"/>
      <c r="E112" s="709"/>
      <c r="F112" s="543" t="s">
        <v>154</v>
      </c>
      <c r="G112" s="642">
        <f>VLOOKUP(G109,BC9:BE11,3,FALSE)</f>
        <v>0.14334</v>
      </c>
      <c r="H112" s="648" t="s">
        <v>3</v>
      </c>
      <c r="I112" s="831"/>
      <c r="J112" s="832"/>
      <c r="K112" s="832"/>
      <c r="L112" s="833"/>
      <c r="M112" s="7"/>
      <c r="N112" s="22"/>
      <c r="O112" s="22"/>
      <c r="P112" s="22"/>
      <c r="Q112" s="22"/>
      <c r="R112" s="22"/>
      <c r="S112" s="22"/>
      <c r="T112" s="22"/>
      <c r="U112" s="7"/>
    </row>
    <row r="113" spans="2:21" ht="20.100000000000001" customHeight="1">
      <c r="B113" s="707" t="s">
        <v>733</v>
      </c>
      <c r="C113" s="708"/>
      <c r="D113" s="708"/>
      <c r="E113" s="709"/>
      <c r="F113" s="652" t="s">
        <v>734</v>
      </c>
      <c r="G113" s="666" t="s">
        <v>739</v>
      </c>
      <c r="H113" s="664" t="s">
        <v>64</v>
      </c>
      <c r="I113" s="649"/>
      <c r="J113" s="650"/>
      <c r="K113" s="650"/>
      <c r="L113" s="651"/>
      <c r="M113" s="7"/>
      <c r="N113" s="655"/>
      <c r="O113" s="655"/>
      <c r="P113" s="655"/>
      <c r="Q113" s="655"/>
      <c r="R113" s="655"/>
      <c r="S113" s="655"/>
      <c r="T113" s="655"/>
      <c r="U113" s="7"/>
    </row>
    <row r="114" spans="2:21" ht="20.100000000000001" customHeight="1">
      <c r="B114" s="839" t="s">
        <v>68</v>
      </c>
      <c r="C114" s="840"/>
      <c r="D114" s="840"/>
      <c r="E114" s="841"/>
      <c r="F114" s="750" t="s">
        <v>735</v>
      </c>
      <c r="G114" s="752">
        <f>VLOOKUP(G113,BG9:BI17,3,FALSE)</f>
        <v>2.181E-2</v>
      </c>
      <c r="H114" s="750" t="s">
        <v>3</v>
      </c>
      <c r="I114" s="776"/>
      <c r="J114" s="777"/>
      <c r="K114" s="777"/>
      <c r="L114" s="778"/>
      <c r="M114" s="7"/>
      <c r="N114" s="655"/>
      <c r="O114" s="655"/>
      <c r="P114" s="655"/>
      <c r="Q114" s="655"/>
      <c r="R114" s="655"/>
      <c r="S114" s="655"/>
      <c r="T114" s="655"/>
      <c r="U114" s="7"/>
    </row>
    <row r="115" spans="2:21" ht="20.100000000000001" customHeight="1">
      <c r="B115" s="842"/>
      <c r="C115" s="843"/>
      <c r="D115" s="843"/>
      <c r="E115" s="844"/>
      <c r="F115" s="751"/>
      <c r="G115" s="753"/>
      <c r="H115" s="751"/>
      <c r="I115" s="779"/>
      <c r="J115" s="780"/>
      <c r="K115" s="780"/>
      <c r="L115" s="781"/>
      <c r="M115" s="7"/>
      <c r="N115" s="655"/>
      <c r="O115" s="655"/>
      <c r="P115" s="655"/>
      <c r="Q115" s="655"/>
      <c r="R115" s="655"/>
      <c r="S115" s="655"/>
      <c r="T115" s="655"/>
      <c r="U115" s="7"/>
    </row>
    <row r="116" spans="2:21" ht="20.100000000000001" customHeight="1">
      <c r="B116" s="741" t="s">
        <v>755</v>
      </c>
      <c r="C116" s="742"/>
      <c r="D116" s="742"/>
      <c r="E116" s="743"/>
      <c r="F116" s="750" t="s">
        <v>156</v>
      </c>
      <c r="G116" s="752" t="e">
        <f>1.16*G114*((G108^0.5)/G106)^0.5</f>
        <v>#VALUE!</v>
      </c>
      <c r="H116" s="750" t="s">
        <v>3</v>
      </c>
      <c r="I116" s="776"/>
      <c r="J116" s="777"/>
      <c r="K116" s="777"/>
      <c r="L116" s="778"/>
      <c r="M116" s="7"/>
      <c r="N116" s="655"/>
      <c r="O116" s="655"/>
      <c r="P116" s="655"/>
      <c r="Q116" s="655"/>
      <c r="R116" s="655"/>
      <c r="S116" s="655"/>
      <c r="T116" s="655"/>
      <c r="U116" s="7"/>
    </row>
    <row r="117" spans="2:21" ht="21.95" customHeight="1">
      <c r="B117" s="747"/>
      <c r="C117" s="748"/>
      <c r="D117" s="748"/>
      <c r="E117" s="749"/>
      <c r="F117" s="751"/>
      <c r="G117" s="753"/>
      <c r="H117" s="751"/>
      <c r="I117" s="779"/>
      <c r="J117" s="780"/>
      <c r="K117" s="780"/>
      <c r="L117" s="781"/>
      <c r="M117" s="7"/>
      <c r="N117" s="655"/>
      <c r="O117" s="655"/>
      <c r="P117" s="655"/>
      <c r="Q117" s="655"/>
      <c r="R117" s="655"/>
      <c r="S117" s="655"/>
      <c r="T117" s="655"/>
      <c r="U117" s="7"/>
    </row>
    <row r="118" spans="2:21" ht="21.95" customHeight="1">
      <c r="B118" s="741" t="s">
        <v>753</v>
      </c>
      <c r="C118" s="742"/>
      <c r="D118" s="742"/>
      <c r="E118" s="743"/>
      <c r="F118" s="792" t="s">
        <v>754</v>
      </c>
      <c r="G118" s="768" t="e">
        <f>ROUNDUP(G107/G116,0)</f>
        <v>#VALUE!</v>
      </c>
      <c r="H118" s="750" t="s">
        <v>15</v>
      </c>
      <c r="I118" s="776"/>
      <c r="J118" s="777"/>
      <c r="K118" s="777"/>
      <c r="L118" s="778"/>
      <c r="M118" s="7"/>
      <c r="N118" s="655"/>
      <c r="O118" s="655"/>
      <c r="P118" s="655"/>
      <c r="Q118" s="655"/>
      <c r="R118" s="655"/>
      <c r="S118" s="655"/>
      <c r="T118" s="655"/>
      <c r="U118" s="7"/>
    </row>
    <row r="119" spans="2:21" ht="21.95" customHeight="1">
      <c r="B119" s="747"/>
      <c r="C119" s="748"/>
      <c r="D119" s="748"/>
      <c r="E119" s="749"/>
      <c r="F119" s="793"/>
      <c r="G119" s="769"/>
      <c r="H119" s="751"/>
      <c r="I119" s="779"/>
      <c r="J119" s="780"/>
      <c r="K119" s="780"/>
      <c r="L119" s="781"/>
      <c r="M119" s="7"/>
      <c r="N119" s="655"/>
      <c r="O119" s="655"/>
      <c r="P119" s="655"/>
      <c r="Q119" s="655"/>
      <c r="R119" s="655"/>
      <c r="S119" s="655"/>
      <c r="T119" s="655"/>
      <c r="U119" s="7"/>
    </row>
    <row r="120" spans="2:21" ht="20.100000000000001" customHeight="1">
      <c r="B120" s="839" t="s">
        <v>72</v>
      </c>
      <c r="C120" s="840"/>
      <c r="D120" s="840"/>
      <c r="E120" s="841"/>
      <c r="F120" s="750"/>
      <c r="G120" s="845" t="e">
        <f>((G114/G112)^2)*G118</f>
        <v>#VALUE!</v>
      </c>
      <c r="H120" s="750"/>
      <c r="I120" s="776"/>
      <c r="J120" s="777"/>
      <c r="K120" s="777"/>
      <c r="L120" s="778"/>
      <c r="M120" s="7"/>
      <c r="N120" s="655"/>
      <c r="O120" s="655"/>
      <c r="P120" s="655"/>
      <c r="Q120" s="655"/>
      <c r="R120" s="655"/>
      <c r="S120" s="655"/>
      <c r="T120" s="655"/>
      <c r="U120" s="7"/>
    </row>
    <row r="121" spans="2:21" ht="20.100000000000001" customHeight="1">
      <c r="B121" s="842"/>
      <c r="C121" s="843"/>
      <c r="D121" s="843"/>
      <c r="E121" s="844"/>
      <c r="F121" s="751"/>
      <c r="G121" s="846"/>
      <c r="H121" s="751"/>
      <c r="I121" s="779"/>
      <c r="J121" s="780"/>
      <c r="K121" s="780"/>
      <c r="L121" s="781"/>
      <c r="M121" s="7" t="e">
        <f>IF(G120&lt;0.4,"¡Valor resultante es bajo, revise datos de diámetros de orificios!",IF(G120&gt;0.45,"¡Valor resultante es alto, revise datos de diámetros de orificios!","¡Ok!"))</f>
        <v>#VALUE!</v>
      </c>
      <c r="N121" s="655"/>
      <c r="O121" s="655"/>
      <c r="P121" s="655"/>
      <c r="Q121" s="655"/>
      <c r="R121" s="655"/>
      <c r="S121" s="655"/>
      <c r="T121" s="655"/>
      <c r="U121" s="7"/>
    </row>
    <row r="122" spans="2:21" ht="20.100000000000001" customHeight="1">
      <c r="B122" s="716" t="s">
        <v>73</v>
      </c>
      <c r="C122" s="717"/>
      <c r="D122" s="717"/>
      <c r="E122" s="718"/>
      <c r="F122" s="750" t="s">
        <v>156</v>
      </c>
      <c r="G122" s="752" t="e">
        <f>G107/G118</f>
        <v>#VALUE!</v>
      </c>
      <c r="H122" s="774" t="s">
        <v>3</v>
      </c>
      <c r="I122" s="776"/>
      <c r="J122" s="777"/>
      <c r="K122" s="777"/>
      <c r="L122" s="778"/>
      <c r="M122" s="7"/>
      <c r="N122" s="655"/>
      <c r="O122" s="655"/>
      <c r="P122" s="655"/>
      <c r="Q122" s="655"/>
      <c r="R122" s="655"/>
      <c r="S122" s="655"/>
      <c r="T122" s="655"/>
      <c r="U122" s="7"/>
    </row>
    <row r="123" spans="2:21" ht="20.100000000000001" customHeight="1">
      <c r="B123" s="719"/>
      <c r="C123" s="720"/>
      <c r="D123" s="720"/>
      <c r="E123" s="721"/>
      <c r="F123" s="751"/>
      <c r="G123" s="753"/>
      <c r="H123" s="775"/>
      <c r="I123" s="779"/>
      <c r="J123" s="780"/>
      <c r="K123" s="780"/>
      <c r="L123" s="781"/>
      <c r="M123" s="7"/>
      <c r="N123" s="772"/>
      <c r="O123" s="772"/>
      <c r="P123" s="772"/>
      <c r="Q123" s="772"/>
      <c r="R123" s="772"/>
      <c r="S123" s="772"/>
      <c r="T123" s="546"/>
      <c r="U123" s="7"/>
    </row>
    <row r="124" spans="2:21">
      <c r="B124" s="767"/>
      <c r="C124" s="767"/>
      <c r="D124" s="767"/>
      <c r="E124" s="767"/>
      <c r="O124" s="6"/>
      <c r="P124" s="7"/>
      <c r="Q124" s="7"/>
      <c r="R124" s="8"/>
    </row>
    <row r="125" spans="2:21">
      <c r="B125" s="773" t="s">
        <v>19</v>
      </c>
      <c r="C125" s="773"/>
      <c r="D125" s="773"/>
      <c r="E125" s="773"/>
      <c r="O125" s="6"/>
      <c r="P125" s="7"/>
      <c r="Q125" s="7"/>
      <c r="R125" s="8"/>
    </row>
    <row r="126" spans="2:21">
      <c r="O126" s="6"/>
      <c r="P126" s="7"/>
      <c r="Q126" s="7"/>
      <c r="R126" s="8"/>
    </row>
    <row r="127" spans="2:21" ht="30" customHeight="1">
      <c r="B127" s="5" t="s">
        <v>20</v>
      </c>
      <c r="E127" s="740" t="s">
        <v>26</v>
      </c>
      <c r="F127" s="740"/>
      <c r="G127" s="740"/>
      <c r="H127" s="740"/>
      <c r="I127" s="740"/>
      <c r="J127" s="537"/>
      <c r="K127" s="537"/>
      <c r="L127" s="537"/>
      <c r="M127" s="537"/>
      <c r="N127" s="25"/>
      <c r="O127" s="6"/>
      <c r="P127" s="7"/>
      <c r="Q127" s="7"/>
      <c r="R127" s="8"/>
    </row>
    <row r="128" spans="2:21" ht="30" customHeight="1">
      <c r="B128" s="5" t="s">
        <v>21</v>
      </c>
      <c r="E128" s="740" t="s">
        <v>34</v>
      </c>
      <c r="F128" s="740"/>
      <c r="G128" s="740"/>
      <c r="H128" s="740"/>
      <c r="I128" s="740"/>
      <c r="J128" s="537"/>
      <c r="K128" s="537"/>
      <c r="L128" s="537"/>
      <c r="M128" s="537"/>
      <c r="O128" s="26"/>
      <c r="P128" s="7"/>
      <c r="Q128" s="7"/>
      <c r="R128" s="8"/>
    </row>
    <row r="129" spans="2:18">
      <c r="B129" s="5" t="s">
        <v>22</v>
      </c>
      <c r="E129" s="771" t="s">
        <v>23</v>
      </c>
      <c r="F129" s="771"/>
      <c r="G129" s="771"/>
      <c r="H129" s="771"/>
      <c r="I129" s="771"/>
      <c r="J129" s="538"/>
      <c r="K129" s="538"/>
      <c r="L129" s="538"/>
      <c r="M129" s="538"/>
      <c r="O129" s="6"/>
      <c r="P129" s="7"/>
      <c r="Q129" s="7"/>
      <c r="R129" s="8"/>
    </row>
    <row r="130" spans="2:18" ht="30" customHeight="1">
      <c r="B130" s="5" t="s">
        <v>25</v>
      </c>
      <c r="E130" s="740" t="s">
        <v>35</v>
      </c>
      <c r="F130" s="740"/>
      <c r="G130" s="740"/>
      <c r="H130" s="740"/>
      <c r="I130" s="740"/>
      <c r="J130" s="537"/>
      <c r="K130" s="537"/>
      <c r="L130" s="537"/>
      <c r="M130" s="537"/>
      <c r="O130" s="6"/>
      <c r="P130" s="7"/>
      <c r="Q130" s="7"/>
      <c r="R130" s="8"/>
    </row>
    <row r="131" spans="2:18" ht="30" customHeight="1">
      <c r="B131" s="5" t="s">
        <v>31</v>
      </c>
      <c r="E131" s="740" t="s">
        <v>36</v>
      </c>
      <c r="F131" s="740"/>
      <c r="G131" s="740"/>
      <c r="H131" s="740"/>
      <c r="I131" s="740"/>
      <c r="J131" s="537"/>
      <c r="K131" s="537"/>
      <c r="L131" s="537"/>
      <c r="M131" s="537"/>
      <c r="O131" s="770"/>
      <c r="P131" s="770"/>
      <c r="Q131" s="7"/>
      <c r="R131" s="8"/>
    </row>
    <row r="132" spans="2:18">
      <c r="B132" s="5" t="s">
        <v>32</v>
      </c>
      <c r="E132" s="771" t="s">
        <v>30</v>
      </c>
      <c r="F132" s="771"/>
      <c r="G132" s="771"/>
      <c r="H132" s="771"/>
      <c r="I132" s="771"/>
      <c r="J132" s="538"/>
      <c r="K132" s="538"/>
      <c r="L132" s="538"/>
      <c r="M132" s="538"/>
      <c r="O132" s="6"/>
      <c r="P132" s="7"/>
      <c r="Q132" s="7"/>
      <c r="R132" s="8"/>
    </row>
    <row r="133" spans="2:18">
      <c r="B133" s="5" t="s">
        <v>41</v>
      </c>
      <c r="E133" s="771" t="s">
        <v>40</v>
      </c>
      <c r="F133" s="771"/>
      <c r="G133" s="771"/>
      <c r="H133" s="771"/>
      <c r="I133" s="771"/>
      <c r="J133" s="538"/>
      <c r="K133" s="538"/>
      <c r="L133" s="538"/>
      <c r="M133" s="538"/>
      <c r="O133" s="6"/>
      <c r="P133" s="7"/>
      <c r="Q133" s="7"/>
      <c r="R133" s="8"/>
    </row>
    <row r="134" spans="2:18" ht="30" customHeight="1">
      <c r="B134" s="5" t="s">
        <v>50</v>
      </c>
      <c r="E134" s="740" t="s">
        <v>43</v>
      </c>
      <c r="F134" s="740"/>
      <c r="G134" s="740"/>
      <c r="H134" s="740"/>
      <c r="I134" s="740"/>
      <c r="J134" s="537"/>
      <c r="K134" s="537"/>
      <c r="L134" s="537"/>
      <c r="M134" s="537"/>
      <c r="O134" s="6"/>
      <c r="P134" s="7"/>
      <c r="Q134" s="7"/>
      <c r="R134" s="8"/>
    </row>
    <row r="135" spans="2:18" ht="30" customHeight="1">
      <c r="B135" s="5" t="s">
        <v>70</v>
      </c>
      <c r="E135" s="740" t="s">
        <v>71</v>
      </c>
      <c r="F135" s="740"/>
      <c r="G135" s="740"/>
      <c r="H135" s="740"/>
      <c r="I135" s="740"/>
      <c r="J135" s="537"/>
      <c r="K135" s="537"/>
      <c r="L135" s="537"/>
      <c r="M135" s="537"/>
      <c r="O135" s="6"/>
      <c r="P135" s="7"/>
      <c r="Q135" s="7"/>
      <c r="R135" s="8"/>
    </row>
    <row r="136" spans="2:18">
      <c r="O136" s="6"/>
      <c r="P136" s="7"/>
      <c r="Q136" s="7"/>
      <c r="R136" s="8"/>
    </row>
    <row r="137" spans="2:18">
      <c r="B137" s="16" t="s">
        <v>57</v>
      </c>
      <c r="C137" s="16"/>
      <c r="D137" s="16"/>
      <c r="O137" s="6"/>
      <c r="P137" s="7"/>
      <c r="Q137" s="7"/>
      <c r="R137" s="8"/>
    </row>
    <row r="138" spans="2:18">
      <c r="B138" s="5" t="s">
        <v>58</v>
      </c>
      <c r="O138" s="6"/>
      <c r="P138" s="7"/>
      <c r="Q138" s="7"/>
      <c r="R138" s="8"/>
    </row>
    <row r="139" spans="2:18">
      <c r="B139" s="5" t="s">
        <v>59</v>
      </c>
      <c r="O139" s="6"/>
      <c r="P139" s="7"/>
      <c r="Q139" s="7"/>
      <c r="R139" s="8"/>
    </row>
    <row r="140" spans="2:18">
      <c r="O140" s="6"/>
      <c r="P140" s="7"/>
      <c r="Q140" s="7"/>
      <c r="R140" s="8"/>
    </row>
    <row r="141" spans="2:18">
      <c r="B141" s="16" t="s">
        <v>60</v>
      </c>
      <c r="C141" s="16"/>
      <c r="D141" s="16"/>
      <c r="O141" s="6"/>
      <c r="P141" s="7"/>
      <c r="Q141" s="7"/>
      <c r="R141" s="8"/>
    </row>
    <row r="142" spans="2:18">
      <c r="B142" s="5" t="s">
        <v>631</v>
      </c>
      <c r="O142" s="6"/>
      <c r="P142" s="7"/>
      <c r="Q142" s="7"/>
      <c r="R142" s="8"/>
    </row>
    <row r="143" spans="2:18">
      <c r="O143" s="6"/>
      <c r="P143" s="7"/>
      <c r="Q143" s="7"/>
      <c r="R143" s="8"/>
    </row>
    <row r="144" spans="2:18">
      <c r="O144" s="6"/>
      <c r="P144" s="7"/>
      <c r="Q144" s="7"/>
      <c r="R144" s="8"/>
    </row>
    <row r="145" spans="15:18">
      <c r="O145" s="6"/>
      <c r="P145" s="7"/>
      <c r="Q145" s="7"/>
      <c r="R145" s="8"/>
    </row>
    <row r="146" spans="15:18">
      <c r="O146" s="6"/>
      <c r="P146" s="7"/>
      <c r="Q146" s="7"/>
      <c r="R146" s="8"/>
    </row>
    <row r="147" spans="15:18">
      <c r="O147" s="6"/>
      <c r="P147" s="7"/>
      <c r="Q147" s="7"/>
      <c r="R147" s="8"/>
    </row>
    <row r="148" spans="15:18">
      <c r="O148" s="6"/>
      <c r="P148" s="7"/>
      <c r="Q148" s="7"/>
      <c r="R148" s="8"/>
    </row>
    <row r="149" spans="15:18">
      <c r="O149" s="6"/>
      <c r="P149" s="7"/>
      <c r="Q149" s="7"/>
      <c r="R149" s="8"/>
    </row>
    <row r="150" spans="15:18">
      <c r="O150" s="6"/>
      <c r="P150" s="7"/>
      <c r="Q150" s="7"/>
      <c r="R150" s="8"/>
    </row>
    <row r="151" spans="15:18">
      <c r="O151" s="6"/>
      <c r="P151" s="7"/>
      <c r="Q151" s="7"/>
      <c r="R151" s="8"/>
    </row>
    <row r="152" spans="15:18">
      <c r="O152" s="6"/>
      <c r="P152" s="7"/>
      <c r="Q152" s="7"/>
      <c r="R152" s="8"/>
    </row>
    <row r="153" spans="15:18">
      <c r="O153" s="6"/>
      <c r="P153" s="7"/>
      <c r="Q153" s="7"/>
      <c r="R153" s="8"/>
    </row>
    <row r="154" spans="15:18">
      <c r="O154" s="6"/>
      <c r="P154" s="7"/>
      <c r="Q154" s="7"/>
      <c r="R154" s="8"/>
    </row>
    <row r="155" spans="15:18">
      <c r="O155" s="6"/>
      <c r="P155" s="7"/>
      <c r="Q155" s="7"/>
      <c r="R155" s="8"/>
    </row>
    <row r="156" spans="15:18">
      <c r="O156" s="6"/>
      <c r="P156" s="7"/>
      <c r="Q156" s="7"/>
      <c r="R156" s="8"/>
    </row>
    <row r="157" spans="15:18">
      <c r="O157" s="6"/>
      <c r="P157" s="7"/>
      <c r="Q157" s="7"/>
      <c r="R157" s="8"/>
    </row>
    <row r="158" spans="15:18">
      <c r="O158" s="6"/>
      <c r="P158" s="7"/>
      <c r="Q158" s="7"/>
      <c r="R158" s="8"/>
    </row>
    <row r="159" spans="15:18">
      <c r="O159" s="6"/>
      <c r="P159" s="7"/>
      <c r="Q159" s="7"/>
      <c r="R159" s="8"/>
    </row>
    <row r="160" spans="15:18">
      <c r="O160" s="6"/>
      <c r="P160" s="7"/>
      <c r="Q160" s="7"/>
      <c r="R160" s="8"/>
    </row>
    <row r="161" spans="15:18">
      <c r="O161" s="6"/>
      <c r="P161" s="7"/>
      <c r="Q161" s="7"/>
      <c r="R161" s="8"/>
    </row>
    <row r="162" spans="15:18">
      <c r="O162" s="6"/>
      <c r="P162" s="7"/>
      <c r="Q162" s="7"/>
      <c r="R162" s="8"/>
    </row>
    <row r="163" spans="15:18">
      <c r="O163" s="6"/>
      <c r="P163" s="7"/>
      <c r="Q163" s="7"/>
      <c r="R163" s="8"/>
    </row>
    <row r="164" spans="15:18">
      <c r="O164" s="6"/>
      <c r="P164" s="7"/>
      <c r="Q164" s="7"/>
      <c r="R164" s="8"/>
    </row>
    <row r="165" spans="15:18">
      <c r="O165" s="6"/>
      <c r="P165" s="7"/>
      <c r="Q165" s="7"/>
      <c r="R165" s="8"/>
    </row>
    <row r="166" spans="15:18">
      <c r="O166" s="6"/>
      <c r="P166" s="7"/>
      <c r="Q166" s="7"/>
      <c r="R166" s="8"/>
    </row>
    <row r="167" spans="15:18">
      <c r="O167" s="6"/>
      <c r="P167" s="7"/>
      <c r="Q167" s="7"/>
      <c r="R167" s="8"/>
    </row>
    <row r="168" spans="15:18">
      <c r="O168" s="6"/>
      <c r="P168" s="7"/>
      <c r="Q168" s="7"/>
      <c r="R168" s="8"/>
    </row>
    <row r="169" spans="15:18">
      <c r="O169" s="6"/>
      <c r="P169" s="7"/>
      <c r="Q169" s="7"/>
      <c r="R169" s="8"/>
    </row>
    <row r="170" spans="15:18">
      <c r="O170" s="6"/>
      <c r="P170" s="7"/>
      <c r="Q170" s="7"/>
      <c r="R170" s="8"/>
    </row>
    <row r="171" spans="15:18">
      <c r="O171" s="6"/>
      <c r="P171" s="7"/>
      <c r="Q171" s="7"/>
      <c r="R171" s="8"/>
    </row>
    <row r="172" spans="15:18">
      <c r="O172" s="6"/>
      <c r="P172" s="7"/>
      <c r="Q172" s="7"/>
      <c r="R172" s="8"/>
    </row>
    <row r="173" spans="15:18">
      <c r="O173" s="6"/>
      <c r="P173" s="7"/>
      <c r="Q173" s="7"/>
      <c r="R173" s="8"/>
    </row>
    <row r="174" spans="15:18">
      <c r="O174" s="6"/>
      <c r="P174" s="7"/>
      <c r="Q174" s="7"/>
      <c r="R174" s="8"/>
    </row>
    <row r="175" spans="15:18">
      <c r="O175" s="6"/>
      <c r="P175" s="7"/>
      <c r="Q175" s="7"/>
      <c r="R175" s="8"/>
    </row>
    <row r="176" spans="15:18">
      <c r="O176" s="6"/>
      <c r="P176" s="7"/>
      <c r="Q176" s="7"/>
      <c r="R176" s="8"/>
    </row>
    <row r="177" spans="15:18">
      <c r="O177" s="6"/>
      <c r="P177" s="7"/>
      <c r="Q177" s="7"/>
      <c r="R177" s="8"/>
    </row>
    <row r="178" spans="15:18">
      <c r="O178" s="6"/>
      <c r="P178" s="7"/>
      <c r="Q178" s="7"/>
      <c r="R178" s="8"/>
    </row>
    <row r="179" spans="15:18">
      <c r="O179" s="6"/>
      <c r="P179" s="7"/>
      <c r="Q179" s="7"/>
      <c r="R179" s="8"/>
    </row>
    <row r="180" spans="15:18">
      <c r="O180" s="6"/>
      <c r="P180" s="7"/>
      <c r="Q180" s="7"/>
      <c r="R180" s="8"/>
    </row>
    <row r="181" spans="15:18">
      <c r="O181" s="6"/>
      <c r="P181" s="7"/>
      <c r="Q181" s="7"/>
      <c r="R181" s="8"/>
    </row>
    <row r="182" spans="15:18">
      <c r="O182" s="6"/>
      <c r="P182" s="7"/>
      <c r="Q182" s="7"/>
      <c r="R182" s="8"/>
    </row>
    <row r="183" spans="15:18">
      <c r="O183" s="6"/>
      <c r="P183" s="7"/>
      <c r="Q183" s="7"/>
      <c r="R183" s="8"/>
    </row>
    <row r="184" spans="15:18">
      <c r="O184" s="6"/>
      <c r="P184" s="7"/>
      <c r="Q184" s="7"/>
      <c r="R184" s="8"/>
    </row>
    <row r="185" spans="15:18">
      <c r="O185" s="6"/>
      <c r="P185" s="7"/>
      <c r="Q185" s="7"/>
      <c r="R185" s="8"/>
    </row>
    <row r="186" spans="15:18">
      <c r="O186" s="6"/>
      <c r="P186" s="7"/>
      <c r="Q186" s="7"/>
      <c r="R186" s="8"/>
    </row>
    <row r="187" spans="15:18">
      <c r="O187" s="6"/>
      <c r="P187" s="7"/>
      <c r="Q187" s="7"/>
      <c r="R187" s="8"/>
    </row>
    <row r="188" spans="15:18">
      <c r="O188" s="6"/>
      <c r="P188" s="7"/>
      <c r="Q188" s="7"/>
      <c r="R188" s="8"/>
    </row>
    <row r="189" spans="15:18">
      <c r="O189" s="6"/>
      <c r="P189" s="7"/>
      <c r="Q189" s="7"/>
      <c r="R189" s="8"/>
    </row>
    <row r="190" spans="15:18">
      <c r="O190" s="6"/>
      <c r="P190" s="7"/>
      <c r="Q190" s="7"/>
      <c r="R190" s="8"/>
    </row>
    <row r="191" spans="15:18">
      <c r="O191" s="6"/>
      <c r="P191" s="7"/>
      <c r="Q191" s="7"/>
      <c r="R191" s="8"/>
    </row>
    <row r="192" spans="15:18">
      <c r="O192" s="6"/>
      <c r="P192" s="7"/>
      <c r="Q192" s="7"/>
      <c r="R192" s="8"/>
    </row>
    <row r="193" spans="15:18">
      <c r="O193" s="6"/>
      <c r="P193" s="7"/>
      <c r="Q193" s="7"/>
      <c r="R193" s="8"/>
    </row>
    <row r="194" spans="15:18">
      <c r="O194" s="6"/>
      <c r="P194" s="7"/>
      <c r="Q194" s="7"/>
      <c r="R194" s="8"/>
    </row>
    <row r="195" spans="15:18">
      <c r="O195" s="6"/>
      <c r="P195" s="7"/>
      <c r="Q195" s="7"/>
      <c r="R195" s="8"/>
    </row>
    <row r="196" spans="15:18">
      <c r="O196" s="6"/>
      <c r="P196" s="7"/>
      <c r="Q196" s="7"/>
      <c r="R196" s="8"/>
    </row>
    <row r="197" spans="15:18">
      <c r="O197" s="6"/>
      <c r="P197" s="7"/>
      <c r="Q197" s="7"/>
      <c r="R197" s="8"/>
    </row>
    <row r="198" spans="15:18">
      <c r="O198" s="6"/>
      <c r="P198" s="7"/>
      <c r="Q198" s="7"/>
      <c r="R198" s="8"/>
    </row>
    <row r="199" spans="15:18">
      <c r="O199" s="6"/>
      <c r="P199" s="7"/>
      <c r="Q199" s="7"/>
      <c r="R199" s="8"/>
    </row>
    <row r="200" spans="15:18">
      <c r="O200" s="6"/>
      <c r="P200" s="7"/>
      <c r="Q200" s="7"/>
      <c r="R200" s="8"/>
    </row>
    <row r="201" spans="15:18">
      <c r="O201" s="6"/>
      <c r="P201" s="7"/>
      <c r="Q201" s="7"/>
      <c r="R201" s="8"/>
    </row>
    <row r="202" spans="15:18">
      <c r="O202" s="6"/>
      <c r="P202" s="7"/>
      <c r="Q202" s="7"/>
      <c r="R202" s="8"/>
    </row>
    <row r="203" spans="15:18">
      <c r="O203" s="6"/>
      <c r="P203" s="7"/>
      <c r="Q203" s="7"/>
      <c r="R203" s="8"/>
    </row>
    <row r="204" spans="15:18">
      <c r="O204" s="6"/>
      <c r="P204" s="7"/>
      <c r="Q204" s="7"/>
      <c r="R204" s="8"/>
    </row>
    <row r="205" spans="15:18">
      <c r="O205" s="6"/>
      <c r="P205" s="7"/>
      <c r="Q205" s="7"/>
      <c r="R205" s="8"/>
    </row>
    <row r="206" spans="15:18">
      <c r="O206" s="6"/>
      <c r="P206" s="7"/>
      <c r="Q206" s="7"/>
      <c r="R206" s="8"/>
    </row>
    <row r="207" spans="15:18">
      <c r="O207" s="6"/>
      <c r="P207" s="7"/>
      <c r="Q207" s="7"/>
      <c r="R207" s="8"/>
    </row>
    <row r="208" spans="15:18">
      <c r="O208" s="6"/>
      <c r="P208" s="7"/>
      <c r="Q208" s="7"/>
      <c r="R208" s="8"/>
    </row>
    <row r="209" spans="15:18">
      <c r="O209" s="6"/>
      <c r="P209" s="7"/>
      <c r="Q209" s="7"/>
      <c r="R209" s="8"/>
    </row>
    <row r="210" spans="15:18">
      <c r="O210" s="6"/>
      <c r="P210" s="7"/>
      <c r="Q210" s="7"/>
      <c r="R210" s="8"/>
    </row>
    <row r="211" spans="15:18">
      <c r="O211" s="6"/>
      <c r="P211" s="7"/>
      <c r="Q211" s="7"/>
      <c r="R211" s="8"/>
    </row>
    <row r="212" spans="15:18">
      <c r="O212" s="6"/>
      <c r="P212" s="7"/>
      <c r="Q212" s="7"/>
      <c r="R212" s="8"/>
    </row>
    <row r="213" spans="15:18">
      <c r="O213" s="6"/>
      <c r="P213" s="7"/>
      <c r="Q213" s="7"/>
      <c r="R213" s="8"/>
    </row>
    <row r="214" spans="15:18">
      <c r="O214" s="6"/>
      <c r="P214" s="7"/>
      <c r="Q214" s="7"/>
      <c r="R214" s="8"/>
    </row>
    <row r="215" spans="15:18">
      <c r="O215" s="6"/>
      <c r="P215" s="7"/>
      <c r="Q215" s="7"/>
      <c r="R215" s="8"/>
    </row>
    <row r="216" spans="15:18">
      <c r="O216" s="6"/>
      <c r="P216" s="7"/>
      <c r="Q216" s="7"/>
      <c r="R216" s="8"/>
    </row>
    <row r="217" spans="15:18">
      <c r="O217" s="6"/>
      <c r="P217" s="7"/>
      <c r="Q217" s="7"/>
      <c r="R217" s="8"/>
    </row>
    <row r="218" spans="15:18">
      <c r="O218" s="6"/>
      <c r="P218" s="7"/>
      <c r="Q218" s="7"/>
      <c r="R218" s="8"/>
    </row>
    <row r="219" spans="15:18">
      <c r="O219" s="6"/>
      <c r="P219" s="7"/>
      <c r="Q219" s="7"/>
      <c r="R219" s="8"/>
    </row>
    <row r="220" spans="15:18">
      <c r="O220" s="6"/>
      <c r="P220" s="7"/>
      <c r="Q220" s="7"/>
      <c r="R220" s="8"/>
    </row>
    <row r="221" spans="15:18">
      <c r="O221" s="6"/>
      <c r="P221" s="7"/>
      <c r="Q221" s="7"/>
      <c r="R221" s="8"/>
    </row>
    <row r="222" spans="15:18">
      <c r="O222" s="6"/>
      <c r="P222" s="7"/>
      <c r="Q222" s="7"/>
      <c r="R222" s="8"/>
    </row>
    <row r="223" spans="15:18">
      <c r="O223" s="6"/>
      <c r="P223" s="7"/>
      <c r="Q223" s="7"/>
      <c r="R223" s="8"/>
    </row>
    <row r="224" spans="15:18">
      <c r="O224" s="6"/>
      <c r="P224" s="7"/>
      <c r="Q224" s="7"/>
      <c r="R224" s="8"/>
    </row>
    <row r="225" spans="15:18">
      <c r="O225" s="6"/>
      <c r="P225" s="7"/>
      <c r="Q225" s="7"/>
      <c r="R225" s="8"/>
    </row>
    <row r="226" spans="15:18">
      <c r="O226" s="6"/>
      <c r="P226" s="7"/>
      <c r="Q226" s="7"/>
      <c r="R226" s="8"/>
    </row>
    <row r="227" spans="15:18">
      <c r="O227" s="6"/>
      <c r="P227" s="7"/>
      <c r="Q227" s="7"/>
      <c r="R227" s="8"/>
    </row>
    <row r="228" spans="15:18">
      <c r="O228" s="6"/>
      <c r="P228" s="7"/>
      <c r="Q228" s="7"/>
      <c r="R228" s="8"/>
    </row>
    <row r="229" spans="15:18">
      <c r="O229" s="6"/>
      <c r="P229" s="7"/>
      <c r="Q229" s="7"/>
      <c r="R229" s="8"/>
    </row>
    <row r="230" spans="15:18">
      <c r="O230" s="6"/>
      <c r="P230" s="7"/>
      <c r="Q230" s="7"/>
      <c r="R230" s="8"/>
    </row>
    <row r="231" spans="15:18">
      <c r="O231" s="6"/>
      <c r="P231" s="7"/>
      <c r="Q231" s="7"/>
      <c r="R231" s="8"/>
    </row>
    <row r="232" spans="15:18">
      <c r="O232" s="6"/>
      <c r="P232" s="7"/>
      <c r="Q232" s="7"/>
      <c r="R232" s="8"/>
    </row>
    <row r="233" spans="15:18">
      <c r="O233" s="6"/>
      <c r="P233" s="7"/>
      <c r="Q233" s="7"/>
      <c r="R233" s="8"/>
    </row>
    <row r="234" spans="15:18">
      <c r="O234" s="6"/>
      <c r="P234" s="7"/>
      <c r="Q234" s="7"/>
      <c r="R234" s="8"/>
    </row>
    <row r="235" spans="15:18">
      <c r="O235" s="6"/>
      <c r="P235" s="7"/>
      <c r="Q235" s="7"/>
      <c r="R235" s="8"/>
    </row>
    <row r="236" spans="15:18">
      <c r="O236" s="6"/>
      <c r="P236" s="7"/>
      <c r="Q236" s="7"/>
      <c r="R236" s="8"/>
    </row>
    <row r="237" spans="15:18">
      <c r="O237" s="6"/>
      <c r="P237" s="7"/>
      <c r="Q237" s="7"/>
      <c r="R237" s="8"/>
    </row>
    <row r="238" spans="15:18">
      <c r="O238" s="6"/>
      <c r="P238" s="7"/>
      <c r="Q238" s="7"/>
      <c r="R238" s="8"/>
    </row>
    <row r="239" spans="15:18">
      <c r="O239" s="6"/>
      <c r="P239" s="7"/>
      <c r="Q239" s="7"/>
      <c r="R239" s="8"/>
    </row>
    <row r="240" spans="15:18">
      <c r="O240" s="6"/>
      <c r="P240" s="7"/>
      <c r="Q240" s="7"/>
      <c r="R240" s="8"/>
    </row>
    <row r="241" spans="15:18">
      <c r="O241" s="6"/>
      <c r="P241" s="7"/>
      <c r="Q241" s="7"/>
      <c r="R241" s="8"/>
    </row>
    <row r="242" spans="15:18">
      <c r="O242" s="6"/>
      <c r="P242" s="7"/>
      <c r="Q242" s="7"/>
      <c r="R242" s="8"/>
    </row>
    <row r="243" spans="15:18">
      <c r="O243" s="6"/>
      <c r="P243" s="7"/>
      <c r="Q243" s="7"/>
      <c r="R243" s="8"/>
    </row>
    <row r="244" spans="15:18">
      <c r="O244" s="6"/>
      <c r="P244" s="7"/>
      <c r="Q244" s="7"/>
      <c r="R244" s="8"/>
    </row>
    <row r="245" spans="15:18">
      <c r="O245" s="6"/>
      <c r="P245" s="7"/>
      <c r="Q245" s="7"/>
      <c r="R245" s="8"/>
    </row>
    <row r="246" spans="15:18">
      <c r="O246" s="6"/>
      <c r="P246" s="7"/>
      <c r="Q246" s="7"/>
      <c r="R246" s="8"/>
    </row>
    <row r="247" spans="15:18">
      <c r="O247" s="6"/>
      <c r="P247" s="7"/>
      <c r="Q247" s="7"/>
      <c r="R247" s="8"/>
    </row>
    <row r="248" spans="15:18">
      <c r="O248" s="6"/>
      <c r="P248" s="7"/>
      <c r="Q248" s="7"/>
      <c r="R248" s="8"/>
    </row>
    <row r="249" spans="15:18">
      <c r="O249" s="6"/>
      <c r="P249" s="7"/>
      <c r="Q249" s="7"/>
      <c r="R249" s="8"/>
    </row>
    <row r="250" spans="15:18">
      <c r="O250" s="6"/>
      <c r="P250" s="7"/>
      <c r="Q250" s="7"/>
      <c r="R250" s="8"/>
    </row>
    <row r="251" spans="15:18">
      <c r="O251" s="6"/>
      <c r="P251" s="7"/>
      <c r="Q251" s="7"/>
      <c r="R251" s="8"/>
    </row>
    <row r="252" spans="15:18">
      <c r="O252" s="6"/>
      <c r="P252" s="7"/>
      <c r="Q252" s="7"/>
      <c r="R252" s="8"/>
    </row>
    <row r="253" spans="15:18">
      <c r="O253" s="6"/>
      <c r="P253" s="7"/>
      <c r="Q253" s="7"/>
      <c r="R253" s="8"/>
    </row>
    <row r="254" spans="15:18">
      <c r="O254" s="6"/>
      <c r="P254" s="7"/>
      <c r="Q254" s="7"/>
      <c r="R254" s="8"/>
    </row>
    <row r="255" spans="15:18">
      <c r="O255" s="6"/>
      <c r="P255" s="7"/>
      <c r="Q255" s="7"/>
      <c r="R255" s="8"/>
    </row>
    <row r="256" spans="15:18">
      <c r="O256" s="6"/>
      <c r="P256" s="7"/>
      <c r="Q256" s="7"/>
      <c r="R256" s="8"/>
    </row>
    <row r="257" spans="15:18">
      <c r="O257" s="6"/>
      <c r="P257" s="7"/>
      <c r="Q257" s="7"/>
      <c r="R257" s="8"/>
    </row>
    <row r="258" spans="15:18">
      <c r="O258" s="6"/>
      <c r="P258" s="7"/>
      <c r="Q258" s="7"/>
      <c r="R258" s="8"/>
    </row>
    <row r="259" spans="15:18">
      <c r="O259" s="6"/>
      <c r="P259" s="7"/>
      <c r="Q259" s="7"/>
      <c r="R259" s="8"/>
    </row>
    <row r="260" spans="15:18">
      <c r="O260" s="6"/>
      <c r="P260" s="7"/>
      <c r="Q260" s="7"/>
      <c r="R260" s="8"/>
    </row>
    <row r="261" spans="15:18">
      <c r="O261" s="6"/>
      <c r="P261" s="7"/>
      <c r="Q261" s="7"/>
      <c r="R261" s="8"/>
    </row>
    <row r="262" spans="15:18">
      <c r="O262" s="6"/>
      <c r="P262" s="7"/>
      <c r="Q262" s="7"/>
      <c r="R262" s="8"/>
    </row>
    <row r="263" spans="15:18">
      <c r="O263" s="6"/>
      <c r="P263" s="7"/>
      <c r="Q263" s="7"/>
      <c r="R263" s="8"/>
    </row>
    <row r="264" spans="15:18">
      <c r="O264" s="6"/>
      <c r="P264" s="7"/>
      <c r="Q264" s="7"/>
      <c r="R264" s="8"/>
    </row>
    <row r="265" spans="15:18">
      <c r="O265" s="6"/>
      <c r="P265" s="7"/>
      <c r="Q265" s="7"/>
      <c r="R265" s="8"/>
    </row>
    <row r="266" spans="15:18">
      <c r="O266" s="6"/>
      <c r="P266" s="7"/>
      <c r="Q266" s="7"/>
      <c r="R266" s="8"/>
    </row>
    <row r="267" spans="15:18">
      <c r="O267" s="6"/>
      <c r="P267" s="7"/>
      <c r="Q267" s="7"/>
      <c r="R267" s="8"/>
    </row>
    <row r="268" spans="15:18">
      <c r="O268" s="6"/>
      <c r="P268" s="7"/>
      <c r="Q268" s="7"/>
      <c r="R268" s="8"/>
    </row>
    <row r="269" spans="15:18">
      <c r="O269" s="6"/>
      <c r="P269" s="7"/>
      <c r="Q269" s="7"/>
      <c r="R269" s="8"/>
    </row>
    <row r="270" spans="15:18">
      <c r="O270" s="6"/>
      <c r="P270" s="7"/>
      <c r="Q270" s="7"/>
      <c r="R270" s="8"/>
    </row>
    <row r="271" spans="15:18">
      <c r="O271" s="6"/>
      <c r="P271" s="7"/>
      <c r="Q271" s="7"/>
      <c r="R271" s="8"/>
    </row>
    <row r="272" spans="15:18">
      <c r="O272" s="6"/>
      <c r="P272" s="7"/>
      <c r="Q272" s="7"/>
      <c r="R272" s="8"/>
    </row>
    <row r="273" spans="15:18">
      <c r="O273" s="6"/>
      <c r="P273" s="7"/>
      <c r="Q273" s="7"/>
      <c r="R273" s="8"/>
    </row>
    <row r="274" spans="15:18">
      <c r="O274" s="6"/>
      <c r="P274" s="7"/>
      <c r="Q274" s="7"/>
      <c r="R274" s="8"/>
    </row>
    <row r="275" spans="15:18">
      <c r="O275" s="6"/>
      <c r="P275" s="7"/>
      <c r="Q275" s="7"/>
      <c r="R275" s="8"/>
    </row>
    <row r="276" spans="15:18">
      <c r="O276" s="6"/>
      <c r="P276" s="7"/>
      <c r="Q276" s="7"/>
      <c r="R276" s="8"/>
    </row>
    <row r="277" spans="15:18">
      <c r="O277" s="6"/>
      <c r="P277" s="7"/>
      <c r="Q277" s="7"/>
      <c r="R277" s="8"/>
    </row>
    <row r="278" spans="15:18">
      <c r="O278" s="6"/>
      <c r="P278" s="7"/>
      <c r="Q278" s="7"/>
      <c r="R278" s="8"/>
    </row>
    <row r="279" spans="15:18">
      <c r="O279" s="6"/>
      <c r="P279" s="7"/>
      <c r="Q279" s="7"/>
      <c r="R279" s="8"/>
    </row>
    <row r="280" spans="15:18">
      <c r="O280" s="6"/>
      <c r="P280" s="7"/>
      <c r="Q280" s="7"/>
      <c r="R280" s="8"/>
    </row>
    <row r="281" spans="15:18">
      <c r="O281" s="6"/>
      <c r="P281" s="7"/>
      <c r="Q281" s="7"/>
      <c r="R281" s="8"/>
    </row>
    <row r="282" spans="15:18">
      <c r="O282" s="6"/>
      <c r="P282" s="7"/>
      <c r="Q282" s="7"/>
      <c r="R282" s="8"/>
    </row>
    <row r="283" spans="15:18">
      <c r="O283" s="6"/>
      <c r="P283" s="7"/>
      <c r="Q283" s="7"/>
      <c r="R283" s="8"/>
    </row>
    <row r="284" spans="15:18">
      <c r="O284" s="6"/>
      <c r="P284" s="7"/>
      <c r="Q284" s="7"/>
      <c r="R284" s="8"/>
    </row>
    <row r="285" spans="15:18">
      <c r="O285" s="6"/>
      <c r="P285" s="7"/>
      <c r="Q285" s="7"/>
      <c r="R285" s="8"/>
    </row>
    <row r="286" spans="15:18">
      <c r="O286" s="6"/>
      <c r="P286" s="7"/>
      <c r="Q286" s="7"/>
      <c r="R286" s="8"/>
    </row>
    <row r="287" spans="15:18">
      <c r="O287" s="6"/>
      <c r="P287" s="7"/>
      <c r="Q287" s="7"/>
      <c r="R287" s="8"/>
    </row>
    <row r="288" spans="15:18">
      <c r="O288" s="6"/>
      <c r="P288" s="7"/>
      <c r="Q288" s="7"/>
      <c r="R288" s="8"/>
    </row>
    <row r="289" spans="15:18">
      <c r="O289" s="6"/>
      <c r="P289" s="7"/>
      <c r="Q289" s="7"/>
      <c r="R289" s="8"/>
    </row>
    <row r="290" spans="15:18">
      <c r="O290" s="6"/>
      <c r="P290" s="7"/>
      <c r="Q290" s="7"/>
      <c r="R290" s="8"/>
    </row>
    <row r="291" spans="15:18">
      <c r="O291" s="6"/>
      <c r="P291" s="7"/>
      <c r="Q291" s="7"/>
      <c r="R291" s="8"/>
    </row>
    <row r="292" spans="15:18">
      <c r="O292" s="6"/>
      <c r="P292" s="7"/>
      <c r="Q292" s="7"/>
      <c r="R292" s="8"/>
    </row>
    <row r="293" spans="15:18">
      <c r="O293" s="6"/>
      <c r="P293" s="7"/>
      <c r="Q293" s="7"/>
      <c r="R293" s="8"/>
    </row>
    <row r="294" spans="15:18">
      <c r="O294" s="6"/>
      <c r="P294" s="7"/>
      <c r="Q294" s="7"/>
      <c r="R294" s="8"/>
    </row>
    <row r="295" spans="15:18">
      <c r="O295" s="6"/>
      <c r="P295" s="7"/>
      <c r="Q295" s="7"/>
      <c r="R295" s="8"/>
    </row>
    <row r="296" spans="15:18">
      <c r="O296" s="6"/>
      <c r="P296" s="7"/>
      <c r="Q296" s="7"/>
      <c r="R296" s="8"/>
    </row>
    <row r="297" spans="15:18">
      <c r="O297" s="6"/>
      <c r="P297" s="7"/>
      <c r="Q297" s="7"/>
      <c r="R297" s="8"/>
    </row>
    <row r="298" spans="15:18">
      <c r="O298" s="6"/>
      <c r="P298" s="7"/>
      <c r="Q298" s="7"/>
      <c r="R298" s="8"/>
    </row>
    <row r="299" spans="15:18">
      <c r="O299" s="6"/>
      <c r="P299" s="7"/>
      <c r="Q299" s="7"/>
      <c r="R299" s="8"/>
    </row>
    <row r="300" spans="15:18">
      <c r="O300" s="6"/>
      <c r="P300" s="7"/>
      <c r="Q300" s="7"/>
      <c r="R300" s="8"/>
    </row>
    <row r="301" spans="15:18">
      <c r="O301" s="6"/>
      <c r="P301" s="7"/>
      <c r="Q301" s="7"/>
      <c r="R301" s="8"/>
    </row>
    <row r="302" spans="15:18">
      <c r="O302" s="6"/>
      <c r="P302" s="7"/>
      <c r="Q302" s="7"/>
      <c r="R302" s="8"/>
    </row>
    <row r="303" spans="15:18">
      <c r="O303" s="6"/>
      <c r="P303" s="7"/>
      <c r="Q303" s="7"/>
      <c r="R303" s="8"/>
    </row>
    <row r="304" spans="15:18">
      <c r="O304" s="6"/>
      <c r="P304" s="7"/>
      <c r="Q304" s="7"/>
      <c r="R304" s="8"/>
    </row>
    <row r="305" spans="15:18">
      <c r="O305" s="6"/>
      <c r="P305" s="7"/>
      <c r="Q305" s="7"/>
      <c r="R305" s="8"/>
    </row>
    <row r="306" spans="15:18">
      <c r="O306" s="6"/>
      <c r="P306" s="7"/>
      <c r="Q306" s="7"/>
      <c r="R306" s="8"/>
    </row>
    <row r="307" spans="15:18">
      <c r="O307" s="6"/>
      <c r="P307" s="7"/>
      <c r="Q307" s="7"/>
      <c r="R307" s="8"/>
    </row>
    <row r="308" spans="15:18">
      <c r="O308" s="6"/>
      <c r="P308" s="7"/>
      <c r="Q308" s="7"/>
      <c r="R308" s="8"/>
    </row>
    <row r="309" spans="15:18">
      <c r="O309" s="6"/>
      <c r="P309" s="7"/>
      <c r="Q309" s="7"/>
      <c r="R309" s="8"/>
    </row>
    <row r="310" spans="15:18">
      <c r="O310" s="6"/>
      <c r="P310" s="7"/>
      <c r="Q310" s="7"/>
      <c r="R310" s="8"/>
    </row>
    <row r="311" spans="15:18">
      <c r="O311" s="6"/>
      <c r="P311" s="7"/>
      <c r="Q311" s="7"/>
      <c r="R311" s="8"/>
    </row>
    <row r="312" spans="15:18">
      <c r="O312" s="6"/>
      <c r="P312" s="7"/>
      <c r="Q312" s="7"/>
      <c r="R312" s="8"/>
    </row>
    <row r="313" spans="15:18">
      <c r="O313" s="6"/>
      <c r="P313" s="7"/>
      <c r="Q313" s="7"/>
      <c r="R313" s="8"/>
    </row>
    <row r="314" spans="15:18">
      <c r="O314" s="6"/>
      <c r="P314" s="7"/>
      <c r="Q314" s="7"/>
      <c r="R314" s="8"/>
    </row>
    <row r="315" spans="15:18">
      <c r="O315" s="6"/>
      <c r="P315" s="7"/>
      <c r="Q315" s="7"/>
      <c r="R315" s="8"/>
    </row>
    <row r="316" spans="15:18">
      <c r="O316" s="6"/>
      <c r="P316" s="7"/>
      <c r="Q316" s="7"/>
      <c r="R316" s="8"/>
    </row>
    <row r="317" spans="15:18">
      <c r="O317" s="6"/>
      <c r="P317" s="7"/>
      <c r="Q317" s="7"/>
      <c r="R317" s="8"/>
    </row>
    <row r="318" spans="15:18">
      <c r="O318" s="6"/>
      <c r="P318" s="7"/>
      <c r="Q318" s="7"/>
      <c r="R318" s="8"/>
    </row>
    <row r="319" spans="15:18">
      <c r="O319" s="6"/>
      <c r="P319" s="7"/>
      <c r="Q319" s="7"/>
      <c r="R319" s="8"/>
    </row>
    <row r="320" spans="15:18">
      <c r="O320" s="6"/>
      <c r="P320" s="7"/>
      <c r="Q320" s="7"/>
      <c r="R320" s="8"/>
    </row>
    <row r="321" spans="15:18">
      <c r="O321" s="6"/>
      <c r="P321" s="7"/>
      <c r="Q321" s="7"/>
      <c r="R321" s="8"/>
    </row>
    <row r="322" spans="15:18">
      <c r="O322" s="6"/>
      <c r="P322" s="7"/>
      <c r="Q322" s="7"/>
      <c r="R322" s="8"/>
    </row>
    <row r="323" spans="15:18">
      <c r="O323" s="6"/>
      <c r="P323" s="7"/>
      <c r="Q323" s="7"/>
      <c r="R323" s="8"/>
    </row>
    <row r="324" spans="15:18">
      <c r="O324" s="6"/>
      <c r="P324" s="7"/>
      <c r="Q324" s="7"/>
      <c r="R324" s="8"/>
    </row>
    <row r="325" spans="15:18">
      <c r="O325" s="6"/>
      <c r="P325" s="7"/>
      <c r="Q325" s="7"/>
      <c r="R325" s="8"/>
    </row>
    <row r="326" spans="15:18">
      <c r="O326" s="6"/>
      <c r="P326" s="7"/>
      <c r="Q326" s="7"/>
      <c r="R326" s="8"/>
    </row>
    <row r="327" spans="15:18">
      <c r="O327" s="6"/>
      <c r="P327" s="7"/>
      <c r="Q327" s="7"/>
      <c r="R327" s="8"/>
    </row>
    <row r="328" spans="15:18">
      <c r="O328" s="6"/>
      <c r="P328" s="7"/>
      <c r="Q328" s="7"/>
      <c r="R328" s="8"/>
    </row>
    <row r="329" spans="15:18">
      <c r="O329" s="6"/>
      <c r="P329" s="7"/>
      <c r="Q329" s="7"/>
      <c r="R329" s="8"/>
    </row>
    <row r="330" spans="15:18">
      <c r="O330" s="6"/>
      <c r="P330" s="7"/>
      <c r="Q330" s="7"/>
      <c r="R330" s="8"/>
    </row>
    <row r="331" spans="15:18">
      <c r="O331" s="6"/>
      <c r="P331" s="7"/>
      <c r="Q331" s="7"/>
      <c r="R331" s="8"/>
    </row>
    <row r="332" spans="15:18">
      <c r="O332" s="6"/>
      <c r="P332" s="7"/>
      <c r="Q332" s="7"/>
      <c r="R332" s="8"/>
    </row>
    <row r="333" spans="15:18">
      <c r="O333" s="6"/>
      <c r="P333" s="7"/>
      <c r="Q333" s="7"/>
      <c r="R333" s="8"/>
    </row>
    <row r="334" spans="15:18">
      <c r="O334" s="6"/>
      <c r="P334" s="7"/>
      <c r="Q334" s="7"/>
      <c r="R334" s="8"/>
    </row>
    <row r="335" spans="15:18">
      <c r="O335" s="6"/>
      <c r="P335" s="7"/>
      <c r="Q335" s="7"/>
      <c r="R335" s="8"/>
    </row>
    <row r="336" spans="15:18">
      <c r="O336" s="6"/>
      <c r="P336" s="7"/>
      <c r="Q336" s="7"/>
      <c r="R336" s="8"/>
    </row>
    <row r="337" spans="15:18">
      <c r="O337" s="6"/>
      <c r="P337" s="7"/>
      <c r="Q337" s="7"/>
      <c r="R337" s="8"/>
    </row>
    <row r="338" spans="15:18">
      <c r="O338" s="6"/>
      <c r="P338" s="7"/>
      <c r="Q338" s="7"/>
      <c r="R338" s="8"/>
    </row>
    <row r="339" spans="15:18">
      <c r="O339" s="6"/>
      <c r="P339" s="7"/>
      <c r="Q339" s="7"/>
      <c r="R339" s="8"/>
    </row>
    <row r="340" spans="15:18">
      <c r="O340" s="6"/>
      <c r="P340" s="7"/>
      <c r="Q340" s="7"/>
      <c r="R340" s="8"/>
    </row>
    <row r="341" spans="15:18">
      <c r="O341" s="6"/>
      <c r="P341" s="7"/>
      <c r="Q341" s="7"/>
      <c r="R341" s="8"/>
    </row>
    <row r="342" spans="15:18">
      <c r="O342" s="6"/>
      <c r="P342" s="7"/>
      <c r="Q342" s="7"/>
      <c r="R342" s="8"/>
    </row>
    <row r="343" spans="15:18">
      <c r="O343" s="6"/>
      <c r="P343" s="7"/>
      <c r="Q343" s="7"/>
      <c r="R343" s="8"/>
    </row>
    <row r="344" spans="15:18">
      <c r="O344" s="6"/>
      <c r="P344" s="7"/>
      <c r="Q344" s="7"/>
      <c r="R344" s="8"/>
    </row>
    <row r="345" spans="15:18">
      <c r="O345" s="6"/>
      <c r="P345" s="7"/>
      <c r="Q345" s="7"/>
      <c r="R345" s="8"/>
    </row>
    <row r="346" spans="15:18">
      <c r="O346" s="6"/>
      <c r="P346" s="7"/>
      <c r="Q346" s="7"/>
      <c r="R346" s="8"/>
    </row>
    <row r="347" spans="15:18">
      <c r="O347" s="6"/>
      <c r="P347" s="7"/>
      <c r="Q347" s="7"/>
      <c r="R347" s="8"/>
    </row>
    <row r="348" spans="15:18">
      <c r="O348" s="6"/>
      <c r="P348" s="7"/>
      <c r="Q348" s="7"/>
      <c r="R348" s="8"/>
    </row>
    <row r="349" spans="15:18">
      <c r="O349" s="6"/>
      <c r="P349" s="7"/>
      <c r="Q349" s="7"/>
      <c r="R349" s="8"/>
    </row>
    <row r="350" spans="15:18">
      <c r="O350" s="6"/>
      <c r="P350" s="7"/>
      <c r="Q350" s="7"/>
      <c r="R350" s="8"/>
    </row>
    <row r="351" spans="15:18">
      <c r="O351" s="6"/>
      <c r="P351" s="7"/>
      <c r="Q351" s="7"/>
      <c r="R351" s="8"/>
    </row>
    <row r="352" spans="15:18">
      <c r="O352" s="6"/>
      <c r="P352" s="7"/>
      <c r="Q352" s="7"/>
      <c r="R352" s="8"/>
    </row>
    <row r="353" spans="15:18">
      <c r="O353" s="6"/>
      <c r="P353" s="7"/>
      <c r="Q353" s="7"/>
      <c r="R353" s="8"/>
    </row>
    <row r="354" spans="15:18">
      <c r="O354" s="6"/>
      <c r="P354" s="7"/>
      <c r="Q354" s="7"/>
      <c r="R354" s="8"/>
    </row>
    <row r="355" spans="15:18">
      <c r="O355" s="6"/>
      <c r="P355" s="7"/>
      <c r="Q355" s="7"/>
      <c r="R355" s="8"/>
    </row>
    <row r="356" spans="15:18">
      <c r="O356" s="6"/>
      <c r="P356" s="7"/>
      <c r="Q356" s="7"/>
      <c r="R356" s="8"/>
    </row>
    <row r="357" spans="15:18">
      <c r="O357" s="6"/>
      <c r="P357" s="7"/>
      <c r="Q357" s="7"/>
      <c r="R357" s="8"/>
    </row>
    <row r="358" spans="15:18">
      <c r="O358" s="6"/>
      <c r="P358" s="7"/>
      <c r="Q358" s="7"/>
      <c r="R358" s="8"/>
    </row>
    <row r="359" spans="15:18">
      <c r="O359" s="6"/>
      <c r="P359" s="7"/>
      <c r="Q359" s="7"/>
      <c r="R359" s="8"/>
    </row>
    <row r="360" spans="15:18">
      <c r="O360" s="6"/>
      <c r="P360" s="7"/>
      <c r="Q360" s="7"/>
      <c r="R360" s="8"/>
    </row>
    <row r="361" spans="15:18">
      <c r="O361" s="6"/>
      <c r="P361" s="7"/>
      <c r="Q361" s="7"/>
      <c r="R361" s="8"/>
    </row>
    <row r="362" spans="15:18">
      <c r="O362" s="6"/>
      <c r="P362" s="7"/>
      <c r="Q362" s="7"/>
      <c r="R362" s="8"/>
    </row>
    <row r="363" spans="15:18">
      <c r="O363" s="6"/>
      <c r="P363" s="7"/>
      <c r="Q363" s="7"/>
      <c r="R363" s="8"/>
    </row>
    <row r="364" spans="15:18">
      <c r="O364" s="6"/>
      <c r="P364" s="7"/>
      <c r="Q364" s="7"/>
      <c r="R364" s="8"/>
    </row>
    <row r="365" spans="15:18">
      <c r="O365" s="6"/>
      <c r="P365" s="7"/>
      <c r="Q365" s="7"/>
      <c r="R365" s="8"/>
    </row>
    <row r="366" spans="15:18">
      <c r="O366" s="6"/>
      <c r="P366" s="7"/>
      <c r="Q366" s="7"/>
      <c r="R366" s="8"/>
    </row>
    <row r="367" spans="15:18">
      <c r="O367" s="7"/>
      <c r="P367" s="7"/>
      <c r="Q367" s="7"/>
      <c r="R367" s="7"/>
    </row>
    <row r="368" spans="15:18">
      <c r="O368" s="7"/>
      <c r="P368" s="7"/>
      <c r="Q368" s="7"/>
      <c r="R368" s="7"/>
    </row>
  </sheetData>
  <dataConsolidate/>
  <mergeCells count="230">
    <mergeCell ref="B113:E113"/>
    <mergeCell ref="B120:E121"/>
    <mergeCell ref="F120:F121"/>
    <mergeCell ref="G120:G121"/>
    <mergeCell ref="H120:H121"/>
    <mergeCell ref="I120:L121"/>
    <mergeCell ref="B114:E115"/>
    <mergeCell ref="H114:H115"/>
    <mergeCell ref="B116:E117"/>
    <mergeCell ref="I116:L117"/>
    <mergeCell ref="F116:F117"/>
    <mergeCell ref="G116:G117"/>
    <mergeCell ref="B118:E119"/>
    <mergeCell ref="I118:L119"/>
    <mergeCell ref="F118:F119"/>
    <mergeCell ref="G118:G119"/>
    <mergeCell ref="H116:H117"/>
    <mergeCell ref="H118:H119"/>
    <mergeCell ref="I114:L115"/>
    <mergeCell ref="F114:F115"/>
    <mergeCell ref="G114:G115"/>
    <mergeCell ref="BE6:BE8"/>
    <mergeCell ref="BC9:BD9"/>
    <mergeCell ref="BC10:BD10"/>
    <mergeCell ref="BC11:BD11"/>
    <mergeCell ref="BG6:BG8"/>
    <mergeCell ref="F96:F97"/>
    <mergeCell ref="G96:G97"/>
    <mergeCell ref="H96:H97"/>
    <mergeCell ref="I64:L64"/>
    <mergeCell ref="BC6:BD8"/>
    <mergeCell ref="G54:G55"/>
    <mergeCell ref="H54:H55"/>
    <mergeCell ref="I54:L55"/>
    <mergeCell ref="F17:F18"/>
    <mergeCell ref="G17:G18"/>
    <mergeCell ref="I21:L21"/>
    <mergeCell ref="I88:L88"/>
    <mergeCell ref="BA6:BA8"/>
    <mergeCell ref="AJ6:AU6"/>
    <mergeCell ref="B8:E8"/>
    <mergeCell ref="B9:E9"/>
    <mergeCell ref="B10:E10"/>
    <mergeCell ref="B11:E11"/>
    <mergeCell ref="I80:L80"/>
    <mergeCell ref="I81:L81"/>
    <mergeCell ref="B69:E70"/>
    <mergeCell ref="F67:F68"/>
    <mergeCell ref="F69:F70"/>
    <mergeCell ref="G67:G68"/>
    <mergeCell ref="G69:G70"/>
    <mergeCell ref="H67:H68"/>
    <mergeCell ref="H69:H70"/>
    <mergeCell ref="I67:L68"/>
    <mergeCell ref="I69:L70"/>
    <mergeCell ref="B54:E55"/>
    <mergeCell ref="F54:F55"/>
    <mergeCell ref="BI6:BI8"/>
    <mergeCell ref="BH6:BH8"/>
    <mergeCell ref="B109:E111"/>
    <mergeCell ref="I109:L111"/>
    <mergeCell ref="F109:F111"/>
    <mergeCell ref="G109:G111"/>
    <mergeCell ref="H109:H111"/>
    <mergeCell ref="G98:G99"/>
    <mergeCell ref="H98:H99"/>
    <mergeCell ref="I98:L99"/>
    <mergeCell ref="B56:E57"/>
    <mergeCell ref="F56:F57"/>
    <mergeCell ref="G56:G57"/>
    <mergeCell ref="H56:H57"/>
    <mergeCell ref="I56:L57"/>
    <mergeCell ref="B53:E53"/>
    <mergeCell ref="I51:L51"/>
    <mergeCell ref="I52:L52"/>
    <mergeCell ref="I102:L102"/>
    <mergeCell ref="B94:E95"/>
    <mergeCell ref="B96:E97"/>
    <mergeCell ref="B100:E100"/>
    <mergeCell ref="B101:E101"/>
    <mergeCell ref="B102:E102"/>
    <mergeCell ref="B62:E63"/>
    <mergeCell ref="F62:F63"/>
    <mergeCell ref="G62:G63"/>
    <mergeCell ref="H62:H63"/>
    <mergeCell ref="I62:L63"/>
    <mergeCell ref="B67:E68"/>
    <mergeCell ref="B58:E59"/>
    <mergeCell ref="F58:F59"/>
    <mergeCell ref="G58:G59"/>
    <mergeCell ref="H58:H59"/>
    <mergeCell ref="I58:L59"/>
    <mergeCell ref="B60:E61"/>
    <mergeCell ref="F60:F61"/>
    <mergeCell ref="G60:G61"/>
    <mergeCell ref="H60:H61"/>
    <mergeCell ref="I60:L61"/>
    <mergeCell ref="B64:E64"/>
    <mergeCell ref="B34:E34"/>
    <mergeCell ref="F19:F20"/>
    <mergeCell ref="B26:E26"/>
    <mergeCell ref="B27:E27"/>
    <mergeCell ref="B28:E28"/>
    <mergeCell ref="B23:E23"/>
    <mergeCell ref="B19:E20"/>
    <mergeCell ref="B21:E21"/>
    <mergeCell ref="B22:E22"/>
    <mergeCell ref="B24:E24"/>
    <mergeCell ref="B25:E25"/>
    <mergeCell ref="B33:E33"/>
    <mergeCell ref="B76:E77"/>
    <mergeCell ref="F76:F77"/>
    <mergeCell ref="G76:G77"/>
    <mergeCell ref="H76:H77"/>
    <mergeCell ref="I76:L77"/>
    <mergeCell ref="H86:H87"/>
    <mergeCell ref="I86:L87"/>
    <mergeCell ref="I84:L84"/>
    <mergeCell ref="B84:E84"/>
    <mergeCell ref="B85:E85"/>
    <mergeCell ref="B86:E87"/>
    <mergeCell ref="F86:F87"/>
    <mergeCell ref="G86:G87"/>
    <mergeCell ref="B82:E83"/>
    <mergeCell ref="F82:F83"/>
    <mergeCell ref="G82:G83"/>
    <mergeCell ref="H82:H83"/>
    <mergeCell ref="I82:L83"/>
    <mergeCell ref="B72:E72"/>
    <mergeCell ref="B37:E37"/>
    <mergeCell ref="F37:H37"/>
    <mergeCell ref="B52:E52"/>
    <mergeCell ref="B51:E51"/>
    <mergeCell ref="B42:E42"/>
    <mergeCell ref="F38:H38"/>
    <mergeCell ref="B43:E43"/>
    <mergeCell ref="B44:E44"/>
    <mergeCell ref="B45:E45"/>
    <mergeCell ref="B46:E46"/>
    <mergeCell ref="B39:E39"/>
    <mergeCell ref="B50:I50"/>
    <mergeCell ref="B47:E47"/>
    <mergeCell ref="B48:E48"/>
    <mergeCell ref="B38:E38"/>
    <mergeCell ref="B40:E40"/>
    <mergeCell ref="B41:E41"/>
    <mergeCell ref="F39:H39"/>
    <mergeCell ref="B65:E66"/>
    <mergeCell ref="F65:F66"/>
    <mergeCell ref="G65:G66"/>
    <mergeCell ref="H65:H66"/>
    <mergeCell ref="I65:L66"/>
    <mergeCell ref="O131:P131"/>
    <mergeCell ref="E132:I132"/>
    <mergeCell ref="E133:I133"/>
    <mergeCell ref="N123:S123"/>
    <mergeCell ref="B124:E124"/>
    <mergeCell ref="B125:E125"/>
    <mergeCell ref="E127:I127"/>
    <mergeCell ref="E128:I128"/>
    <mergeCell ref="E129:I129"/>
    <mergeCell ref="B122:E123"/>
    <mergeCell ref="F122:F123"/>
    <mergeCell ref="G122:G123"/>
    <mergeCell ref="H122:H123"/>
    <mergeCell ref="I122:L123"/>
    <mergeCell ref="B112:E112"/>
    <mergeCell ref="B107:E107"/>
    <mergeCell ref="N107:S107"/>
    <mergeCell ref="B104:E104"/>
    <mergeCell ref="F94:F95"/>
    <mergeCell ref="G94:G95"/>
    <mergeCell ref="H94:H95"/>
    <mergeCell ref="I94:L95"/>
    <mergeCell ref="B98:E99"/>
    <mergeCell ref="F98:F99"/>
    <mergeCell ref="B108:E108"/>
    <mergeCell ref="B105:I105"/>
    <mergeCell ref="B106:E106"/>
    <mergeCell ref="I106:L106"/>
    <mergeCell ref="I107:L107"/>
    <mergeCell ref="I112:L112"/>
    <mergeCell ref="E135:I135"/>
    <mergeCell ref="E134:I134"/>
    <mergeCell ref="E130:I130"/>
    <mergeCell ref="E131:I131"/>
    <mergeCell ref="I72:L72"/>
    <mergeCell ref="B73:E73"/>
    <mergeCell ref="I73:L73"/>
    <mergeCell ref="B74:E75"/>
    <mergeCell ref="F74:F75"/>
    <mergeCell ref="G74:G75"/>
    <mergeCell ref="H74:H75"/>
    <mergeCell ref="I74:L75"/>
    <mergeCell ref="B80:E80"/>
    <mergeCell ref="B81:E81"/>
    <mergeCell ref="I90:L90"/>
    <mergeCell ref="I93:L93"/>
    <mergeCell ref="B90:E90"/>
    <mergeCell ref="B93:E93"/>
    <mergeCell ref="B91:E91"/>
    <mergeCell ref="B92:E92"/>
    <mergeCell ref="I85:L85"/>
    <mergeCell ref="I96:L97"/>
    <mergeCell ref="I100:L100"/>
    <mergeCell ref="I101:L101"/>
    <mergeCell ref="B88:E88"/>
    <mergeCell ref="AW6:AY8"/>
    <mergeCell ref="B15:E15"/>
    <mergeCell ref="B16:E16"/>
    <mergeCell ref="AH6:AH8"/>
    <mergeCell ref="G19:G20"/>
    <mergeCell ref="AH10:AH12"/>
    <mergeCell ref="B17:E18"/>
    <mergeCell ref="B36:I36"/>
    <mergeCell ref="AN8:AO8"/>
    <mergeCell ref="AR8:AS8"/>
    <mergeCell ref="AJ7:AM7"/>
    <mergeCell ref="AN7:AQ7"/>
    <mergeCell ref="AR7:AU7"/>
    <mergeCell ref="AB6:AD8"/>
    <mergeCell ref="AE6:AG8"/>
    <mergeCell ref="O36:R36"/>
    <mergeCell ref="B12:E12"/>
    <mergeCell ref="V6:V7"/>
    <mergeCell ref="W6:W7"/>
    <mergeCell ref="Y6:Z8"/>
    <mergeCell ref="AA6:AA8"/>
    <mergeCell ref="B31:E31"/>
    <mergeCell ref="B32:E32"/>
  </mergeCells>
  <dataValidations count="22">
    <dataValidation type="decimal" allowBlank="1" showInputMessage="1" showErrorMessage="1" error="Ingrese un valor de espacio entre placas entre 5 y 6 centímetros" prompt="Ingrese un valor de espacio entre placas entre 5 y 6 centímetros" sqref="G48" xr:uid="{00000000-0002-0000-0300-000000000000}">
      <formula1>5</formula1>
      <formula2>6</formula2>
    </dataValidation>
    <dataValidation type="list" allowBlank="1" showInputMessage="1" showErrorMessage="1" error="Seleccione tipo de celda o módulo del sedimentador de alta tasa" sqref="F38:H38" xr:uid="{00000000-0002-0000-0300-000001000000}">
      <formula1>$Y$9:$Y$12</formula1>
    </dataValidation>
    <dataValidation type="list" allowBlank="1" showInputMessage="1" showErrorMessage="1" error="Seleccione_x000a_ un número de módulos entre 2 y 10" prompt="Introduzca un número de módulos entre 2 y 10" sqref="G45" xr:uid="{00000000-0002-0000-0300-000002000000}">
      <formula1>$BA$9:$BA$16</formula1>
    </dataValidation>
    <dataValidation type="decimal" allowBlank="1" showInputMessage="1" showErrorMessage="1" error="Ingrese un valor correcto para k1" sqref="G8" xr:uid="{00000000-0002-0000-0300-000003000000}">
      <formula1>1</formula1>
      <formula2>1.3</formula2>
    </dataValidation>
    <dataValidation type="decimal" allowBlank="1" showInputMessage="1" showErrorMessage="1" error="Ingrese un valor correcto para k2" sqref="G9" xr:uid="{00000000-0002-0000-0300-000004000000}">
      <formula1>1</formula1>
      <formula2>1.6</formula2>
    </dataValidation>
    <dataValidation type="decimal" allowBlank="1" showInputMessage="1" showErrorMessage="1" error="Rango de caudal: 0,01 - 0,50 m3/s " sqref="G10" xr:uid="{00000000-0002-0000-0300-000005000000}">
      <formula1>0.01</formula1>
      <formula2>0.2</formula2>
    </dataValidation>
    <dataValidation allowBlank="1" showInputMessage="1" showErrorMessage="1" error="Seleccione tipo de celda o módulo del sedimentador de alta tasa" sqref="F40:F41 H40:H41 G41" xr:uid="{00000000-0002-0000-0300-000006000000}"/>
    <dataValidation type="list" allowBlank="1" showInputMessage="1" showErrorMessage="1" sqref="AA15:AD15" xr:uid="{00000000-0002-0000-0300-00000B000000}">
      <formula1>Material</formula1>
    </dataValidation>
    <dataValidation type="list" allowBlank="1" showInputMessage="1" showErrorMessage="1" error="Seleccione material de celda o módulo del sedimentador de alta tasa" sqref="F39:H39" xr:uid="{00000000-0002-0000-0300-00000C000000}">
      <formula1>IF(F38=$Y$9,$AB$9,IF(F38=$Y$10,$AB$10:$AD$10,IF(F38=$Y$11,$AB$11:$AC$11,IF(F38=$Y$12,$AB$12:$AC$12))))</formula1>
    </dataValidation>
    <dataValidation type="list" allowBlank="1" showInputMessage="1" showErrorMessage="1" error="Seleccione tipo de floc" sqref="F37:H37" xr:uid="{4544580B-31B1-4D04-A7E0-AC0CE9E6B35E}">
      <formula1>$AW$9:$AW$11</formula1>
    </dataValidation>
    <dataValidation type="list" allowBlank="1" showInputMessage="1" showErrorMessage="1" error="Seleccione dimensiones de celda o módulo del sedimentador de alta tasa" sqref="G40" xr:uid="{90C0D32B-FE51-4506-B5E5-B70053139DF3}">
      <formula1>IF($AH$10=$AE$10,$AL$9:$AL$12,IF($AH$10=$AF$10,$AL$13:$AL$22,IF($AH$10=$AG$10,$AL$23:$AL$26,IF($AH$10=$AE$11,$AP$9:$AP$18,IF($AH$10=$AF$11,$AP$19:$AP$28,IF($AH$10=$AE$12,$AT$9:$AT$12,IF($AH$10=$AF$12,$AT$13:$AT$16)))))))</formula1>
    </dataValidation>
    <dataValidation type="whole" allowBlank="1" showInputMessage="1" showErrorMessage="1" error="Ángulo de inclinación = 60°" sqref="G42" xr:uid="{842035B0-A768-42AF-9B66-22D7316FAF4F}">
      <formula1>60</formula1>
      <formula2>60</formula2>
    </dataValidation>
    <dataValidation type="decimal" allowBlank="1" showInputMessage="1" showErrorMessage="1" error="Ingrese un un valor de longitud de módulo entre 2 y 12 m" prompt="Ingrese un valor de longitud de módulo entre 2 y 12 m" sqref="G51" xr:uid="{6C11367F-FF8D-4069-883B-535083E77860}">
      <formula1>2</formula1>
      <formula2>12</formula2>
    </dataValidation>
    <dataValidation type="decimal" allowBlank="1" showInputMessage="1" showErrorMessage="1" error="Los orificios de distribución deben estar a una distancia entre 0,6 y 1,0 m por debajo de las placas" prompt="Inserte un valor de distancia vertical de orificios de distribución a placas o módulos entre 0,6 y 1,0 m" sqref="G80" xr:uid="{A015EEF4-19F4-4D47-A957-44C5F7B59625}">
      <formula1>0.6</formula1>
      <formula2>0.9</formula2>
    </dataValidation>
    <dataValidation type="decimal" allowBlank="1" showInputMessage="1" showErrorMessage="1" prompt="Ingrese un valor de distancia entre canaletas de recolección entre 0,9 y 1,2, preferiblemente cerca de 0,9 m" sqref="G73" xr:uid="{AAF6680F-249F-4E7F-AF9D-5DB03A80D1CF}">
      <formula1>0.9</formula1>
      <formula2>1.2</formula2>
    </dataValidation>
    <dataValidation type="decimal" allowBlank="1" showInputMessage="1" showErrorMessage="1" error="Ingrese un valor de borde libre entre 0,30 - 0,50 m" prompt="Ingrese un valor de borde libre entre 0,30 - 0,50 m" sqref="G90" xr:uid="{2A4ED34A-46A4-4B8F-B188-0D60A01EFF90}">
      <formula1>0.3</formula1>
      <formula2>0.5</formula2>
    </dataValidation>
    <dataValidation type="decimal" allowBlank="1" showInputMessage="1" showErrorMessage="1" error="Ingrese un valor de espesor de muros de concreto entre 0,30 - 0,50 m" prompt="Ingrese un valor de espesor de muros de concreto entre 0,30 - 0,50 m" sqref="G91" xr:uid="{2B57B5C2-B842-4DAA-A5C4-1A7ECB45AB2F}">
      <formula1>0.3</formula1>
      <formula2>0.5</formula2>
    </dataValidation>
    <dataValidation type="whole" allowBlank="1" showInputMessage="1" showErrorMessage="1" error="Ingrese un valor de pendiente transversal de la tolva de lodos entre 45° y 60°" prompt="Ingrese un valor de pendiente transversal de la tolva de lodos entre 45° y 60°" sqref="G92" xr:uid="{D60B84E3-04A4-419D-A8B3-EDC18F74F495}">
      <formula1>45</formula1>
      <formula2>60</formula2>
    </dataValidation>
    <dataValidation type="decimal" allowBlank="1" showInputMessage="1" showErrorMessage="1" error="Ingrese un valor de longitud de la sección transversal plana de la tolva de lodos entre 0,10 - 0,20 m" prompt="Ingrese un valor de longitud de la sección transversal plana de la tolva de lodos entre 0,10 - 0,20 m" sqref="G93" xr:uid="{2000E7F8-A701-4850-8368-CA95DD566415}">
      <formula1>0.1</formula1>
      <formula2>0.2</formula2>
    </dataValidation>
    <dataValidation type="decimal" allowBlank="1" showInputMessage="1" showErrorMessage="1" error="Inserte un valor de velocidad mínima de arraste entre 0,01 y 0,02 m/s" prompt="Inserte un valor de velocidad mínima de arraste entre 0,01 y 0,02 m/s" sqref="G106" xr:uid="{F17663B5-D216-4596-8BF0-B5F50C1E1DFE}">
      <formula1>0.01</formula1>
      <formula2>0.02</formula2>
    </dataValidation>
    <dataValidation type="list" allowBlank="1" showInputMessage="1" showErrorMessage="1" sqref="G113" xr:uid="{33FC9274-6568-4AC4-A599-636B80599500}">
      <formula1>$BG$9:$BG$17</formula1>
    </dataValidation>
    <dataValidation type="list" allowBlank="1" showInputMessage="1" showErrorMessage="1" error="Seleccione un valor de temperatura del agua" sqref="G31" xr:uid="{00000000-0002-0000-0300-000008000000}">
      <formula1>$T$9:$T$103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7"/>
  </sheetPr>
  <dimension ref="A1:DO473"/>
  <sheetViews>
    <sheetView topLeftCell="A334" zoomScale="70" zoomScaleNormal="70" workbookViewId="0">
      <selection activeCell="L346" sqref="L346"/>
    </sheetView>
  </sheetViews>
  <sheetFormatPr baseColWidth="10" defaultRowHeight="17.100000000000001" customHeight="1"/>
  <cols>
    <col min="1" max="1" width="5.42578125" style="31" customWidth="1"/>
    <col min="2" max="2" width="12.85546875" style="31" customWidth="1"/>
    <col min="3" max="3" width="9" style="31" hidden="1" customWidth="1"/>
    <col min="4" max="4" width="10" style="31" hidden="1" customWidth="1"/>
    <col min="5" max="5" width="14.5703125" style="31" customWidth="1"/>
    <col min="6" max="6" width="14.7109375" style="31" customWidth="1"/>
    <col min="7" max="7" width="13.85546875" style="31" customWidth="1"/>
    <col min="8" max="8" width="14.5703125" style="31" customWidth="1"/>
    <col min="9" max="9" width="15" style="31" customWidth="1"/>
    <col min="10" max="12" width="13.85546875" style="31" customWidth="1"/>
    <col min="13" max="13" width="17.42578125" style="31" customWidth="1"/>
    <col min="14" max="16" width="13.85546875" style="31" customWidth="1"/>
    <col min="17" max="17" width="15.140625" style="31" customWidth="1"/>
    <col min="18" max="18" width="13.85546875" style="31" customWidth="1"/>
    <col min="19" max="19" width="15.28515625" style="31" customWidth="1"/>
    <col min="20" max="23" width="13.85546875" style="31" customWidth="1"/>
    <col min="24" max="24" width="15.7109375" style="31" customWidth="1"/>
    <col min="25" max="25" width="16.140625" style="31" customWidth="1"/>
    <col min="26" max="26" width="15.42578125" style="31" customWidth="1"/>
    <col min="27" max="27" width="12.7109375" style="31" customWidth="1"/>
    <col min="28" max="28" width="24.5703125" style="31" customWidth="1"/>
    <col min="29" max="29" width="32.28515625" style="31" customWidth="1"/>
    <col min="30" max="30" width="11.42578125" style="31"/>
    <col min="31" max="31" width="13.28515625" style="31" customWidth="1"/>
    <col min="32" max="33" width="11.42578125" style="31"/>
    <col min="34" max="34" width="14.5703125" style="31" customWidth="1"/>
    <col min="35" max="35" width="11.42578125" style="31"/>
    <col min="36" max="36" width="14.7109375" style="31" customWidth="1"/>
    <col min="37" max="46" width="12.7109375" style="31" customWidth="1"/>
    <col min="47" max="47" width="15.7109375" style="31" customWidth="1"/>
    <col min="48" max="48" width="11.42578125" style="31"/>
    <col min="49" max="49" width="13.28515625" style="31" customWidth="1"/>
    <col min="50" max="53" width="11.42578125" style="31"/>
    <col min="54" max="54" width="16.140625" style="31" customWidth="1"/>
    <col min="55" max="56" width="11.42578125" style="31"/>
    <col min="57" max="57" width="16.28515625" style="31" customWidth="1"/>
    <col min="58" max="58" width="11.42578125" style="31"/>
    <col min="59" max="59" width="13" style="31" bestFit="1" customWidth="1"/>
    <col min="60" max="60" width="14" style="31" customWidth="1"/>
    <col min="61" max="64" width="11.42578125" style="31"/>
    <col min="65" max="65" width="14.140625" style="31" customWidth="1"/>
    <col min="66" max="66" width="11.42578125" style="31"/>
    <col min="67" max="67" width="21.140625" style="31" customWidth="1"/>
    <col min="68" max="68" width="11.42578125" style="31"/>
    <col min="69" max="69" width="49.85546875" style="31" customWidth="1"/>
    <col min="70" max="70" width="15.28515625" style="31" customWidth="1"/>
    <col min="71" max="71" width="19.140625" style="31" customWidth="1"/>
    <col min="72" max="75" width="11.42578125" style="31"/>
    <col min="76" max="76" width="12.28515625" style="31" customWidth="1"/>
    <col min="77" max="79" width="11.42578125" style="31"/>
    <col min="80" max="80" width="13.140625" style="31" bestFit="1" customWidth="1"/>
    <col min="81" max="82" width="13.140625" style="31" customWidth="1"/>
    <col min="83" max="83" width="47.28515625" style="31" customWidth="1"/>
    <col min="84" max="87" width="11.42578125" style="31" customWidth="1"/>
    <col min="88" max="116" width="11.42578125" style="31"/>
    <col min="117" max="117" width="58.85546875" style="31" customWidth="1"/>
    <col min="118" max="16384" width="11.42578125" style="31"/>
  </cols>
  <sheetData>
    <row r="1" spans="1:119" ht="20.100000000000001" customHeight="1">
      <c r="A1" s="5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Y1" s="35"/>
    </row>
    <row r="2" spans="1:119" ht="20.100000000000001" customHeight="1">
      <c r="A2" s="5"/>
      <c r="B2" s="1002"/>
      <c r="C2" s="1002"/>
      <c r="D2" s="1002"/>
      <c r="E2" s="1002"/>
      <c r="F2" s="98" t="s">
        <v>54</v>
      </c>
      <c r="G2" s="97"/>
      <c r="H2" s="97"/>
      <c r="I2" s="97"/>
      <c r="J2" s="97"/>
      <c r="K2" s="97"/>
      <c r="L2" s="97"/>
      <c r="Y2" s="35"/>
    </row>
    <row r="3" spans="1:119" ht="20.100000000000001" customHeight="1">
      <c r="A3" s="5"/>
      <c r="B3" s="1002"/>
      <c r="C3" s="1002"/>
      <c r="D3" s="1002"/>
      <c r="E3" s="1002"/>
      <c r="F3" s="98" t="s">
        <v>55</v>
      </c>
      <c r="G3" s="97"/>
      <c r="H3" s="97"/>
      <c r="I3" s="97"/>
      <c r="J3" s="97"/>
      <c r="K3" s="97"/>
      <c r="L3" s="97"/>
      <c r="Y3" s="35"/>
    </row>
    <row r="4" spans="1:119" ht="20.100000000000001" customHeight="1">
      <c r="A4" s="5"/>
      <c r="B4" s="1002"/>
      <c r="C4" s="1002"/>
      <c r="D4" s="1002"/>
      <c r="E4" s="1002"/>
      <c r="F4" s="98" t="s">
        <v>56</v>
      </c>
      <c r="G4" s="97"/>
      <c r="H4" s="97"/>
      <c r="I4" s="97"/>
      <c r="J4" s="97"/>
      <c r="K4" s="97"/>
      <c r="L4" s="97"/>
      <c r="Y4" s="35"/>
      <c r="AT4" s="56"/>
      <c r="AU4" s="56"/>
      <c r="BM4" s="135"/>
      <c r="BO4" s="81"/>
      <c r="BQ4" s="81"/>
      <c r="BR4" s="81"/>
      <c r="BS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</row>
    <row r="5" spans="1:119" ht="20.100000000000001" customHeight="1">
      <c r="A5" s="5"/>
      <c r="B5" s="1002"/>
      <c r="C5" s="1002"/>
      <c r="D5" s="1002"/>
      <c r="E5" s="1002"/>
      <c r="F5" s="98" t="s">
        <v>186</v>
      </c>
      <c r="G5" s="97"/>
      <c r="H5" s="97"/>
      <c r="I5" s="97"/>
      <c r="J5" s="97"/>
      <c r="K5" s="97"/>
      <c r="L5" s="97"/>
      <c r="Y5" s="35"/>
      <c r="AE5" s="371" t="s">
        <v>129</v>
      </c>
      <c r="AF5" s="372" t="s">
        <v>184</v>
      </c>
      <c r="AG5" s="696" t="s">
        <v>132</v>
      </c>
      <c r="AH5" s="696" t="s">
        <v>130</v>
      </c>
      <c r="AJ5" s="1032" t="s">
        <v>227</v>
      </c>
      <c r="AK5" s="1032"/>
      <c r="AL5" s="237"/>
      <c r="AM5" s="710" t="s">
        <v>414</v>
      </c>
      <c r="AN5" s="710" t="s">
        <v>421</v>
      </c>
      <c r="AO5" s="710" t="s">
        <v>422</v>
      </c>
      <c r="AP5" s="710" t="s">
        <v>479</v>
      </c>
      <c r="AQ5" s="710" t="s">
        <v>480</v>
      </c>
      <c r="AR5" s="710" t="s">
        <v>420</v>
      </c>
      <c r="AS5" s="294"/>
      <c r="AT5" s="1033" t="s">
        <v>79</v>
      </c>
      <c r="AU5" s="1033" t="s">
        <v>80</v>
      </c>
      <c r="AV5" s="85"/>
      <c r="AW5" s="710" t="s">
        <v>256</v>
      </c>
      <c r="AX5" s="710" t="s">
        <v>255</v>
      </c>
      <c r="AY5" s="263"/>
      <c r="AZ5" s="710" t="s">
        <v>466</v>
      </c>
      <c r="BA5" s="118"/>
      <c r="BB5" s="710" t="s">
        <v>260</v>
      </c>
      <c r="BC5" s="710" t="s">
        <v>261</v>
      </c>
      <c r="BD5" s="85"/>
      <c r="BE5" s="710" t="s">
        <v>259</v>
      </c>
      <c r="BF5" s="85"/>
      <c r="BG5" s="710" t="s">
        <v>257</v>
      </c>
      <c r="BH5" s="710" t="s">
        <v>258</v>
      </c>
      <c r="BI5" s="710" t="s">
        <v>266</v>
      </c>
      <c r="BJ5" s="204"/>
      <c r="BK5" s="710" t="s">
        <v>359</v>
      </c>
      <c r="BL5" s="35"/>
      <c r="BM5" s="710" t="s">
        <v>271</v>
      </c>
      <c r="BO5" s="809" t="s">
        <v>273</v>
      </c>
      <c r="BQ5" s="1031" t="s">
        <v>310</v>
      </c>
      <c r="BR5" s="1031" t="s">
        <v>289</v>
      </c>
      <c r="BS5" s="1031" t="s">
        <v>290</v>
      </c>
      <c r="BU5" s="710" t="s">
        <v>282</v>
      </c>
      <c r="BV5" s="710" t="s">
        <v>293</v>
      </c>
      <c r="BW5" s="710" t="s">
        <v>300</v>
      </c>
      <c r="BX5" s="710" t="s">
        <v>299</v>
      </c>
      <c r="BY5" s="710" t="s">
        <v>288</v>
      </c>
      <c r="BZ5" s="710" t="s">
        <v>294</v>
      </c>
      <c r="CA5" s="710" t="s">
        <v>287</v>
      </c>
      <c r="CB5" s="710" t="s">
        <v>297</v>
      </c>
      <c r="CC5" s="173"/>
      <c r="CD5" s="144"/>
      <c r="CE5" s="710" t="s">
        <v>298</v>
      </c>
      <c r="CF5" s="710" t="s">
        <v>341</v>
      </c>
      <c r="CG5" s="710" t="s">
        <v>342</v>
      </c>
      <c r="CH5" s="710" t="s">
        <v>346</v>
      </c>
      <c r="CI5" s="710"/>
      <c r="CJ5" s="710"/>
      <c r="CK5" s="710"/>
      <c r="CL5" s="710"/>
      <c r="CM5" s="710"/>
      <c r="CN5" s="710"/>
      <c r="CO5" s="710"/>
      <c r="CP5" s="710"/>
      <c r="CQ5" s="710"/>
      <c r="CR5" s="710"/>
      <c r="CS5" s="710"/>
      <c r="CT5" s="710"/>
      <c r="CU5" s="710"/>
      <c r="CV5" s="710"/>
      <c r="CW5" s="710"/>
      <c r="CX5" s="710"/>
      <c r="CY5" s="710"/>
      <c r="CZ5" s="710"/>
      <c r="DA5" s="710"/>
      <c r="DB5" s="710"/>
      <c r="DC5" s="710"/>
      <c r="DD5" s="710"/>
      <c r="DE5" s="710"/>
      <c r="DF5" s="710"/>
      <c r="DG5" s="710"/>
      <c r="DH5" s="710"/>
      <c r="DI5" s="710"/>
      <c r="DJ5" s="710"/>
      <c r="DK5" s="710"/>
      <c r="DM5" s="225"/>
      <c r="DO5" s="710" t="s">
        <v>396</v>
      </c>
    </row>
    <row r="6" spans="1:119" ht="20.100000000000001" customHeight="1"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Y6" s="1032" t="s">
        <v>197</v>
      </c>
      <c r="Z6" s="1032"/>
      <c r="AA6" s="1032"/>
      <c r="AB6" s="1032"/>
      <c r="AC6" s="1032"/>
      <c r="AE6" s="373" t="s">
        <v>135</v>
      </c>
      <c r="AF6" s="373" t="s">
        <v>134</v>
      </c>
      <c r="AG6" s="697"/>
      <c r="AH6" s="697"/>
      <c r="AJ6" s="1032"/>
      <c r="AK6" s="1032"/>
      <c r="AL6" s="237"/>
      <c r="AM6" s="710"/>
      <c r="AN6" s="710"/>
      <c r="AO6" s="710"/>
      <c r="AP6" s="710"/>
      <c r="AQ6" s="710"/>
      <c r="AR6" s="710"/>
      <c r="AS6" s="294"/>
      <c r="AT6" s="1034"/>
      <c r="AU6" s="1034"/>
      <c r="AV6" s="88"/>
      <c r="AW6" s="710"/>
      <c r="AX6" s="710"/>
      <c r="AY6" s="263"/>
      <c r="AZ6" s="710"/>
      <c r="BA6" s="118"/>
      <c r="BB6" s="710"/>
      <c r="BC6" s="710"/>
      <c r="BD6" s="85"/>
      <c r="BE6" s="710"/>
      <c r="BF6" s="85"/>
      <c r="BG6" s="710"/>
      <c r="BH6" s="710"/>
      <c r="BI6" s="710"/>
      <c r="BJ6" s="204"/>
      <c r="BK6" s="710"/>
      <c r="BL6" s="35"/>
      <c r="BM6" s="710"/>
      <c r="BO6" s="810"/>
      <c r="BQ6" s="1031"/>
      <c r="BR6" s="1031"/>
      <c r="BS6" s="1031"/>
      <c r="BU6" s="710"/>
      <c r="BV6" s="710"/>
      <c r="BW6" s="710"/>
      <c r="BX6" s="710"/>
      <c r="BY6" s="710"/>
      <c r="BZ6" s="710"/>
      <c r="CA6" s="710"/>
      <c r="CB6" s="710"/>
      <c r="CC6" s="173"/>
      <c r="CD6" s="144"/>
      <c r="CE6" s="710"/>
      <c r="CF6" s="710"/>
      <c r="CG6" s="710"/>
      <c r="CH6" s="1045" t="s">
        <v>293</v>
      </c>
      <c r="CI6" s="1046"/>
      <c r="CJ6" s="1046"/>
      <c r="CK6" s="1046"/>
      <c r="CL6" s="1046"/>
      <c r="CM6" s="1046"/>
      <c r="CN6" s="1046"/>
      <c r="CO6" s="1046"/>
      <c r="CP6" s="1046"/>
      <c r="CQ6" s="1046"/>
      <c r="CR6" s="1046"/>
      <c r="CS6" s="1046"/>
      <c r="CT6" s="1046"/>
      <c r="CU6" s="1046"/>
      <c r="CV6" s="1046"/>
      <c r="CW6" s="1047"/>
      <c r="CX6" s="1045" t="s">
        <v>345</v>
      </c>
      <c r="CY6" s="1046"/>
      <c r="CZ6" s="1046"/>
      <c r="DA6" s="1046"/>
      <c r="DB6" s="1046"/>
      <c r="DC6" s="1046"/>
      <c r="DD6" s="1046"/>
      <c r="DE6" s="1046"/>
      <c r="DF6" s="1046"/>
      <c r="DG6" s="1046"/>
      <c r="DH6" s="1046"/>
      <c r="DI6" s="1046"/>
      <c r="DJ6" s="1046"/>
      <c r="DK6" s="1047"/>
      <c r="DM6" s="809" t="s">
        <v>367</v>
      </c>
      <c r="DO6" s="710"/>
    </row>
    <row r="7" spans="1:119" ht="20.100000000000001" customHeight="1">
      <c r="B7" s="23" t="s">
        <v>179</v>
      </c>
      <c r="C7" s="94"/>
      <c r="D7" s="94"/>
      <c r="E7" s="94"/>
      <c r="F7" s="94"/>
      <c r="G7" s="94"/>
      <c r="H7" s="51"/>
      <c r="I7" s="51"/>
      <c r="J7" s="51"/>
      <c r="K7" s="97"/>
      <c r="L7" s="97"/>
      <c r="Y7" s="1032"/>
      <c r="Z7" s="1032"/>
      <c r="AA7" s="1032"/>
      <c r="AB7" s="1032"/>
      <c r="AC7" s="1032"/>
      <c r="AD7" s="35"/>
      <c r="AE7" s="374" t="s">
        <v>131</v>
      </c>
      <c r="AF7" s="374" t="s">
        <v>136</v>
      </c>
      <c r="AG7" s="375" t="s">
        <v>133</v>
      </c>
      <c r="AH7" s="374" t="s">
        <v>137</v>
      </c>
      <c r="AI7" s="35"/>
      <c r="AJ7" s="1032"/>
      <c r="AK7" s="1032"/>
      <c r="AL7" s="237"/>
      <c r="AM7" s="710"/>
      <c r="AN7" s="710"/>
      <c r="AO7" s="710"/>
      <c r="AP7" s="710"/>
      <c r="AQ7" s="710"/>
      <c r="AR7" s="710"/>
      <c r="AS7" s="294"/>
      <c r="AT7" s="1035"/>
      <c r="AU7" s="1035"/>
      <c r="AV7" s="88"/>
      <c r="AW7" s="710"/>
      <c r="AX7" s="710"/>
      <c r="AY7" s="263"/>
      <c r="AZ7" s="710"/>
      <c r="BA7" s="118"/>
      <c r="BB7" s="710"/>
      <c r="BC7" s="710"/>
      <c r="BD7" s="85"/>
      <c r="BE7" s="710"/>
      <c r="BF7" s="85"/>
      <c r="BG7" s="710"/>
      <c r="BH7" s="710"/>
      <c r="BI7" s="710"/>
      <c r="BJ7" s="204"/>
      <c r="BK7" s="710"/>
      <c r="BL7" s="35"/>
      <c r="BM7" s="710"/>
      <c r="BO7" s="811"/>
      <c r="BQ7" s="1031"/>
      <c r="BR7" s="1031"/>
      <c r="BS7" s="1031"/>
      <c r="BU7" s="710"/>
      <c r="BV7" s="710"/>
      <c r="BW7" s="710"/>
      <c r="BX7" s="710"/>
      <c r="BY7" s="710"/>
      <c r="BZ7" s="710"/>
      <c r="CA7" s="710"/>
      <c r="CB7" s="710"/>
      <c r="CC7" s="173"/>
      <c r="CD7" s="195">
        <v>1</v>
      </c>
      <c r="CE7" s="710"/>
      <c r="CF7" s="710"/>
      <c r="CG7" s="710"/>
      <c r="CH7" s="326">
        <v>150</v>
      </c>
      <c r="CI7" s="326">
        <v>160</v>
      </c>
      <c r="CJ7" s="326">
        <v>200</v>
      </c>
      <c r="CK7" s="327">
        <v>250</v>
      </c>
      <c r="CL7" s="327">
        <v>300</v>
      </c>
      <c r="CM7" s="327">
        <v>315</v>
      </c>
      <c r="CN7" s="327">
        <v>350</v>
      </c>
      <c r="CO7" s="327">
        <v>355</v>
      </c>
      <c r="CP7" s="327">
        <v>400</v>
      </c>
      <c r="CQ7" s="327">
        <v>450</v>
      </c>
      <c r="CR7" s="327">
        <v>500</v>
      </c>
      <c r="CS7" s="327">
        <v>600</v>
      </c>
      <c r="CT7" s="327">
        <v>700</v>
      </c>
      <c r="CU7" s="327">
        <v>800</v>
      </c>
      <c r="CV7" s="327">
        <v>900</v>
      </c>
      <c r="CW7" s="327">
        <v>1000</v>
      </c>
      <c r="CX7" s="326">
        <v>6</v>
      </c>
      <c r="CY7" s="326">
        <v>8</v>
      </c>
      <c r="CZ7" s="326">
        <v>10</v>
      </c>
      <c r="DA7" s="326">
        <v>12</v>
      </c>
      <c r="DB7" s="326">
        <v>14</v>
      </c>
      <c r="DC7" s="326">
        <v>16</v>
      </c>
      <c r="DD7" s="326">
        <v>18</v>
      </c>
      <c r="DE7" s="326">
        <v>20</v>
      </c>
      <c r="DF7" s="326">
        <v>24</v>
      </c>
      <c r="DG7" s="326">
        <v>28</v>
      </c>
      <c r="DH7" s="326">
        <v>32</v>
      </c>
      <c r="DI7" s="326">
        <v>34</v>
      </c>
      <c r="DJ7" s="326">
        <v>36</v>
      </c>
      <c r="DK7" s="326">
        <v>40</v>
      </c>
      <c r="DM7" s="811"/>
      <c r="DO7" s="710"/>
    </row>
    <row r="8" spans="1:119" ht="20.100000000000001" customHeight="1">
      <c r="B8" s="802" t="s">
        <v>180</v>
      </c>
      <c r="C8" s="802"/>
      <c r="D8" s="802"/>
      <c r="E8" s="802"/>
      <c r="F8" s="802"/>
      <c r="G8" s="802"/>
      <c r="H8" s="108" t="s">
        <v>182</v>
      </c>
      <c r="I8" s="310">
        <v>1.3</v>
      </c>
      <c r="J8" s="268"/>
      <c r="K8" s="97"/>
      <c r="L8" s="97"/>
      <c r="Y8" s="1021" t="s">
        <v>187</v>
      </c>
      <c r="Z8" s="1022"/>
      <c r="AA8" s="1023"/>
      <c r="AB8" s="334" t="s">
        <v>185</v>
      </c>
      <c r="AC8" s="334" t="s">
        <v>210</v>
      </c>
      <c r="AD8" s="7"/>
      <c r="AE8" s="376" t="s">
        <v>140</v>
      </c>
      <c r="AF8" s="377"/>
      <c r="AG8" s="378"/>
      <c r="AH8" s="379"/>
      <c r="AI8" s="7"/>
      <c r="AJ8" s="357" t="s">
        <v>229</v>
      </c>
      <c r="AK8" s="358"/>
      <c r="AL8" s="7"/>
      <c r="AM8" s="334"/>
      <c r="AN8" s="334"/>
      <c r="AO8" s="334"/>
      <c r="AP8" s="334"/>
      <c r="AQ8" s="334"/>
      <c r="AR8" s="334"/>
      <c r="AS8" s="7"/>
      <c r="AT8" s="369">
        <v>140</v>
      </c>
      <c r="AU8" s="370">
        <v>0.105</v>
      </c>
      <c r="AV8" s="7"/>
      <c r="AW8" s="356"/>
      <c r="AX8" s="356"/>
      <c r="AY8" s="119"/>
      <c r="AZ8" s="356"/>
      <c r="BA8" s="119"/>
      <c r="BB8" s="356"/>
      <c r="BC8" s="354"/>
      <c r="BD8" s="85"/>
      <c r="BE8" s="355"/>
      <c r="BF8" s="85"/>
      <c r="BG8" s="64"/>
      <c r="BH8" s="354"/>
      <c r="BI8" s="354"/>
      <c r="BJ8" s="115"/>
      <c r="BK8" s="354"/>
      <c r="BL8" s="127"/>
      <c r="BM8" s="64"/>
      <c r="BO8" s="325"/>
      <c r="BQ8" s="384"/>
      <c r="BR8" s="384"/>
      <c r="BS8" s="384"/>
      <c r="BT8" s="31">
        <v>8</v>
      </c>
      <c r="BU8" s="967" t="str">
        <f>BQ9</f>
        <v>Acero al carbono API 5L SCH-40</v>
      </c>
      <c r="BV8" s="968"/>
      <c r="BW8" s="968"/>
      <c r="BX8" s="968"/>
      <c r="BY8" s="968"/>
      <c r="BZ8" s="968"/>
      <c r="CA8" s="968"/>
      <c r="CB8" s="969"/>
      <c r="CC8" s="201">
        <v>8</v>
      </c>
      <c r="CD8" s="195">
        <v>2</v>
      </c>
      <c r="CE8" s="64"/>
      <c r="CF8" s="64"/>
      <c r="CG8" s="64"/>
      <c r="CH8" s="64"/>
      <c r="CI8" s="64"/>
      <c r="CJ8" s="324"/>
      <c r="CK8" s="324"/>
      <c r="CL8" s="324"/>
      <c r="CM8" s="324"/>
      <c r="CN8" s="324"/>
      <c r="CO8" s="324"/>
      <c r="CP8" s="324"/>
      <c r="CQ8" s="324"/>
      <c r="CR8" s="324"/>
      <c r="CS8" s="324"/>
      <c r="CT8" s="324"/>
      <c r="CU8" s="324"/>
      <c r="CV8" s="324"/>
      <c r="CW8" s="324"/>
      <c r="CX8" s="64"/>
      <c r="CY8" s="324"/>
      <c r="CZ8" s="324"/>
      <c r="DA8" s="324"/>
      <c r="DB8" s="324"/>
      <c r="DC8" s="324"/>
      <c r="DD8" s="324"/>
      <c r="DE8" s="324"/>
      <c r="DF8" s="324"/>
      <c r="DG8" s="324"/>
      <c r="DH8" s="324"/>
      <c r="DI8" s="324"/>
      <c r="DJ8" s="324"/>
      <c r="DK8" s="324"/>
      <c r="DM8" s="325" t="s">
        <v>365</v>
      </c>
      <c r="DO8" s="324">
        <v>0.1</v>
      </c>
    </row>
    <row r="9" spans="1:119" ht="20.100000000000001" customHeight="1">
      <c r="B9" s="802" t="s">
        <v>181</v>
      </c>
      <c r="C9" s="802"/>
      <c r="D9" s="802"/>
      <c r="E9" s="802"/>
      <c r="F9" s="802"/>
      <c r="G9" s="802"/>
      <c r="H9" s="108" t="s">
        <v>183</v>
      </c>
      <c r="I9" s="310">
        <v>1.6</v>
      </c>
      <c r="J9" s="268"/>
      <c r="K9" s="97"/>
      <c r="L9" s="97"/>
      <c r="Y9" s="1021" t="s">
        <v>188</v>
      </c>
      <c r="Z9" s="1022"/>
      <c r="AA9" s="1023"/>
      <c r="AB9" s="334" t="s">
        <v>198</v>
      </c>
      <c r="AC9" s="334" t="s">
        <v>211</v>
      </c>
      <c r="AD9" s="7"/>
      <c r="AE9" s="376">
        <v>0</v>
      </c>
      <c r="AF9" s="377">
        <v>999.82</v>
      </c>
      <c r="AG9" s="380">
        <v>1.792E-3</v>
      </c>
      <c r="AH9" s="379">
        <f t="shared" ref="AH9:AH44" si="0">AG9/AF9</f>
        <v>1.7923226180712527E-6</v>
      </c>
      <c r="AI9" s="7"/>
      <c r="AJ9" s="357" t="s">
        <v>18</v>
      </c>
      <c r="AK9" s="358"/>
      <c r="AL9" s="7"/>
      <c r="AM9" s="334" t="s">
        <v>415</v>
      </c>
      <c r="AN9" s="324">
        <v>0.73</v>
      </c>
      <c r="AO9" s="324">
        <v>0.73</v>
      </c>
      <c r="AP9" s="324">
        <v>0.81</v>
      </c>
      <c r="AQ9" s="324">
        <v>7.7</v>
      </c>
      <c r="AR9" s="340">
        <v>6.9</v>
      </c>
      <c r="AS9" s="43"/>
      <c r="AT9" s="369">
        <v>100</v>
      </c>
      <c r="AU9" s="370">
        <v>0.14899999999999999</v>
      </c>
      <c r="AV9" s="7"/>
      <c r="AW9" s="356">
        <v>0.25</v>
      </c>
      <c r="AX9" s="354">
        <f>PI()*((AW9*0.0254)^2)/4</f>
        <v>3.1669217443593606E-5</v>
      </c>
      <c r="AY9" s="115"/>
      <c r="AZ9" s="329">
        <v>0.75</v>
      </c>
      <c r="BA9" s="115"/>
      <c r="BB9" s="356">
        <v>1.5</v>
      </c>
      <c r="BC9" s="354">
        <f>PI()*((BB9*0.0254)^2)/4</f>
        <v>1.1400918279693697E-3</v>
      </c>
      <c r="BD9" s="85"/>
      <c r="BE9" s="329">
        <v>0.2</v>
      </c>
      <c r="BF9" s="85"/>
      <c r="BG9" s="64" t="s">
        <v>245</v>
      </c>
      <c r="BH9" s="354">
        <f>(6*0.0254)^2</f>
        <v>2.3225759999999995E-2</v>
      </c>
      <c r="BI9" s="354">
        <f>6*0.0254</f>
        <v>0.15239999999999998</v>
      </c>
      <c r="BJ9" s="115"/>
      <c r="BK9" s="324">
        <v>0.6</v>
      </c>
      <c r="BL9" s="127"/>
      <c r="BM9" s="64">
        <v>10</v>
      </c>
      <c r="BO9" s="325">
        <v>36</v>
      </c>
      <c r="BP9" s="31">
        <v>9</v>
      </c>
      <c r="BQ9" s="385" t="s">
        <v>285</v>
      </c>
      <c r="BR9" s="386">
        <v>0.15</v>
      </c>
      <c r="BS9" s="381">
        <v>140</v>
      </c>
      <c r="BT9" s="31">
        <v>9</v>
      </c>
      <c r="BU9" s="64"/>
      <c r="BV9" s="64"/>
      <c r="BW9" s="64"/>
      <c r="BX9" s="64"/>
      <c r="BY9" s="64"/>
      <c r="BZ9" s="64"/>
      <c r="CA9" s="64"/>
      <c r="CB9" s="64"/>
      <c r="CC9" s="201">
        <v>9</v>
      </c>
      <c r="CD9" s="195">
        <v>3</v>
      </c>
      <c r="CE9" s="325" t="s">
        <v>302</v>
      </c>
      <c r="CF9" s="64">
        <v>1</v>
      </c>
      <c r="CG9" s="64">
        <v>1</v>
      </c>
      <c r="CH9" s="64">
        <v>0.12</v>
      </c>
      <c r="CI9" s="64">
        <v>0.12</v>
      </c>
      <c r="CJ9" s="324">
        <v>0.11</v>
      </c>
      <c r="CK9" s="324">
        <v>0.11</v>
      </c>
      <c r="CL9" s="324">
        <v>0.1</v>
      </c>
      <c r="CM9" s="324">
        <v>0.1</v>
      </c>
      <c r="CN9" s="324">
        <v>0.1</v>
      </c>
      <c r="CO9" s="324">
        <v>0.1</v>
      </c>
      <c r="CP9" s="324">
        <v>0.1</v>
      </c>
      <c r="CQ9" s="324">
        <v>0.1</v>
      </c>
      <c r="CR9" s="324">
        <v>0.1</v>
      </c>
      <c r="CS9" s="324">
        <v>0.1</v>
      </c>
      <c r="CT9" s="324">
        <v>0.1</v>
      </c>
      <c r="CU9" s="324">
        <v>0.1</v>
      </c>
      <c r="CV9" s="324">
        <v>0.1</v>
      </c>
      <c r="CW9" s="324">
        <v>0.1</v>
      </c>
      <c r="CX9" s="64">
        <f>CH9</f>
        <v>0.12</v>
      </c>
      <c r="CY9" s="324">
        <f>CJ9</f>
        <v>0.11</v>
      </c>
      <c r="CZ9" s="324">
        <f>CK9</f>
        <v>0.11</v>
      </c>
      <c r="DA9" s="324">
        <f>CL9</f>
        <v>0.1</v>
      </c>
      <c r="DB9" s="324">
        <f>CN9</f>
        <v>0.1</v>
      </c>
      <c r="DC9" s="324">
        <f t="shared" ref="DC9:DH9" si="1">CP9</f>
        <v>0.1</v>
      </c>
      <c r="DD9" s="324">
        <f t="shared" si="1"/>
        <v>0.1</v>
      </c>
      <c r="DE9" s="324">
        <f t="shared" si="1"/>
        <v>0.1</v>
      </c>
      <c r="DF9" s="324">
        <f t="shared" si="1"/>
        <v>0.1</v>
      </c>
      <c r="DG9" s="324">
        <f t="shared" si="1"/>
        <v>0.1</v>
      </c>
      <c r="DH9" s="324">
        <f t="shared" si="1"/>
        <v>0.1</v>
      </c>
      <c r="DI9" s="324">
        <v>0.1</v>
      </c>
      <c r="DJ9" s="324">
        <f t="shared" ref="DJ9:DJ23" si="2">CV9</f>
        <v>0.1</v>
      </c>
      <c r="DK9" s="324">
        <f t="shared" ref="DK9:DK23" si="3">CW9</f>
        <v>0.1</v>
      </c>
      <c r="DM9" s="325" t="s">
        <v>366</v>
      </c>
      <c r="DO9" s="324">
        <v>0.15</v>
      </c>
    </row>
    <row r="10" spans="1:119" ht="20.100000000000001" customHeight="1">
      <c r="B10" s="802" t="s">
        <v>176</v>
      </c>
      <c r="C10" s="802"/>
      <c r="D10" s="802"/>
      <c r="E10" s="802"/>
      <c r="F10" s="802"/>
      <c r="G10" s="802"/>
      <c r="H10" s="108" t="s">
        <v>177</v>
      </c>
      <c r="I10" s="310">
        <v>4.4040000000000003E-2</v>
      </c>
      <c r="J10" s="108" t="s">
        <v>164</v>
      </c>
      <c r="K10" s="97"/>
      <c r="L10" s="97"/>
      <c r="Y10" s="1021" t="s">
        <v>189</v>
      </c>
      <c r="Z10" s="1022"/>
      <c r="AA10" s="1023"/>
      <c r="AB10" s="334" t="s">
        <v>199</v>
      </c>
      <c r="AC10" s="334" t="s">
        <v>212</v>
      </c>
      <c r="AD10" s="7"/>
      <c r="AE10" s="381">
        <v>1</v>
      </c>
      <c r="AF10" s="382">
        <v>999.89</v>
      </c>
      <c r="AG10" s="383">
        <v>1.7310000000000001E-3</v>
      </c>
      <c r="AH10" s="379">
        <f t="shared" si="0"/>
        <v>1.7311904309474043E-6</v>
      </c>
      <c r="AI10" s="7"/>
      <c r="AJ10" s="357" t="s">
        <v>228</v>
      </c>
      <c r="AK10" s="358"/>
      <c r="AL10" s="7"/>
      <c r="AM10" s="334" t="s">
        <v>416</v>
      </c>
      <c r="AN10" s="324"/>
      <c r="AO10" s="324"/>
      <c r="AP10" s="324">
        <v>0.85</v>
      </c>
      <c r="AQ10" s="324"/>
      <c r="AR10" s="340">
        <v>6.2</v>
      </c>
      <c r="AS10" s="43"/>
      <c r="AT10" s="369">
        <v>80</v>
      </c>
      <c r="AU10" s="370">
        <v>0.17699999999999999</v>
      </c>
      <c r="AV10" s="62"/>
      <c r="AW10" s="356">
        <v>0.375</v>
      </c>
      <c r="AX10" s="354">
        <f>PI()*((AW10*0.0254)^2)/4</f>
        <v>7.1255739248085606E-5</v>
      </c>
      <c r="AY10" s="115"/>
      <c r="AZ10" s="329">
        <v>0.1</v>
      </c>
      <c r="BA10" s="115"/>
      <c r="BB10" s="328">
        <v>2</v>
      </c>
      <c r="BC10" s="354">
        <f>PI()*((BB10*0.0254)^2)/4</f>
        <v>2.0268299163899908E-3</v>
      </c>
      <c r="BD10" s="85"/>
      <c r="BE10" s="329">
        <v>0.25</v>
      </c>
      <c r="BF10" s="85"/>
      <c r="BG10" s="64" t="s">
        <v>246</v>
      </c>
      <c r="BH10" s="354">
        <f>(8*0.0254)^2</f>
        <v>4.1290239999999999E-2</v>
      </c>
      <c r="BI10" s="354">
        <f>8*0.0254</f>
        <v>0.20319999999999999</v>
      </c>
      <c r="BJ10" s="115"/>
      <c r="BK10" s="115"/>
      <c r="BL10" s="127"/>
      <c r="BM10" s="64">
        <v>11</v>
      </c>
      <c r="BO10" s="35"/>
      <c r="BP10" s="31">
        <v>10</v>
      </c>
      <c r="BQ10" s="385" t="s">
        <v>286</v>
      </c>
      <c r="BR10" s="386">
        <v>0.15</v>
      </c>
      <c r="BS10" s="381">
        <v>140</v>
      </c>
      <c r="BT10" s="31">
        <v>10</v>
      </c>
      <c r="BU10" s="64">
        <v>6</v>
      </c>
      <c r="BV10" s="64">
        <f>IF(BU10=6,150,IF(BU10=8,200,IF(BU10=10,250,IF(BU10=12,300,IF(BU10=14,350,IF(BU10=16,400,IF(BU10=18,450,IF(BU10=20,500,IF(BU10=22,550,IF(BU10=24,600,IF(BU10=32,800,IF(BU10=34,850,IF(BU10=36,900)))))))))))))</f>
        <v>150</v>
      </c>
      <c r="BW10" s="329">
        <v>6.625</v>
      </c>
      <c r="BX10" s="329"/>
      <c r="BY10" s="329">
        <v>0.28000000000000003</v>
      </c>
      <c r="BZ10" s="329"/>
      <c r="CA10" s="329">
        <f>ROUND((BW10-(2*BY10))*0.0254,3)</f>
        <v>0.154</v>
      </c>
      <c r="CB10" s="331">
        <f t="shared" ref="CB10:CB18" si="4">ROUND(BW10/BY10,0)</f>
        <v>24</v>
      </c>
      <c r="CC10" s="201">
        <v>10</v>
      </c>
      <c r="CD10" s="195">
        <v>4</v>
      </c>
      <c r="CE10" s="325"/>
      <c r="CF10" s="64"/>
      <c r="CG10" s="328"/>
      <c r="CH10" s="328"/>
      <c r="CI10" s="328"/>
      <c r="CJ10" s="324"/>
      <c r="CK10" s="324"/>
      <c r="CL10" s="324"/>
      <c r="CM10" s="324"/>
      <c r="CN10" s="324"/>
      <c r="CO10" s="324"/>
      <c r="CP10" s="324"/>
      <c r="CQ10" s="324"/>
      <c r="CR10" s="324"/>
      <c r="CS10" s="324"/>
      <c r="CT10" s="324"/>
      <c r="CU10" s="324"/>
      <c r="CV10" s="324"/>
      <c r="CW10" s="324"/>
      <c r="CX10" s="64"/>
      <c r="CY10" s="324"/>
      <c r="CZ10" s="324"/>
      <c r="DA10" s="324"/>
      <c r="DB10" s="324"/>
      <c r="DC10" s="324"/>
      <c r="DD10" s="324"/>
      <c r="DE10" s="324"/>
      <c r="DF10" s="324"/>
      <c r="DG10" s="324"/>
      <c r="DH10" s="324"/>
      <c r="DI10" s="324"/>
      <c r="DJ10" s="324"/>
      <c r="DK10" s="324"/>
      <c r="DM10" s="35"/>
      <c r="DO10" s="324">
        <v>0.2</v>
      </c>
    </row>
    <row r="11" spans="1:119" ht="20.100000000000001" customHeight="1">
      <c r="B11" s="802" t="s">
        <v>175</v>
      </c>
      <c r="C11" s="802"/>
      <c r="D11" s="802"/>
      <c r="E11" s="802"/>
      <c r="F11" s="802"/>
      <c r="G11" s="802"/>
      <c r="H11" s="108" t="s">
        <v>174</v>
      </c>
      <c r="I11" s="269">
        <f>I10*I8</f>
        <v>5.7252000000000004E-2</v>
      </c>
      <c r="J11" s="108" t="s">
        <v>164</v>
      </c>
      <c r="K11" s="94"/>
      <c r="L11" s="110"/>
      <c r="Y11" s="1021" t="s">
        <v>225</v>
      </c>
      <c r="Z11" s="1022"/>
      <c r="AA11" s="1023"/>
      <c r="AB11" s="359">
        <v>120</v>
      </c>
      <c r="AC11" s="359" t="s">
        <v>213</v>
      </c>
      <c r="AD11" s="7"/>
      <c r="AE11" s="381">
        <v>2</v>
      </c>
      <c r="AF11" s="382">
        <v>999.94</v>
      </c>
      <c r="AG11" s="383">
        <v>1.673E-3</v>
      </c>
      <c r="AH11" s="379">
        <f t="shared" si="0"/>
        <v>1.6731003860231613E-6</v>
      </c>
      <c r="AI11" s="7"/>
      <c r="AJ11" s="7"/>
      <c r="AK11" s="7"/>
      <c r="AL11" s="7"/>
      <c r="AM11" s="334" t="s">
        <v>417</v>
      </c>
      <c r="AN11" s="324">
        <v>0.75</v>
      </c>
      <c r="AO11" s="324">
        <v>0.75</v>
      </c>
      <c r="AP11" s="324">
        <v>0.89</v>
      </c>
      <c r="AQ11" s="324">
        <v>6.4</v>
      </c>
      <c r="AR11" s="340">
        <v>5.7</v>
      </c>
      <c r="AS11" s="43"/>
      <c r="AT11" s="369">
        <v>70</v>
      </c>
      <c r="AU11" s="370">
        <v>0.21</v>
      </c>
      <c r="AV11" s="7"/>
      <c r="AW11" s="356">
        <v>0.5</v>
      </c>
      <c r="AX11" s="354">
        <f>PI()*((AW11*0.0254)^2)/4</f>
        <v>1.2667686977437442E-4</v>
      </c>
      <c r="AY11" s="115"/>
      <c r="AZ11" s="329">
        <v>0.125</v>
      </c>
      <c r="BA11" s="115"/>
      <c r="BB11" s="356">
        <v>2.5</v>
      </c>
      <c r="BC11" s="354">
        <f>PI()*((BB11*0.0254)^2)/4</f>
        <v>3.1669217443593611E-3</v>
      </c>
      <c r="BD11" s="85"/>
      <c r="BE11" s="329">
        <v>0.3</v>
      </c>
      <c r="BF11" s="85"/>
      <c r="BG11" s="64" t="s">
        <v>247</v>
      </c>
      <c r="BH11" s="354">
        <f>(10*0.0254)^2</f>
        <v>6.4516000000000004E-2</v>
      </c>
      <c r="BI11" s="354">
        <f>10*0.0254</f>
        <v>0.254</v>
      </c>
      <c r="BJ11" s="115"/>
      <c r="BK11" s="115"/>
      <c r="BL11" s="127"/>
      <c r="BM11" s="64">
        <v>12</v>
      </c>
      <c r="BO11" s="35"/>
      <c r="BP11" s="31">
        <v>11</v>
      </c>
      <c r="BQ11" s="385" t="s">
        <v>291</v>
      </c>
      <c r="BR11" s="386">
        <v>0.25</v>
      </c>
      <c r="BS11" s="381">
        <v>140</v>
      </c>
      <c r="BT11" s="31">
        <v>11</v>
      </c>
      <c r="BU11" s="64">
        <v>8</v>
      </c>
      <c r="BV11" s="64">
        <f t="shared" ref="BV11:BV18" si="5">IF(BU11=6,150,IF(BU11=8,200,IF(BU11=10,250,IF(BU11=12,300,IF(BU11=14,350,IF(BU11=16,400,IF(BU11=18,450,IF(BU11=20,500,IF(BU11=22,550,IF(BU11=24,600,IF(BU11=32,800,IF(BU11=34,850,IF(BU11=36,900)))))))))))))</f>
        <v>200</v>
      </c>
      <c r="BW11" s="329">
        <v>8.625</v>
      </c>
      <c r="BX11" s="329"/>
      <c r="BY11" s="329">
        <v>0.32200000000000001</v>
      </c>
      <c r="BZ11" s="329"/>
      <c r="CA11" s="329">
        <f>ROUND((BW11-(2*BY11))*0.0254,3)</f>
        <v>0.20300000000000001</v>
      </c>
      <c r="CB11" s="331">
        <f t="shared" si="4"/>
        <v>27</v>
      </c>
      <c r="CC11" s="201">
        <v>11</v>
      </c>
      <c r="CD11" s="195">
        <v>5</v>
      </c>
      <c r="CE11" s="325" t="s">
        <v>301</v>
      </c>
      <c r="CF11" s="64">
        <v>1</v>
      </c>
      <c r="CG11" s="328">
        <v>4</v>
      </c>
      <c r="CH11" s="324">
        <v>0.3</v>
      </c>
      <c r="CI11" s="324">
        <v>0.3</v>
      </c>
      <c r="CJ11" s="324">
        <v>0.28000000000000003</v>
      </c>
      <c r="CK11" s="324">
        <v>0.28000000000000003</v>
      </c>
      <c r="CL11" s="324">
        <v>0.26</v>
      </c>
      <c r="CM11" s="324">
        <v>0.26</v>
      </c>
      <c r="CN11" s="324">
        <v>0.26</v>
      </c>
      <c r="CO11" s="324">
        <v>0.26</v>
      </c>
      <c r="CP11" s="324">
        <v>0.26</v>
      </c>
      <c r="CQ11" s="324">
        <v>0.24</v>
      </c>
      <c r="CR11" s="324">
        <v>0.24</v>
      </c>
      <c r="CS11" s="324">
        <v>0.24</v>
      </c>
      <c r="CT11" s="324">
        <v>0.22</v>
      </c>
      <c r="CU11" s="324">
        <v>0.22</v>
      </c>
      <c r="CV11" s="324">
        <v>0.22</v>
      </c>
      <c r="CW11" s="324">
        <v>0.22</v>
      </c>
      <c r="CX11" s="64">
        <f>CH11</f>
        <v>0.3</v>
      </c>
      <c r="CY11" s="324">
        <f t="shared" ref="CY11:DA12" si="6">CJ11</f>
        <v>0.28000000000000003</v>
      </c>
      <c r="CZ11" s="324">
        <f t="shared" si="6"/>
        <v>0.28000000000000003</v>
      </c>
      <c r="DA11" s="324">
        <f t="shared" si="6"/>
        <v>0.26</v>
      </c>
      <c r="DB11" s="324">
        <f>CN11</f>
        <v>0.26</v>
      </c>
      <c r="DC11" s="324">
        <f t="shared" ref="DC11:DH12" si="7">CP11</f>
        <v>0.26</v>
      </c>
      <c r="DD11" s="324">
        <f t="shared" si="7"/>
        <v>0.24</v>
      </c>
      <c r="DE11" s="324">
        <f t="shared" si="7"/>
        <v>0.24</v>
      </c>
      <c r="DF11" s="324">
        <f t="shared" si="7"/>
        <v>0.24</v>
      </c>
      <c r="DG11" s="324">
        <f t="shared" si="7"/>
        <v>0.22</v>
      </c>
      <c r="DH11" s="324">
        <f t="shared" si="7"/>
        <v>0.22</v>
      </c>
      <c r="DI11" s="324">
        <v>0.22</v>
      </c>
      <c r="DJ11" s="324">
        <f t="shared" si="2"/>
        <v>0.22</v>
      </c>
      <c r="DK11" s="324">
        <f t="shared" si="3"/>
        <v>0.22</v>
      </c>
      <c r="DO11" s="324">
        <v>0.25</v>
      </c>
    </row>
    <row r="12" spans="1:119" ht="20.100000000000001" customHeight="1">
      <c r="B12" s="802" t="s">
        <v>178</v>
      </c>
      <c r="C12" s="802"/>
      <c r="D12" s="802"/>
      <c r="E12" s="802"/>
      <c r="F12" s="802"/>
      <c r="G12" s="802"/>
      <c r="H12" s="108" t="s">
        <v>218</v>
      </c>
      <c r="I12" s="269">
        <f>I10*I9</f>
        <v>7.0464000000000013E-2</v>
      </c>
      <c r="J12" s="108" t="s">
        <v>164</v>
      </c>
      <c r="K12" s="94"/>
      <c r="L12" s="110"/>
      <c r="Y12" s="1021" t="s">
        <v>226</v>
      </c>
      <c r="Z12" s="1022"/>
      <c r="AA12" s="1023"/>
      <c r="AB12" s="359">
        <v>150</v>
      </c>
      <c r="AC12" s="360">
        <v>480</v>
      </c>
      <c r="AD12" s="7"/>
      <c r="AE12" s="381">
        <v>3</v>
      </c>
      <c r="AF12" s="382">
        <v>999.98</v>
      </c>
      <c r="AG12" s="383">
        <v>1.619E-3</v>
      </c>
      <c r="AH12" s="379">
        <f t="shared" si="0"/>
        <v>1.6190323806476128E-6</v>
      </c>
      <c r="AI12" s="7"/>
      <c r="AJ12" s="7"/>
      <c r="AK12" s="7"/>
      <c r="AL12" s="7"/>
      <c r="AM12" s="334" t="s">
        <v>418</v>
      </c>
      <c r="AN12" s="324">
        <v>0.82</v>
      </c>
      <c r="AO12" s="324">
        <v>0.82</v>
      </c>
      <c r="AP12" s="324">
        <v>0.91</v>
      </c>
      <c r="AQ12" s="324">
        <v>6.1</v>
      </c>
      <c r="AR12" s="340">
        <v>5.5</v>
      </c>
      <c r="AS12" s="43"/>
      <c r="AT12" s="369">
        <v>60</v>
      </c>
      <c r="AU12" s="370">
        <v>0.25</v>
      </c>
      <c r="AV12" s="7"/>
      <c r="AW12" s="356">
        <v>0.625</v>
      </c>
      <c r="AX12" s="354">
        <f>PI()*((AW12*0.0254)^2)/4</f>
        <v>1.9793260902246007E-4</v>
      </c>
      <c r="AY12" s="115"/>
      <c r="AZ12" s="329">
        <v>0.15</v>
      </c>
      <c r="BA12" s="115"/>
      <c r="BB12" s="328">
        <v>3</v>
      </c>
      <c r="BC12" s="354">
        <f>PI()*((BB12*0.0254)^2)/4</f>
        <v>4.5603673118774788E-3</v>
      </c>
      <c r="BD12" s="85"/>
      <c r="BE12" s="85"/>
      <c r="BF12" s="85"/>
      <c r="BG12" s="64" t="s">
        <v>248</v>
      </c>
      <c r="BH12" s="354">
        <f>(12*0.0254)^2</f>
        <v>9.2903039999999978E-2</v>
      </c>
      <c r="BI12" s="354">
        <f>12*0.0254</f>
        <v>0.30479999999999996</v>
      </c>
      <c r="BJ12" s="115"/>
      <c r="BK12" s="115"/>
      <c r="BL12" s="127"/>
      <c r="BM12" s="64">
        <v>13</v>
      </c>
      <c r="BP12" s="31">
        <v>12</v>
      </c>
      <c r="BQ12" s="385" t="s">
        <v>292</v>
      </c>
      <c r="BR12" s="386">
        <v>0.25</v>
      </c>
      <c r="BS12" s="381">
        <v>140</v>
      </c>
      <c r="BT12" s="31">
        <v>12</v>
      </c>
      <c r="BU12" s="64">
        <v>10</v>
      </c>
      <c r="BV12" s="64">
        <f t="shared" si="5"/>
        <v>250</v>
      </c>
      <c r="BW12" s="329">
        <v>10.75</v>
      </c>
      <c r="BX12" s="329"/>
      <c r="BY12" s="329">
        <v>0.36499999999999999</v>
      </c>
      <c r="BZ12" s="329"/>
      <c r="CA12" s="329">
        <f t="shared" ref="CA12:CA18" si="8">ROUND((BW12-(2*BY12))*0.0254,3)</f>
        <v>0.255</v>
      </c>
      <c r="CB12" s="331">
        <f t="shared" si="4"/>
        <v>29</v>
      </c>
      <c r="CC12" s="201">
        <v>12</v>
      </c>
      <c r="CD12" s="195">
        <v>6</v>
      </c>
      <c r="CE12" s="325" t="s">
        <v>308</v>
      </c>
      <c r="CF12" s="64">
        <v>1</v>
      </c>
      <c r="CG12" s="328">
        <v>4</v>
      </c>
      <c r="CH12" s="329">
        <v>0.18</v>
      </c>
      <c r="CI12" s="329">
        <v>0.17799999999999999</v>
      </c>
      <c r="CJ12" s="330">
        <v>0.16800000000000001</v>
      </c>
      <c r="CK12" s="330">
        <v>0.16800000000000001</v>
      </c>
      <c r="CL12" s="330">
        <v>0.156</v>
      </c>
      <c r="CM12" s="330">
        <v>0.156</v>
      </c>
      <c r="CN12" s="330">
        <v>0.156</v>
      </c>
      <c r="CO12" s="330">
        <v>0.156</v>
      </c>
      <c r="CP12" s="330">
        <v>0.156</v>
      </c>
      <c r="CQ12" s="330">
        <v>0.14399999999999999</v>
      </c>
      <c r="CR12" s="330">
        <v>0.14399999999999999</v>
      </c>
      <c r="CS12" s="330">
        <v>0.14399999999999999</v>
      </c>
      <c r="CT12" s="330">
        <v>0.13200000000000001</v>
      </c>
      <c r="CU12" s="330">
        <v>0.13200000000000001</v>
      </c>
      <c r="CV12" s="330">
        <v>0.13200000000000001</v>
      </c>
      <c r="CW12" s="330">
        <v>0.13200000000000001</v>
      </c>
      <c r="CX12" s="64">
        <f>CH12</f>
        <v>0.18</v>
      </c>
      <c r="CY12" s="324">
        <f t="shared" si="6"/>
        <v>0.16800000000000001</v>
      </c>
      <c r="CZ12" s="324">
        <f t="shared" si="6"/>
        <v>0.16800000000000001</v>
      </c>
      <c r="DA12" s="324">
        <f t="shared" si="6"/>
        <v>0.156</v>
      </c>
      <c r="DB12" s="324">
        <f>CN12</f>
        <v>0.156</v>
      </c>
      <c r="DC12" s="324">
        <f t="shared" si="7"/>
        <v>0.156</v>
      </c>
      <c r="DD12" s="324">
        <f t="shared" si="7"/>
        <v>0.14399999999999999</v>
      </c>
      <c r="DE12" s="324">
        <f t="shared" si="7"/>
        <v>0.14399999999999999</v>
      </c>
      <c r="DF12" s="324">
        <f t="shared" si="7"/>
        <v>0.14399999999999999</v>
      </c>
      <c r="DG12" s="324">
        <f t="shared" si="7"/>
        <v>0.13200000000000001</v>
      </c>
      <c r="DH12" s="324">
        <f t="shared" si="7"/>
        <v>0.13200000000000001</v>
      </c>
      <c r="DI12" s="324">
        <v>0.13200000000000001</v>
      </c>
      <c r="DJ12" s="324">
        <f t="shared" si="2"/>
        <v>0.13200000000000001</v>
      </c>
      <c r="DK12" s="324">
        <f t="shared" si="3"/>
        <v>0.13200000000000001</v>
      </c>
      <c r="DO12" s="324">
        <v>0.3</v>
      </c>
    </row>
    <row r="13" spans="1:119" ht="20.100000000000001" customHeight="1">
      <c r="B13" s="92"/>
      <c r="C13" s="92"/>
      <c r="D13" s="92"/>
      <c r="E13" s="92"/>
      <c r="F13" s="92"/>
      <c r="G13" s="92"/>
      <c r="H13" s="75"/>
      <c r="I13" s="76"/>
      <c r="J13" s="75"/>
      <c r="K13" s="94"/>
      <c r="L13" s="110"/>
      <c r="Y13" s="1021" t="s">
        <v>190</v>
      </c>
      <c r="Z13" s="1022"/>
      <c r="AA13" s="1023"/>
      <c r="AB13" s="359" t="s">
        <v>205</v>
      </c>
      <c r="AC13" s="361" t="s">
        <v>205</v>
      </c>
      <c r="AD13" s="7"/>
      <c r="AE13" s="381">
        <v>4</v>
      </c>
      <c r="AF13" s="382">
        <v>1000</v>
      </c>
      <c r="AG13" s="383">
        <v>1.567E-3</v>
      </c>
      <c r="AH13" s="379">
        <f t="shared" si="0"/>
        <v>1.567E-6</v>
      </c>
      <c r="AI13" s="7"/>
      <c r="AJ13" s="7"/>
      <c r="AK13" s="7"/>
      <c r="AL13" s="7"/>
      <c r="AM13" s="334" t="s">
        <v>419</v>
      </c>
      <c r="AN13" s="324">
        <v>1</v>
      </c>
      <c r="AO13" s="324">
        <v>1</v>
      </c>
      <c r="AP13" s="324">
        <v>1</v>
      </c>
      <c r="AQ13" s="324">
        <v>6</v>
      </c>
      <c r="AR13" s="340">
        <v>6</v>
      </c>
      <c r="AS13" s="43"/>
      <c r="AT13" s="369">
        <v>50</v>
      </c>
      <c r="AU13" s="370">
        <v>0.29699999999999999</v>
      </c>
      <c r="AV13" s="7"/>
      <c r="AW13" s="111"/>
      <c r="AX13" s="111"/>
      <c r="AY13" s="111"/>
      <c r="AZ13" s="111"/>
      <c r="BA13" s="111"/>
      <c r="BB13" s="111"/>
      <c r="BC13" s="111"/>
      <c r="BD13" s="85"/>
      <c r="BE13" s="120"/>
      <c r="BF13" s="85"/>
      <c r="BG13" s="64" t="s">
        <v>249</v>
      </c>
      <c r="BH13" s="354">
        <f>(14*0.0254)^2</f>
        <v>0.12645135999999998</v>
      </c>
      <c r="BI13" s="354">
        <f>14*0.0254</f>
        <v>0.35559999999999997</v>
      </c>
      <c r="BJ13" s="115"/>
      <c r="BK13" s="115"/>
      <c r="BL13" s="127"/>
      <c r="BM13" s="64">
        <v>14</v>
      </c>
      <c r="BP13" s="31">
        <v>13</v>
      </c>
      <c r="BQ13" s="385" t="s">
        <v>296</v>
      </c>
      <c r="BR13" s="386">
        <v>7.0000000000000001E-3</v>
      </c>
      <c r="BS13" s="381">
        <v>150</v>
      </c>
      <c r="BT13" s="31">
        <v>13</v>
      </c>
      <c r="BU13" s="64">
        <v>12</v>
      </c>
      <c r="BV13" s="64">
        <f t="shared" si="5"/>
        <v>300</v>
      </c>
      <c r="BW13" s="329">
        <v>12.75</v>
      </c>
      <c r="BX13" s="329"/>
      <c r="BY13" s="329">
        <v>0.40600000000000003</v>
      </c>
      <c r="BZ13" s="329"/>
      <c r="CA13" s="329">
        <f t="shared" si="8"/>
        <v>0.30299999999999999</v>
      </c>
      <c r="CB13" s="331">
        <f t="shared" si="4"/>
        <v>31</v>
      </c>
      <c r="CC13" s="201">
        <v>13</v>
      </c>
      <c r="CD13" s="195">
        <v>7</v>
      </c>
      <c r="CE13" s="325"/>
      <c r="CF13" s="64"/>
      <c r="CG13" s="328"/>
      <c r="CH13" s="324"/>
      <c r="CI13" s="324"/>
      <c r="CJ13" s="324"/>
      <c r="CK13" s="324"/>
      <c r="CL13" s="324"/>
      <c r="CM13" s="324"/>
      <c r="CN13" s="324"/>
      <c r="CO13" s="324"/>
      <c r="CP13" s="324"/>
      <c r="CQ13" s="324"/>
      <c r="CR13" s="324"/>
      <c r="CS13" s="324"/>
      <c r="CT13" s="324"/>
      <c r="CU13" s="324"/>
      <c r="CV13" s="324"/>
      <c r="CW13" s="324"/>
      <c r="CX13" s="64"/>
      <c r="CY13" s="324"/>
      <c r="CZ13" s="324"/>
      <c r="DA13" s="324"/>
      <c r="DB13" s="324"/>
      <c r="DC13" s="324"/>
      <c r="DD13" s="324"/>
      <c r="DE13" s="324"/>
      <c r="DF13" s="324"/>
      <c r="DG13" s="324"/>
      <c r="DH13" s="324"/>
      <c r="DI13" s="324"/>
      <c r="DJ13" s="324"/>
      <c r="DK13" s="324"/>
      <c r="DO13" s="324">
        <v>0.35</v>
      </c>
    </row>
    <row r="14" spans="1:119" ht="20.100000000000001" customHeight="1">
      <c r="B14" s="23" t="s">
        <v>196</v>
      </c>
      <c r="C14" s="92"/>
      <c r="D14" s="92"/>
      <c r="E14" s="92"/>
      <c r="F14" s="92"/>
      <c r="G14" s="92"/>
      <c r="H14" s="75"/>
      <c r="I14" s="76"/>
      <c r="J14" s="75"/>
      <c r="K14" s="94"/>
      <c r="L14" s="110"/>
      <c r="Y14" s="1021" t="s">
        <v>191</v>
      </c>
      <c r="Z14" s="1022"/>
      <c r="AA14" s="1023"/>
      <c r="AB14" s="359">
        <v>0.3</v>
      </c>
      <c r="AC14" s="359">
        <v>0.3</v>
      </c>
      <c r="AD14" s="7"/>
      <c r="AE14" s="381">
        <v>5</v>
      </c>
      <c r="AF14" s="382">
        <v>1000</v>
      </c>
      <c r="AG14" s="383">
        <v>1.519E-3</v>
      </c>
      <c r="AH14" s="379">
        <f t="shared" si="0"/>
        <v>1.519E-6</v>
      </c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369">
        <v>45</v>
      </c>
      <c r="AU14" s="370">
        <v>0.35399999999999998</v>
      </c>
      <c r="AV14" s="7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64" t="s">
        <v>250</v>
      </c>
      <c r="BH14" s="354">
        <f>(16*0.0254)^2</f>
        <v>0.16516096</v>
      </c>
      <c r="BI14" s="354">
        <f>16*0.0254</f>
        <v>0.40639999999999998</v>
      </c>
      <c r="BJ14" s="115"/>
      <c r="BK14" s="115"/>
      <c r="BL14" s="127"/>
      <c r="BP14" s="31">
        <v>14</v>
      </c>
      <c r="BQ14" s="385" t="s">
        <v>295</v>
      </c>
      <c r="BR14" s="386">
        <v>7.0000000000000001E-3</v>
      </c>
      <c r="BS14" s="381">
        <v>150</v>
      </c>
      <c r="BT14" s="31">
        <v>14</v>
      </c>
      <c r="BU14" s="64">
        <v>14</v>
      </c>
      <c r="BV14" s="64">
        <f t="shared" si="5"/>
        <v>350</v>
      </c>
      <c r="BW14" s="329">
        <v>14</v>
      </c>
      <c r="BX14" s="329"/>
      <c r="BY14" s="329">
        <v>0.438</v>
      </c>
      <c r="BZ14" s="329"/>
      <c r="CA14" s="329">
        <f t="shared" si="8"/>
        <v>0.33300000000000002</v>
      </c>
      <c r="CB14" s="331">
        <f t="shared" si="4"/>
        <v>32</v>
      </c>
      <c r="CC14" s="201">
        <v>14</v>
      </c>
      <c r="CD14" s="195">
        <v>8</v>
      </c>
      <c r="CE14" s="325" t="s">
        <v>303</v>
      </c>
      <c r="CF14" s="64">
        <v>0</v>
      </c>
      <c r="CG14" s="328">
        <f>I168</f>
        <v>2.8712868195288328</v>
      </c>
      <c r="CH14" s="324">
        <v>0.3</v>
      </c>
      <c r="CI14" s="324">
        <v>0.3</v>
      </c>
      <c r="CJ14" s="324">
        <v>0.28000000000000003</v>
      </c>
      <c r="CK14" s="324">
        <v>0.28000000000000003</v>
      </c>
      <c r="CL14" s="324">
        <v>0.26</v>
      </c>
      <c r="CM14" s="324">
        <v>0.26</v>
      </c>
      <c r="CN14" s="324">
        <v>0.26</v>
      </c>
      <c r="CO14" s="324">
        <v>0.26</v>
      </c>
      <c r="CP14" s="324">
        <v>0.26</v>
      </c>
      <c r="CQ14" s="324">
        <v>0.24</v>
      </c>
      <c r="CR14" s="324">
        <v>0.24</v>
      </c>
      <c r="CS14" s="324">
        <v>0.24</v>
      </c>
      <c r="CT14" s="324">
        <v>0.22</v>
      </c>
      <c r="CU14" s="324">
        <v>0.22</v>
      </c>
      <c r="CV14" s="324">
        <v>0.22</v>
      </c>
      <c r="CW14" s="324">
        <v>0.22</v>
      </c>
      <c r="CX14" s="64">
        <f>CH14</f>
        <v>0.3</v>
      </c>
      <c r="CY14" s="324">
        <f>CJ14</f>
        <v>0.28000000000000003</v>
      </c>
      <c r="CZ14" s="324">
        <f>CK14</f>
        <v>0.28000000000000003</v>
      </c>
      <c r="DA14" s="324">
        <f>CL14</f>
        <v>0.26</v>
      </c>
      <c r="DB14" s="324">
        <f>CN14</f>
        <v>0.26</v>
      </c>
      <c r="DC14" s="324">
        <f t="shared" ref="DC14:DH14" si="9">CP14</f>
        <v>0.26</v>
      </c>
      <c r="DD14" s="324">
        <f t="shared" si="9"/>
        <v>0.24</v>
      </c>
      <c r="DE14" s="324">
        <f t="shared" si="9"/>
        <v>0.24</v>
      </c>
      <c r="DF14" s="324">
        <f t="shared" si="9"/>
        <v>0.24</v>
      </c>
      <c r="DG14" s="324">
        <f t="shared" si="9"/>
        <v>0.22</v>
      </c>
      <c r="DH14" s="324">
        <f t="shared" si="9"/>
        <v>0.22</v>
      </c>
      <c r="DI14" s="324">
        <v>0.22</v>
      </c>
      <c r="DJ14" s="324">
        <f t="shared" si="2"/>
        <v>0.22</v>
      </c>
      <c r="DK14" s="324">
        <f t="shared" si="3"/>
        <v>0.22</v>
      </c>
    </row>
    <row r="15" spans="1:119" ht="20.100000000000001" customHeight="1">
      <c r="B15" s="707" t="s">
        <v>187</v>
      </c>
      <c r="C15" s="708"/>
      <c r="D15" s="708"/>
      <c r="E15" s="708"/>
      <c r="F15" s="709"/>
      <c r="G15" s="1041" t="s">
        <v>185</v>
      </c>
      <c r="H15" s="1042"/>
      <c r="I15" s="257"/>
      <c r="J15" s="75"/>
      <c r="K15" s="94"/>
      <c r="L15" s="110"/>
      <c r="Y15" s="1021" t="s">
        <v>192</v>
      </c>
      <c r="Z15" s="1022"/>
      <c r="AA15" s="1023"/>
      <c r="AB15" s="359" t="s">
        <v>206</v>
      </c>
      <c r="AC15" s="359" t="s">
        <v>206</v>
      </c>
      <c r="AD15" s="7"/>
      <c r="AE15" s="381">
        <v>6</v>
      </c>
      <c r="AF15" s="382">
        <v>999.99</v>
      </c>
      <c r="AG15" s="383">
        <v>1.4730000000000001E-3</v>
      </c>
      <c r="AH15" s="379">
        <f t="shared" si="0"/>
        <v>1.4730147301473016E-6</v>
      </c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369">
        <v>40</v>
      </c>
      <c r="AU15" s="370">
        <v>0.4</v>
      </c>
      <c r="AV15" s="7"/>
      <c r="AW15" s="85"/>
      <c r="AX15" s="85"/>
      <c r="AY15" s="85"/>
      <c r="AZ15" s="85"/>
      <c r="BA15" s="85"/>
      <c r="BB15" s="5"/>
      <c r="BC15" s="85"/>
      <c r="BD15" s="85"/>
      <c r="BE15" s="85"/>
      <c r="BF15" s="85"/>
      <c r="BG15" s="64" t="s">
        <v>251</v>
      </c>
      <c r="BH15" s="354">
        <f>(18*0.0254)^2</f>
        <v>0.20903184</v>
      </c>
      <c r="BI15" s="354">
        <f>18*0.0254</f>
        <v>0.4572</v>
      </c>
      <c r="BJ15" s="115"/>
      <c r="BK15" s="115"/>
      <c r="BL15" s="127"/>
      <c r="BP15" s="31">
        <v>15</v>
      </c>
      <c r="BQ15" s="385" t="s">
        <v>284</v>
      </c>
      <c r="BR15" s="381">
        <v>1.5E-3</v>
      </c>
      <c r="BS15" s="381">
        <v>150</v>
      </c>
      <c r="BT15" s="31">
        <v>15</v>
      </c>
      <c r="BU15" s="64">
        <v>16</v>
      </c>
      <c r="BV15" s="64">
        <f t="shared" si="5"/>
        <v>400</v>
      </c>
      <c r="BW15" s="329">
        <v>16</v>
      </c>
      <c r="BX15" s="329"/>
      <c r="BY15" s="329">
        <v>0.5</v>
      </c>
      <c r="BZ15" s="329"/>
      <c r="CA15" s="329">
        <f t="shared" si="8"/>
        <v>0.38100000000000001</v>
      </c>
      <c r="CB15" s="331">
        <f t="shared" si="4"/>
        <v>32</v>
      </c>
      <c r="CC15" s="201">
        <v>15</v>
      </c>
      <c r="CD15" s="195">
        <v>9</v>
      </c>
      <c r="CE15" s="325"/>
      <c r="CF15" s="64"/>
      <c r="CG15" s="64"/>
      <c r="CH15" s="324"/>
      <c r="CI15" s="324"/>
      <c r="CJ15" s="324"/>
      <c r="CK15" s="324"/>
      <c r="CL15" s="324"/>
      <c r="CM15" s="324"/>
      <c r="CN15" s="324"/>
      <c r="CO15" s="324"/>
      <c r="CP15" s="324"/>
      <c r="CQ15" s="324"/>
      <c r="CR15" s="324"/>
      <c r="CS15" s="324"/>
      <c r="CT15" s="324"/>
      <c r="CU15" s="324"/>
      <c r="CV15" s="324"/>
      <c r="CW15" s="324"/>
      <c r="CX15" s="64"/>
      <c r="CY15" s="324"/>
      <c r="CZ15" s="324"/>
      <c r="DA15" s="324"/>
      <c r="DB15" s="324"/>
      <c r="DC15" s="324"/>
      <c r="DD15" s="324"/>
      <c r="DE15" s="324"/>
      <c r="DF15" s="324"/>
      <c r="DG15" s="324"/>
      <c r="DH15" s="324"/>
      <c r="DI15" s="324"/>
      <c r="DJ15" s="324"/>
      <c r="DK15" s="324"/>
    </row>
    <row r="16" spans="1:119" ht="20.100000000000001" customHeight="1">
      <c r="B16" s="707" t="s">
        <v>188</v>
      </c>
      <c r="C16" s="708"/>
      <c r="D16" s="708"/>
      <c r="E16" s="708"/>
      <c r="F16" s="709"/>
      <c r="G16" s="1043" t="str">
        <f>IF($G$15=$AB$8,$AB$9,IF($G$15=$AC$8,$AC$9,""))</f>
        <v>Arena</v>
      </c>
      <c r="H16" s="1044"/>
      <c r="I16" s="257"/>
      <c r="J16" s="75"/>
      <c r="K16" s="94"/>
      <c r="L16" s="110"/>
      <c r="Y16" s="1021" t="s">
        <v>202</v>
      </c>
      <c r="Z16" s="1022"/>
      <c r="AA16" s="1023"/>
      <c r="AB16" s="359" t="s">
        <v>207</v>
      </c>
      <c r="AC16" s="359">
        <v>6</v>
      </c>
      <c r="AD16" s="7"/>
      <c r="AE16" s="381">
        <v>7</v>
      </c>
      <c r="AF16" s="382">
        <v>999.96</v>
      </c>
      <c r="AG16" s="383">
        <v>1.428E-3</v>
      </c>
      <c r="AH16" s="379">
        <f t="shared" si="0"/>
        <v>1.4280571222848913E-6</v>
      </c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369">
        <v>35</v>
      </c>
      <c r="AU16" s="370">
        <v>0.5</v>
      </c>
      <c r="AV16" s="7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64" t="s">
        <v>252</v>
      </c>
      <c r="BH16" s="354">
        <f>(20*0.0254)^2</f>
        <v>0.25806400000000002</v>
      </c>
      <c r="BI16" s="354">
        <f>20*0.0254</f>
        <v>0.50800000000000001</v>
      </c>
      <c r="BJ16" s="115"/>
      <c r="BK16" s="115"/>
      <c r="BL16" s="127"/>
      <c r="BP16" s="31">
        <v>16</v>
      </c>
      <c r="BQ16" s="385" t="s">
        <v>283</v>
      </c>
      <c r="BR16" s="381">
        <v>1.5E-3</v>
      </c>
      <c r="BS16" s="381">
        <v>150</v>
      </c>
      <c r="BT16" s="31">
        <v>16</v>
      </c>
      <c r="BU16" s="332">
        <v>18</v>
      </c>
      <c r="BV16" s="64">
        <f t="shared" si="5"/>
        <v>450</v>
      </c>
      <c r="BW16" s="333">
        <v>18</v>
      </c>
      <c r="BX16" s="333"/>
      <c r="BY16" s="333">
        <v>0.56200000000000006</v>
      </c>
      <c r="BZ16" s="333"/>
      <c r="CA16" s="333">
        <f t="shared" si="8"/>
        <v>0.42899999999999999</v>
      </c>
      <c r="CB16" s="331">
        <f t="shared" si="4"/>
        <v>32</v>
      </c>
      <c r="CC16" s="201">
        <v>16</v>
      </c>
      <c r="CD16" s="195">
        <v>10</v>
      </c>
      <c r="CE16" s="325" t="s">
        <v>304</v>
      </c>
      <c r="CF16" s="64">
        <v>1</v>
      </c>
      <c r="CG16" s="64">
        <v>2</v>
      </c>
      <c r="CH16" s="324">
        <v>0.9</v>
      </c>
      <c r="CI16" s="324">
        <v>0.9</v>
      </c>
      <c r="CJ16" s="324">
        <v>0.84</v>
      </c>
      <c r="CK16" s="324">
        <v>0.84</v>
      </c>
      <c r="CL16" s="324">
        <v>0.78</v>
      </c>
      <c r="CM16" s="324">
        <v>0.78</v>
      </c>
      <c r="CN16" s="324">
        <v>0.78</v>
      </c>
      <c r="CO16" s="324">
        <v>0.78</v>
      </c>
      <c r="CP16" s="324">
        <v>0.78</v>
      </c>
      <c r="CQ16" s="324">
        <v>0.72</v>
      </c>
      <c r="CR16" s="324">
        <v>0.72</v>
      </c>
      <c r="CS16" s="324">
        <v>0.72</v>
      </c>
      <c r="CT16" s="324">
        <v>0.66</v>
      </c>
      <c r="CU16" s="324">
        <v>0.66</v>
      </c>
      <c r="CV16" s="324">
        <v>0.66</v>
      </c>
      <c r="CW16" s="324">
        <v>0.66</v>
      </c>
      <c r="CX16" s="64">
        <f>CH16</f>
        <v>0.9</v>
      </c>
      <c r="CY16" s="324">
        <f>CJ16</f>
        <v>0.84</v>
      </c>
      <c r="CZ16" s="324">
        <f>CK16</f>
        <v>0.84</v>
      </c>
      <c r="DA16" s="324">
        <f>CL16</f>
        <v>0.78</v>
      </c>
      <c r="DB16" s="324">
        <f>CN16</f>
        <v>0.78</v>
      </c>
      <c r="DC16" s="324">
        <f t="shared" ref="DC16:DH16" si="10">CP16</f>
        <v>0.78</v>
      </c>
      <c r="DD16" s="324">
        <f t="shared" si="10"/>
        <v>0.72</v>
      </c>
      <c r="DE16" s="324">
        <f t="shared" si="10"/>
        <v>0.72</v>
      </c>
      <c r="DF16" s="324">
        <f t="shared" si="10"/>
        <v>0.72</v>
      </c>
      <c r="DG16" s="324">
        <f t="shared" si="10"/>
        <v>0.66</v>
      </c>
      <c r="DH16" s="324">
        <f t="shared" si="10"/>
        <v>0.66</v>
      </c>
      <c r="DI16" s="324">
        <v>0.66</v>
      </c>
      <c r="DJ16" s="324">
        <f t="shared" si="2"/>
        <v>0.66</v>
      </c>
      <c r="DK16" s="324">
        <f t="shared" si="3"/>
        <v>0.66</v>
      </c>
    </row>
    <row r="17" spans="2:115" ht="20.100000000000001" customHeight="1">
      <c r="B17" s="707" t="s">
        <v>189</v>
      </c>
      <c r="C17" s="708"/>
      <c r="D17" s="708"/>
      <c r="E17" s="708"/>
      <c r="F17" s="709"/>
      <c r="G17" s="1043" t="str">
        <f>IF($G$15=$AB$8,AB10,IF($G$15=$AC$8,AC10,""))</f>
        <v>Estratificado fino a grueso</v>
      </c>
      <c r="H17" s="1044"/>
      <c r="I17" s="257"/>
      <c r="J17" s="75"/>
      <c r="K17" s="94"/>
      <c r="L17" s="110"/>
      <c r="Y17" s="1021" t="s">
        <v>193</v>
      </c>
      <c r="Z17" s="1022"/>
      <c r="AA17" s="1023"/>
      <c r="AB17" s="359" t="s">
        <v>208</v>
      </c>
      <c r="AC17" s="359" t="s">
        <v>214</v>
      </c>
      <c r="AD17" s="7"/>
      <c r="AE17" s="381">
        <v>8</v>
      </c>
      <c r="AF17" s="382">
        <v>999.91</v>
      </c>
      <c r="AG17" s="383">
        <v>1.3859999999999999E-3</v>
      </c>
      <c r="AH17" s="379">
        <f t="shared" si="0"/>
        <v>1.3861247512276103E-6</v>
      </c>
      <c r="AI17" s="7"/>
      <c r="AJ17" s="7"/>
      <c r="AK17" s="7"/>
      <c r="AL17" s="7"/>
      <c r="AM17" s="7"/>
      <c r="AN17" s="7"/>
      <c r="AO17" s="7"/>
      <c r="AP17" s="7"/>
      <c r="AQ17" s="7"/>
      <c r="AR17" s="62"/>
      <c r="AS17" s="62"/>
      <c r="AT17" s="369">
        <v>30</v>
      </c>
      <c r="AU17" s="370">
        <v>0.59499999999999997</v>
      </c>
      <c r="AV17" s="7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H17" s="115"/>
      <c r="BI17" s="35"/>
      <c r="BJ17" s="35"/>
      <c r="BK17" s="35"/>
      <c r="BL17" s="35"/>
      <c r="BQ17" s="154"/>
      <c r="BR17" s="22"/>
      <c r="BS17" s="22"/>
      <c r="BT17" s="31">
        <v>17</v>
      </c>
      <c r="BU17" s="64">
        <v>20</v>
      </c>
      <c r="BV17" s="64">
        <f t="shared" si="5"/>
        <v>500</v>
      </c>
      <c r="BW17" s="329">
        <v>20</v>
      </c>
      <c r="BX17" s="329"/>
      <c r="BY17" s="329">
        <v>0.59399999999999997</v>
      </c>
      <c r="BZ17" s="329"/>
      <c r="CA17" s="329">
        <f t="shared" si="8"/>
        <v>0.47799999999999998</v>
      </c>
      <c r="CB17" s="331">
        <f t="shared" si="4"/>
        <v>34</v>
      </c>
      <c r="CC17" s="201">
        <v>17</v>
      </c>
      <c r="CD17" s="195">
        <v>11</v>
      </c>
      <c r="CE17" s="325"/>
      <c r="CF17" s="64"/>
      <c r="CG17" s="64"/>
      <c r="CH17" s="324"/>
      <c r="CI17" s="324"/>
      <c r="CJ17" s="324"/>
      <c r="CK17" s="324"/>
      <c r="CL17" s="324"/>
      <c r="CM17" s="324"/>
      <c r="CN17" s="324"/>
      <c r="CO17" s="324"/>
      <c r="CP17" s="324"/>
      <c r="CQ17" s="324"/>
      <c r="CR17" s="324"/>
      <c r="CS17" s="324"/>
      <c r="CT17" s="324"/>
      <c r="CU17" s="324"/>
      <c r="CV17" s="324"/>
      <c r="CW17" s="324"/>
      <c r="CX17" s="64"/>
      <c r="CY17" s="324"/>
      <c r="CZ17" s="324"/>
      <c r="DA17" s="324"/>
      <c r="DB17" s="324"/>
      <c r="DC17" s="324"/>
      <c r="DD17" s="324"/>
      <c r="DE17" s="324"/>
      <c r="DF17" s="324"/>
      <c r="DG17" s="324"/>
      <c r="DH17" s="324"/>
      <c r="DI17" s="324"/>
      <c r="DJ17" s="324"/>
      <c r="DK17" s="324"/>
    </row>
    <row r="18" spans="2:115" ht="20.100000000000001" customHeight="1">
      <c r="B18" s="707" t="s">
        <v>195</v>
      </c>
      <c r="C18" s="708"/>
      <c r="D18" s="708"/>
      <c r="E18" s="708"/>
      <c r="F18" s="709"/>
      <c r="G18" s="1041" t="s">
        <v>200</v>
      </c>
      <c r="H18" s="1042"/>
      <c r="I18" s="257"/>
      <c r="J18" s="75"/>
      <c r="K18" s="94"/>
      <c r="L18" s="110"/>
      <c r="Y18" s="1021"/>
      <c r="Z18" s="1022"/>
      <c r="AA18" s="1023"/>
      <c r="AB18" s="362"/>
      <c r="AC18" s="359" t="s">
        <v>215</v>
      </c>
      <c r="AD18" s="7"/>
      <c r="AE18" s="381">
        <v>9</v>
      </c>
      <c r="AF18" s="382">
        <v>999.85</v>
      </c>
      <c r="AG18" s="383">
        <v>1.3460000000000002E-3</v>
      </c>
      <c r="AH18" s="379">
        <f t="shared" si="0"/>
        <v>1.3462019302895435E-6</v>
      </c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369">
        <v>25</v>
      </c>
      <c r="AU18" s="370">
        <v>0.70699999999999996</v>
      </c>
      <c r="AV18" s="7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Q18" s="154"/>
      <c r="BR18" s="22"/>
      <c r="BS18" s="22"/>
      <c r="BT18" s="31">
        <v>18</v>
      </c>
      <c r="BU18" s="64">
        <v>24</v>
      </c>
      <c r="BV18" s="64">
        <f t="shared" si="5"/>
        <v>600</v>
      </c>
      <c r="BW18" s="329">
        <v>24</v>
      </c>
      <c r="BX18" s="329"/>
      <c r="BY18" s="329">
        <v>0.68799999999999994</v>
      </c>
      <c r="BZ18" s="329"/>
      <c r="CA18" s="329">
        <f t="shared" si="8"/>
        <v>0.57499999999999996</v>
      </c>
      <c r="CB18" s="331">
        <f t="shared" si="4"/>
        <v>35</v>
      </c>
      <c r="CC18" s="201">
        <v>18</v>
      </c>
      <c r="CD18" s="195">
        <v>12</v>
      </c>
      <c r="CE18" s="325" t="s">
        <v>307</v>
      </c>
      <c r="CF18" s="64">
        <v>0</v>
      </c>
      <c r="CG18" s="64">
        <f>ROUND(I266/6,0)</f>
        <v>0</v>
      </c>
      <c r="CH18" s="324">
        <v>0.3</v>
      </c>
      <c r="CI18" s="324">
        <v>0.3</v>
      </c>
      <c r="CJ18" s="324">
        <v>0.3</v>
      </c>
      <c r="CK18" s="324">
        <v>0.3</v>
      </c>
      <c r="CL18" s="324">
        <v>0.3</v>
      </c>
      <c r="CM18" s="324">
        <v>0.3</v>
      </c>
      <c r="CN18" s="324">
        <v>0.3</v>
      </c>
      <c r="CO18" s="324">
        <v>0.3</v>
      </c>
      <c r="CP18" s="324">
        <v>0.3</v>
      </c>
      <c r="CQ18" s="324">
        <v>0.3</v>
      </c>
      <c r="CR18" s="324">
        <v>0.3</v>
      </c>
      <c r="CS18" s="324">
        <v>0.3</v>
      </c>
      <c r="CT18" s="324">
        <v>0.3</v>
      </c>
      <c r="CU18" s="324">
        <v>0.3</v>
      </c>
      <c r="CV18" s="324">
        <v>0.3</v>
      </c>
      <c r="CW18" s="324">
        <v>0.3</v>
      </c>
      <c r="CX18" s="64">
        <f>CH18</f>
        <v>0.3</v>
      </c>
      <c r="CY18" s="324">
        <f>CJ18</f>
        <v>0.3</v>
      </c>
      <c r="CZ18" s="324">
        <f>CK18</f>
        <v>0.3</v>
      </c>
      <c r="DA18" s="324">
        <f>CL18</f>
        <v>0.3</v>
      </c>
      <c r="DB18" s="324">
        <f>CN18</f>
        <v>0.3</v>
      </c>
      <c r="DC18" s="324">
        <f t="shared" ref="DC18:DH18" si="11">CP18</f>
        <v>0.3</v>
      </c>
      <c r="DD18" s="324">
        <f t="shared" si="11"/>
        <v>0.3</v>
      </c>
      <c r="DE18" s="324">
        <f t="shared" si="11"/>
        <v>0.3</v>
      </c>
      <c r="DF18" s="324">
        <f t="shared" si="11"/>
        <v>0.3</v>
      </c>
      <c r="DG18" s="324">
        <f t="shared" si="11"/>
        <v>0.3</v>
      </c>
      <c r="DH18" s="324">
        <f t="shared" si="11"/>
        <v>0.3</v>
      </c>
      <c r="DI18" s="324">
        <v>0.3</v>
      </c>
      <c r="DJ18" s="324">
        <f t="shared" si="2"/>
        <v>0.3</v>
      </c>
      <c r="DK18" s="324">
        <f t="shared" si="3"/>
        <v>0.3</v>
      </c>
    </row>
    <row r="19" spans="2:115" ht="20.100000000000001" customHeight="1">
      <c r="B19" s="707" t="s">
        <v>491</v>
      </c>
      <c r="C19" s="708"/>
      <c r="D19" s="708"/>
      <c r="E19" s="708"/>
      <c r="F19" s="709"/>
      <c r="G19" s="1019">
        <f t="shared" ref="G19:G25" si="12">IF($G$15=$AB$8,AB11,IF($G$15=$AC$8,AC11,""))</f>
        <v>120</v>
      </c>
      <c r="H19" s="1020"/>
      <c r="I19" s="108" t="s">
        <v>4</v>
      </c>
      <c r="J19" s="75"/>
      <c r="K19" s="94"/>
      <c r="L19" s="110"/>
      <c r="M19" s="90"/>
      <c r="N19" s="90"/>
      <c r="Y19" s="1021" t="s">
        <v>194</v>
      </c>
      <c r="Z19" s="1022"/>
      <c r="AA19" s="1023"/>
      <c r="AB19" s="362" t="s">
        <v>209</v>
      </c>
      <c r="AC19" s="359" t="s">
        <v>209</v>
      </c>
      <c r="AD19" s="86"/>
      <c r="AE19" s="381">
        <v>10</v>
      </c>
      <c r="AF19" s="382">
        <v>999.77</v>
      </c>
      <c r="AG19" s="383">
        <v>1.3080000000000001E-3</v>
      </c>
      <c r="AH19" s="379">
        <f t="shared" si="0"/>
        <v>1.3083009092091183E-6</v>
      </c>
      <c r="AI19" s="138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369">
        <v>20</v>
      </c>
      <c r="AU19" s="370">
        <v>0.84099999999999997</v>
      </c>
      <c r="AV19" s="7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Q19" s="35"/>
      <c r="BR19" s="35"/>
      <c r="BS19" s="35"/>
      <c r="BT19" s="31">
        <v>19</v>
      </c>
      <c r="BU19" s="967" t="str">
        <f>BQ10</f>
        <v>Acero al carbono API 5L SCH-80</v>
      </c>
      <c r="BV19" s="968"/>
      <c r="BW19" s="968"/>
      <c r="BX19" s="968"/>
      <c r="BY19" s="968"/>
      <c r="BZ19" s="968"/>
      <c r="CA19" s="968"/>
      <c r="CB19" s="969"/>
      <c r="CC19" s="201">
        <v>19</v>
      </c>
      <c r="CD19" s="195">
        <v>13</v>
      </c>
      <c r="CE19" s="325"/>
      <c r="CF19" s="64"/>
      <c r="CG19" s="64"/>
      <c r="CH19" s="324"/>
      <c r="CI19" s="324"/>
      <c r="CJ19" s="324"/>
      <c r="CK19" s="324"/>
      <c r="CL19" s="324"/>
      <c r="CM19" s="324"/>
      <c r="CN19" s="324"/>
      <c r="CO19" s="324"/>
      <c r="CP19" s="324"/>
      <c r="CQ19" s="324"/>
      <c r="CR19" s="324"/>
      <c r="CS19" s="324"/>
      <c r="CT19" s="324"/>
      <c r="CU19" s="324"/>
      <c r="CV19" s="324"/>
      <c r="CW19" s="324"/>
      <c r="CX19" s="64"/>
      <c r="CY19" s="324"/>
      <c r="CZ19" s="324"/>
      <c r="DA19" s="324"/>
      <c r="DB19" s="324"/>
      <c r="DC19" s="324"/>
      <c r="DD19" s="324"/>
      <c r="DE19" s="324"/>
      <c r="DF19" s="324"/>
      <c r="DG19" s="324"/>
      <c r="DH19" s="324"/>
      <c r="DI19" s="324"/>
      <c r="DJ19" s="324"/>
      <c r="DK19" s="324"/>
    </row>
    <row r="20" spans="2:115" ht="20.100000000000001" customHeight="1">
      <c r="B20" s="707" t="s">
        <v>226</v>
      </c>
      <c r="C20" s="708"/>
      <c r="D20" s="708"/>
      <c r="E20" s="708"/>
      <c r="F20" s="709"/>
      <c r="G20" s="1019">
        <f t="shared" si="12"/>
        <v>150</v>
      </c>
      <c r="H20" s="1020"/>
      <c r="I20" s="108" t="s">
        <v>4</v>
      </c>
      <c r="J20" s="75"/>
      <c r="K20" s="94"/>
      <c r="L20" s="110"/>
      <c r="M20" s="90"/>
      <c r="N20" s="90"/>
      <c r="Y20" s="1048" t="s">
        <v>195</v>
      </c>
      <c r="Z20" s="1049"/>
      <c r="AA20" s="1050"/>
      <c r="AB20" s="363"/>
      <c r="AC20" s="364" t="s">
        <v>201</v>
      </c>
      <c r="AD20" s="86"/>
      <c r="AE20" s="381">
        <v>11</v>
      </c>
      <c r="AF20" s="382">
        <v>999.68</v>
      </c>
      <c r="AG20" s="383">
        <v>1.271E-3</v>
      </c>
      <c r="AH20" s="379">
        <f t="shared" si="0"/>
        <v>1.2714068501920614E-6</v>
      </c>
      <c r="AI20" s="138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369">
        <v>18</v>
      </c>
      <c r="AU20" s="370">
        <v>1</v>
      </c>
      <c r="AV20" s="7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Q20" s="35"/>
      <c r="BR20" s="35"/>
      <c r="BS20" s="35"/>
      <c r="BT20" s="31">
        <v>20</v>
      </c>
      <c r="BU20" s="334"/>
      <c r="BV20" s="334"/>
      <c r="BW20" s="334"/>
      <c r="BX20" s="334"/>
      <c r="BY20" s="334"/>
      <c r="BZ20" s="334"/>
      <c r="CA20" s="334"/>
      <c r="CB20" s="334"/>
      <c r="CC20" s="201">
        <v>20</v>
      </c>
      <c r="CD20" s="195">
        <v>14</v>
      </c>
      <c r="CE20" s="325" t="s">
        <v>305</v>
      </c>
      <c r="CF20" s="64">
        <v>0</v>
      </c>
      <c r="CG20" s="64">
        <v>1</v>
      </c>
      <c r="CH20" s="324">
        <v>0.5</v>
      </c>
      <c r="CI20" s="324">
        <v>0.5</v>
      </c>
      <c r="CJ20" s="324">
        <v>0.5</v>
      </c>
      <c r="CK20" s="324">
        <v>0.5</v>
      </c>
      <c r="CL20" s="324">
        <v>0.5</v>
      </c>
      <c r="CM20" s="324">
        <v>0.5</v>
      </c>
      <c r="CN20" s="324">
        <v>0.5</v>
      </c>
      <c r="CO20" s="324">
        <v>0.5</v>
      </c>
      <c r="CP20" s="324">
        <v>0.5</v>
      </c>
      <c r="CQ20" s="324">
        <v>0.5</v>
      </c>
      <c r="CR20" s="324">
        <v>0.5</v>
      </c>
      <c r="CS20" s="324">
        <v>0.5</v>
      </c>
      <c r="CT20" s="324">
        <v>0.5</v>
      </c>
      <c r="CU20" s="324">
        <v>0.5</v>
      </c>
      <c r="CV20" s="324">
        <v>0.5</v>
      </c>
      <c r="CW20" s="324">
        <v>0.5</v>
      </c>
      <c r="CX20" s="64">
        <f>CH20</f>
        <v>0.5</v>
      </c>
      <c r="CY20" s="324">
        <f t="shared" ref="CY20:DA21" si="13">CJ20</f>
        <v>0.5</v>
      </c>
      <c r="CZ20" s="324">
        <f t="shared" si="13"/>
        <v>0.5</v>
      </c>
      <c r="DA20" s="324">
        <f t="shared" si="13"/>
        <v>0.5</v>
      </c>
      <c r="DB20" s="324">
        <f>CN20</f>
        <v>0.5</v>
      </c>
      <c r="DC20" s="324">
        <f t="shared" ref="DC20:DH21" si="14">CP20</f>
        <v>0.5</v>
      </c>
      <c r="DD20" s="324">
        <f t="shared" si="14"/>
        <v>0.5</v>
      </c>
      <c r="DE20" s="324">
        <f t="shared" si="14"/>
        <v>0.5</v>
      </c>
      <c r="DF20" s="324">
        <f t="shared" si="14"/>
        <v>0.5</v>
      </c>
      <c r="DG20" s="324">
        <f t="shared" si="14"/>
        <v>0.5</v>
      </c>
      <c r="DH20" s="324">
        <f t="shared" si="14"/>
        <v>0.5</v>
      </c>
      <c r="DI20" s="324">
        <v>0.5</v>
      </c>
      <c r="DJ20" s="324">
        <f t="shared" si="2"/>
        <v>0.5</v>
      </c>
      <c r="DK20" s="324">
        <f t="shared" si="3"/>
        <v>0.5</v>
      </c>
    </row>
    <row r="21" spans="2:115" ht="20.100000000000001" customHeight="1">
      <c r="B21" s="707" t="s">
        <v>190</v>
      </c>
      <c r="C21" s="708"/>
      <c r="D21" s="708"/>
      <c r="E21" s="708"/>
      <c r="F21" s="709"/>
      <c r="G21" s="1019" t="str">
        <f t="shared" si="12"/>
        <v>12 - 36</v>
      </c>
      <c r="H21" s="1020"/>
      <c r="I21" s="257" t="s">
        <v>203</v>
      </c>
      <c r="J21" s="75"/>
      <c r="K21" s="94"/>
      <c r="L21" s="110"/>
      <c r="M21" s="90"/>
      <c r="N21" s="90"/>
      <c r="Y21" s="1051"/>
      <c r="Z21" s="1052"/>
      <c r="AA21" s="1053"/>
      <c r="AB21" s="365" t="s">
        <v>200</v>
      </c>
      <c r="AC21" s="366"/>
      <c r="AD21" s="86"/>
      <c r="AE21" s="381">
        <v>12</v>
      </c>
      <c r="AF21" s="382">
        <v>999.58</v>
      </c>
      <c r="AG21" s="383">
        <v>1.2359999999999999E-3</v>
      </c>
      <c r="AH21" s="379">
        <f t="shared" si="0"/>
        <v>1.2365193381220111E-6</v>
      </c>
      <c r="AI21" s="138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369">
        <v>14</v>
      </c>
      <c r="AU21" s="370">
        <v>1.41</v>
      </c>
      <c r="AV21" s="7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T21" s="31">
        <v>21</v>
      </c>
      <c r="BU21" s="64">
        <v>6</v>
      </c>
      <c r="BV21" s="64">
        <f>IF(BU21=6,150,IF(BU21=8,200,IF(BU21=10,250,IF(BU21=12,300,IF(BU21=14,350,IF(BU21=16,400,IF(BU21=18,450,IF(BU21=20,500,IF(BU21=24,600)))))))))</f>
        <v>150</v>
      </c>
      <c r="BW21" s="329">
        <v>6.625</v>
      </c>
      <c r="BX21" s="329"/>
      <c r="BY21" s="329">
        <v>0.432</v>
      </c>
      <c r="BZ21" s="329"/>
      <c r="CA21" s="329">
        <f>ROUND((BW21-(2*BY21))*0.0254,3)</f>
        <v>0.14599999999999999</v>
      </c>
      <c r="CB21" s="331">
        <f t="shared" ref="CB21:CB30" si="15">ROUND(BW21/BY21,0)</f>
        <v>15</v>
      </c>
      <c r="CC21" s="201">
        <v>21</v>
      </c>
      <c r="CD21" s="195">
        <v>15</v>
      </c>
      <c r="CE21" s="325" t="s">
        <v>306</v>
      </c>
      <c r="CF21" s="64">
        <v>0</v>
      </c>
      <c r="CG21" s="64">
        <v>1</v>
      </c>
      <c r="CH21" s="324">
        <v>0.1</v>
      </c>
      <c r="CI21" s="324">
        <v>0.1</v>
      </c>
      <c r="CJ21" s="324">
        <v>0.1</v>
      </c>
      <c r="CK21" s="324">
        <v>0.1</v>
      </c>
      <c r="CL21" s="324">
        <v>0.1</v>
      </c>
      <c r="CM21" s="324">
        <v>0.1</v>
      </c>
      <c r="CN21" s="324">
        <v>0.1</v>
      </c>
      <c r="CO21" s="324">
        <v>0.1</v>
      </c>
      <c r="CP21" s="324">
        <v>0.1</v>
      </c>
      <c r="CQ21" s="324">
        <v>0.1</v>
      </c>
      <c r="CR21" s="324">
        <v>0.1</v>
      </c>
      <c r="CS21" s="324">
        <v>0.1</v>
      </c>
      <c r="CT21" s="324">
        <v>0.1</v>
      </c>
      <c r="CU21" s="324">
        <v>0.1</v>
      </c>
      <c r="CV21" s="324">
        <v>0.1</v>
      </c>
      <c r="CW21" s="324">
        <v>0.1</v>
      </c>
      <c r="CX21" s="64">
        <f>CH21</f>
        <v>0.1</v>
      </c>
      <c r="CY21" s="324">
        <f t="shared" si="13"/>
        <v>0.1</v>
      </c>
      <c r="CZ21" s="324">
        <f t="shared" si="13"/>
        <v>0.1</v>
      </c>
      <c r="DA21" s="324">
        <f t="shared" si="13"/>
        <v>0.1</v>
      </c>
      <c r="DB21" s="324">
        <f>CN21</f>
        <v>0.1</v>
      </c>
      <c r="DC21" s="324">
        <f t="shared" si="14"/>
        <v>0.1</v>
      </c>
      <c r="DD21" s="324">
        <f t="shared" si="14"/>
        <v>0.1</v>
      </c>
      <c r="DE21" s="324">
        <f t="shared" si="14"/>
        <v>0.1</v>
      </c>
      <c r="DF21" s="324">
        <f t="shared" si="14"/>
        <v>0.1</v>
      </c>
      <c r="DG21" s="324">
        <f t="shared" si="14"/>
        <v>0.1</v>
      </c>
      <c r="DH21" s="324">
        <f t="shared" si="14"/>
        <v>0.1</v>
      </c>
      <c r="DI21" s="324">
        <v>0.1</v>
      </c>
      <c r="DJ21" s="324">
        <f t="shared" si="2"/>
        <v>0.1</v>
      </c>
      <c r="DK21" s="324">
        <f t="shared" si="3"/>
        <v>0.1</v>
      </c>
    </row>
    <row r="22" spans="2:115" ht="20.100000000000001" customHeight="1">
      <c r="B22" s="707" t="s">
        <v>191</v>
      </c>
      <c r="C22" s="708"/>
      <c r="D22" s="708"/>
      <c r="E22" s="708"/>
      <c r="F22" s="709"/>
      <c r="G22" s="1019">
        <f t="shared" si="12"/>
        <v>0.3</v>
      </c>
      <c r="H22" s="1020"/>
      <c r="I22" s="257" t="s">
        <v>3</v>
      </c>
      <c r="J22" s="75"/>
      <c r="K22" s="94"/>
      <c r="L22" s="110"/>
      <c r="M22" s="90"/>
      <c r="N22" s="90"/>
      <c r="Y22" s="1054"/>
      <c r="Z22" s="1055"/>
      <c r="AA22" s="1056"/>
      <c r="AB22" s="367" t="s">
        <v>201</v>
      </c>
      <c r="AC22" s="368"/>
      <c r="AD22" s="86"/>
      <c r="AE22" s="381">
        <v>13</v>
      </c>
      <c r="AF22" s="382">
        <v>999.46</v>
      </c>
      <c r="AG22" s="383">
        <v>1.2030000000000001E-3</v>
      </c>
      <c r="AH22" s="379">
        <f t="shared" si="0"/>
        <v>1.2036499709843315E-6</v>
      </c>
      <c r="AI22" s="13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369">
        <v>12</v>
      </c>
      <c r="AU22" s="370">
        <v>1.68</v>
      </c>
      <c r="AV22" s="88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T22" s="31">
        <v>22</v>
      </c>
      <c r="BU22" s="64">
        <v>8</v>
      </c>
      <c r="BV22" s="64">
        <f t="shared" ref="BV22:BV28" si="16">IF(BU22=6,150,IF(BU22=8,200,IF(BU22=10,250,IF(BU22=12,300,IF(BU22=14,350,IF(BU22=16,400,IF(BU22=18,450,IF(BU22=20,500,IF(BU22=24,600)))))))))</f>
        <v>200</v>
      </c>
      <c r="BW22" s="329">
        <v>8.625</v>
      </c>
      <c r="BX22" s="329"/>
      <c r="BY22" s="329">
        <v>0.5</v>
      </c>
      <c r="BZ22" s="329"/>
      <c r="CA22" s="329">
        <f>ROUND((BW22-(2*BY22))*0.0254,3)</f>
        <v>0.19400000000000001</v>
      </c>
      <c r="CB22" s="331">
        <f t="shared" si="15"/>
        <v>17</v>
      </c>
      <c r="CC22" s="201">
        <v>22</v>
      </c>
      <c r="CD22" s="195">
        <v>16</v>
      </c>
      <c r="CE22" s="325"/>
      <c r="CF22" s="64"/>
      <c r="CG22" s="64"/>
      <c r="CH22" s="324"/>
      <c r="CI22" s="324"/>
      <c r="CJ22" s="324"/>
      <c r="CK22" s="324"/>
      <c r="CL22" s="324"/>
      <c r="CM22" s="324"/>
      <c r="CN22" s="324"/>
      <c r="CO22" s="324"/>
      <c r="CP22" s="324"/>
      <c r="CQ22" s="324"/>
      <c r="CR22" s="324"/>
      <c r="CS22" s="324"/>
      <c r="CT22" s="324"/>
      <c r="CU22" s="324"/>
      <c r="CV22" s="324"/>
      <c r="CW22" s="324"/>
      <c r="CX22" s="64"/>
      <c r="CY22" s="324"/>
      <c r="CZ22" s="324"/>
      <c r="DA22" s="324"/>
      <c r="DB22" s="324"/>
      <c r="DC22" s="324"/>
      <c r="DD22" s="324"/>
      <c r="DE22" s="324"/>
      <c r="DF22" s="324"/>
      <c r="DG22" s="324"/>
      <c r="DH22" s="324"/>
      <c r="DI22" s="324"/>
      <c r="DJ22" s="324"/>
      <c r="DK22" s="324"/>
    </row>
    <row r="23" spans="2:115" ht="20.100000000000001" customHeight="1">
      <c r="B23" s="707" t="s">
        <v>192</v>
      </c>
      <c r="C23" s="708"/>
      <c r="D23" s="708"/>
      <c r="E23" s="708"/>
      <c r="F23" s="709"/>
      <c r="G23" s="1019" t="str">
        <f t="shared" si="12"/>
        <v>2,4 - 3,0</v>
      </c>
      <c r="H23" s="1020"/>
      <c r="I23" s="257" t="s">
        <v>3</v>
      </c>
      <c r="J23" s="75"/>
      <c r="K23" s="94"/>
      <c r="L23" s="110"/>
      <c r="M23" s="90"/>
      <c r="N23" s="90"/>
      <c r="Y23" s="92"/>
      <c r="Z23" s="92"/>
      <c r="AA23" s="81"/>
      <c r="AB23" s="86"/>
      <c r="AC23" s="88"/>
      <c r="AD23" s="35"/>
      <c r="AE23" s="381">
        <v>14</v>
      </c>
      <c r="AF23" s="382">
        <v>999.33</v>
      </c>
      <c r="AG23" s="383">
        <v>1.1709999999999999E-3</v>
      </c>
      <c r="AH23" s="379">
        <f t="shared" si="0"/>
        <v>1.1717850960143296E-6</v>
      </c>
      <c r="AI23" s="3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369">
        <v>8</v>
      </c>
      <c r="AU23" s="370">
        <v>2.38</v>
      </c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T23" s="31">
        <v>23</v>
      </c>
      <c r="BU23" s="64">
        <v>10</v>
      </c>
      <c r="BV23" s="64">
        <f t="shared" si="16"/>
        <v>250</v>
      </c>
      <c r="BW23" s="329">
        <v>10.75</v>
      </c>
      <c r="BX23" s="329"/>
      <c r="BY23" s="329">
        <v>0.59399999999999997</v>
      </c>
      <c r="BZ23" s="329"/>
      <c r="CA23" s="329">
        <f t="shared" ref="CA23:CA30" si="17">ROUND((BW23-(2*BY23))*0.0254,3)</f>
        <v>0.24299999999999999</v>
      </c>
      <c r="CB23" s="331">
        <f t="shared" si="15"/>
        <v>18</v>
      </c>
      <c r="CC23" s="201">
        <v>23</v>
      </c>
      <c r="CD23" s="195">
        <v>17</v>
      </c>
      <c r="CE23" s="325" t="s">
        <v>343</v>
      </c>
      <c r="CF23" s="64">
        <v>1</v>
      </c>
      <c r="CG23" s="64">
        <v>1</v>
      </c>
      <c r="CH23" s="324">
        <v>1</v>
      </c>
      <c r="CI23" s="324">
        <v>1</v>
      </c>
      <c r="CJ23" s="324">
        <v>1</v>
      </c>
      <c r="CK23" s="324">
        <v>1</v>
      </c>
      <c r="CL23" s="324">
        <v>1</v>
      </c>
      <c r="CM23" s="324">
        <v>1</v>
      </c>
      <c r="CN23" s="324">
        <v>1</v>
      </c>
      <c r="CO23" s="324">
        <v>1</v>
      </c>
      <c r="CP23" s="324">
        <v>1</v>
      </c>
      <c r="CQ23" s="324">
        <v>1</v>
      </c>
      <c r="CR23" s="324">
        <v>1</v>
      </c>
      <c r="CS23" s="324">
        <v>1</v>
      </c>
      <c r="CT23" s="324">
        <v>1</v>
      </c>
      <c r="CU23" s="324">
        <v>1</v>
      </c>
      <c r="CV23" s="324">
        <v>1</v>
      </c>
      <c r="CW23" s="324">
        <v>1</v>
      </c>
      <c r="CX23" s="64">
        <f>CH23</f>
        <v>1</v>
      </c>
      <c r="CY23" s="324">
        <f>CJ23</f>
        <v>1</v>
      </c>
      <c r="CZ23" s="324">
        <f>CK23</f>
        <v>1</v>
      </c>
      <c r="DA23" s="324">
        <f>CL23</f>
        <v>1</v>
      </c>
      <c r="DB23" s="324">
        <f>CN23</f>
        <v>1</v>
      </c>
      <c r="DC23" s="324">
        <f t="shared" ref="DC23:DH23" si="18">CP23</f>
        <v>1</v>
      </c>
      <c r="DD23" s="324">
        <f t="shared" si="18"/>
        <v>1</v>
      </c>
      <c r="DE23" s="324">
        <f t="shared" si="18"/>
        <v>1</v>
      </c>
      <c r="DF23" s="324">
        <f t="shared" si="18"/>
        <v>1</v>
      </c>
      <c r="DG23" s="324">
        <f t="shared" si="18"/>
        <v>1</v>
      </c>
      <c r="DH23" s="324">
        <f t="shared" si="18"/>
        <v>1</v>
      </c>
      <c r="DI23" s="324">
        <v>1</v>
      </c>
      <c r="DJ23" s="324">
        <f t="shared" si="2"/>
        <v>1</v>
      </c>
      <c r="DK23" s="324">
        <f t="shared" si="3"/>
        <v>1</v>
      </c>
    </row>
    <row r="24" spans="2:115" ht="20.100000000000001" customHeight="1">
      <c r="B24" s="707" t="s">
        <v>202</v>
      </c>
      <c r="C24" s="708"/>
      <c r="D24" s="708"/>
      <c r="E24" s="708"/>
      <c r="F24" s="709"/>
      <c r="G24" s="1019" t="str">
        <f t="shared" si="12"/>
        <v>2 - 4</v>
      </c>
      <c r="H24" s="1020"/>
      <c r="I24" s="257" t="s">
        <v>204</v>
      </c>
      <c r="J24" s="75"/>
      <c r="K24" s="94"/>
      <c r="L24" s="110"/>
      <c r="M24" s="90"/>
      <c r="N24" s="90"/>
      <c r="Y24" s="813"/>
      <c r="Z24" s="813"/>
      <c r="AA24" s="81"/>
      <c r="AB24" s="1018"/>
      <c r="AC24" s="1018"/>
      <c r="AD24" s="35"/>
      <c r="AE24" s="381">
        <v>15</v>
      </c>
      <c r="AF24" s="382">
        <v>999.19</v>
      </c>
      <c r="AG24" s="383">
        <v>1.14E-3</v>
      </c>
      <c r="AH24" s="379">
        <f t="shared" si="0"/>
        <v>1.1409241485603338E-6</v>
      </c>
      <c r="AI24" s="3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369">
        <v>6</v>
      </c>
      <c r="AU24" s="370">
        <v>3.35</v>
      </c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T24" s="31">
        <v>24</v>
      </c>
      <c r="BU24" s="64">
        <v>12</v>
      </c>
      <c r="BV24" s="64">
        <f t="shared" si="16"/>
        <v>300</v>
      </c>
      <c r="BW24" s="329">
        <v>12.75</v>
      </c>
      <c r="BX24" s="329"/>
      <c r="BY24" s="329">
        <v>0.68799999999999994</v>
      </c>
      <c r="BZ24" s="329"/>
      <c r="CA24" s="329">
        <f t="shared" si="17"/>
        <v>0.28899999999999998</v>
      </c>
      <c r="CB24" s="331">
        <f t="shared" si="15"/>
        <v>19</v>
      </c>
      <c r="CC24" s="148"/>
      <c r="CD24" s="172"/>
      <c r="CE24" s="35"/>
      <c r="CF24" s="35"/>
      <c r="CG24" s="35"/>
      <c r="CH24" s="35"/>
      <c r="CI24" s="35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</row>
    <row r="25" spans="2:115" ht="20.100000000000001" customHeight="1">
      <c r="B25" s="707" t="str">
        <f>IF($G$15=$AB$8,$Y$17,IF($G$15=$AC$8,Y17&amp;" (antracita)",IF($G$15="",Y17&amp;" (antracita)")))</f>
        <v>Profundidad del medio</v>
      </c>
      <c r="C25" s="708"/>
      <c r="D25" s="708"/>
      <c r="E25" s="708"/>
      <c r="F25" s="709"/>
      <c r="G25" s="1019" t="str">
        <f t="shared" si="12"/>
        <v>0,60 - 0,75</v>
      </c>
      <c r="H25" s="1020"/>
      <c r="I25" s="257" t="s">
        <v>3</v>
      </c>
      <c r="J25" s="75"/>
      <c r="K25" s="94"/>
      <c r="L25" s="110"/>
      <c r="M25" s="90"/>
      <c r="N25" s="90"/>
      <c r="Y25" s="813"/>
      <c r="Z25" s="813"/>
      <c r="AA25" s="81"/>
      <c r="AB25" s="1018"/>
      <c r="AC25" s="1018"/>
      <c r="AD25" s="35"/>
      <c r="AE25" s="381">
        <v>16</v>
      </c>
      <c r="AF25" s="382">
        <v>999.03</v>
      </c>
      <c r="AG25" s="383">
        <v>1.111E-3</v>
      </c>
      <c r="AH25" s="379">
        <f t="shared" si="0"/>
        <v>1.1120787163548642E-6</v>
      </c>
      <c r="AI25" s="3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369">
        <v>4</v>
      </c>
      <c r="AU25" s="370">
        <v>4.76</v>
      </c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T25" s="31">
        <v>25</v>
      </c>
      <c r="BU25" s="64">
        <v>14</v>
      </c>
      <c r="BV25" s="64">
        <f t="shared" si="16"/>
        <v>350</v>
      </c>
      <c r="BW25" s="329">
        <v>14</v>
      </c>
      <c r="BX25" s="329"/>
      <c r="BY25" s="329">
        <v>0.75</v>
      </c>
      <c r="BZ25" s="329"/>
      <c r="CA25" s="329">
        <f t="shared" si="17"/>
        <v>0.318</v>
      </c>
      <c r="CB25" s="331">
        <f t="shared" si="15"/>
        <v>19</v>
      </c>
      <c r="CC25" s="148"/>
      <c r="CD25" s="172"/>
      <c r="CE25" s="35"/>
      <c r="CF25" s="35"/>
      <c r="CG25" s="35"/>
      <c r="CH25" s="35"/>
      <c r="CI25" s="35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</row>
    <row r="26" spans="2:115" ht="20.100000000000001" customHeight="1">
      <c r="B26" s="707" t="str">
        <f>IF($G$15=$AB$8,$Y$19,IF($G$15=$AC$8,Y17&amp;" (arena)",IF($G$15="",Y17&amp;" (arena)")))</f>
        <v>Profundidad de grava</v>
      </c>
      <c r="C26" s="708"/>
      <c r="D26" s="708"/>
      <c r="E26" s="708"/>
      <c r="F26" s="709"/>
      <c r="G26" s="1019" t="str">
        <f>IF($G$15=$AB$8,AB19,IF($G$15=$AC$8,AC18,""))</f>
        <v>0,30 - 0,45</v>
      </c>
      <c r="H26" s="1020"/>
      <c r="I26" s="257" t="s">
        <v>3</v>
      </c>
      <c r="J26" s="75"/>
      <c r="K26" s="94"/>
      <c r="L26" s="110"/>
      <c r="M26" s="90"/>
      <c r="N26" s="90"/>
      <c r="Y26" s="813"/>
      <c r="Z26" s="813"/>
      <c r="AA26" s="81"/>
      <c r="AB26" s="1018"/>
      <c r="AC26" s="1018"/>
      <c r="AE26" s="381">
        <v>17</v>
      </c>
      <c r="AF26" s="382">
        <v>998.86</v>
      </c>
      <c r="AG26" s="383">
        <v>1.083E-3</v>
      </c>
      <c r="AH26" s="379">
        <f t="shared" si="0"/>
        <v>1.0842360290731433E-6</v>
      </c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T26" s="31">
        <v>26</v>
      </c>
      <c r="BU26" s="64">
        <v>16</v>
      </c>
      <c r="BV26" s="64">
        <f t="shared" si="16"/>
        <v>400</v>
      </c>
      <c r="BW26" s="329">
        <v>16</v>
      </c>
      <c r="BX26" s="329"/>
      <c r="BY26" s="329">
        <v>0.84399999999999997</v>
      </c>
      <c r="BZ26" s="329"/>
      <c r="CA26" s="329">
        <f t="shared" si="17"/>
        <v>0.36399999999999999</v>
      </c>
      <c r="CB26" s="331">
        <f t="shared" si="15"/>
        <v>19</v>
      </c>
      <c r="CC26" s="148"/>
      <c r="CD26" s="172"/>
      <c r="CM26" s="175"/>
    </row>
    <row r="27" spans="2:115" ht="20.100000000000001" customHeight="1">
      <c r="B27" s="707" t="str">
        <f>IF($G$15=$AB$8,"",IF($G$15=$AC$8,$Y$19,IF($G$15="",$Y$19)))</f>
        <v/>
      </c>
      <c r="C27" s="708"/>
      <c r="D27" s="708"/>
      <c r="E27" s="708"/>
      <c r="F27" s="708"/>
      <c r="G27" s="1027" t="str">
        <f>IF($G$15=$AB$8,"",IF($G$15=$AC$8,$AC$19,IF($G$15="","")))</f>
        <v/>
      </c>
      <c r="H27" s="1028"/>
      <c r="I27" s="107" t="str">
        <f>IF($G$15=$AB$8,"",IF($G$15=$AC$8,"m",IF($G$15="","m")))</f>
        <v/>
      </c>
      <c r="J27" s="75"/>
      <c r="K27" s="94"/>
      <c r="L27" s="110"/>
      <c r="M27" s="90"/>
      <c r="N27" s="90"/>
      <c r="Y27" s="82"/>
      <c r="Z27" s="82"/>
      <c r="AA27" s="81"/>
      <c r="AB27" s="83"/>
      <c r="AC27" s="83"/>
      <c r="AE27" s="381">
        <v>18</v>
      </c>
      <c r="AF27" s="382">
        <v>998.68</v>
      </c>
      <c r="AG27" s="383">
        <v>1.0560000000000001E-3</v>
      </c>
      <c r="AH27" s="379">
        <f t="shared" si="0"/>
        <v>1.0573957624063765E-6</v>
      </c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T27" s="31">
        <v>27</v>
      </c>
      <c r="BU27" s="332">
        <v>18</v>
      </c>
      <c r="BV27" s="64">
        <f t="shared" si="16"/>
        <v>450</v>
      </c>
      <c r="BW27" s="333">
        <v>18</v>
      </c>
      <c r="BX27" s="333"/>
      <c r="BY27" s="333">
        <v>0.93799999999999994</v>
      </c>
      <c r="BZ27" s="333"/>
      <c r="CA27" s="333">
        <f t="shared" si="17"/>
        <v>0.41</v>
      </c>
      <c r="CB27" s="331">
        <f t="shared" si="15"/>
        <v>19</v>
      </c>
      <c r="CC27" s="148"/>
      <c r="CD27" s="172"/>
    </row>
    <row r="28" spans="2:115" ht="20.100000000000001" customHeight="1">
      <c r="B28" s="92"/>
      <c r="C28" s="92"/>
      <c r="D28" s="92"/>
      <c r="E28" s="92"/>
      <c r="F28" s="92"/>
      <c r="G28" s="92"/>
      <c r="H28" s="92"/>
      <c r="I28" s="87"/>
      <c r="J28" s="75"/>
      <c r="K28" s="94"/>
      <c r="L28" s="110"/>
      <c r="Y28" s="82"/>
      <c r="Z28" s="82"/>
      <c r="AA28" s="81"/>
      <c r="AB28" s="83"/>
      <c r="AC28" s="83"/>
      <c r="AE28" s="381">
        <v>19</v>
      </c>
      <c r="AF28" s="382">
        <v>998.49</v>
      </c>
      <c r="AG28" s="383">
        <v>1.0300000000000001E-3</v>
      </c>
      <c r="AH28" s="379">
        <f t="shared" si="0"/>
        <v>1.0315576520546026E-6</v>
      </c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T28" s="31">
        <v>28</v>
      </c>
      <c r="BU28" s="64">
        <v>20</v>
      </c>
      <c r="BV28" s="64">
        <f t="shared" si="16"/>
        <v>500</v>
      </c>
      <c r="BW28" s="329">
        <v>20</v>
      </c>
      <c r="BX28" s="329"/>
      <c r="BY28" s="329">
        <v>1.0309999999999999</v>
      </c>
      <c r="BZ28" s="329"/>
      <c r="CA28" s="329">
        <f t="shared" si="17"/>
        <v>0.45600000000000002</v>
      </c>
      <c r="CB28" s="331">
        <f t="shared" si="15"/>
        <v>19</v>
      </c>
      <c r="CC28" s="148"/>
      <c r="CD28" s="172"/>
    </row>
    <row r="29" spans="2:115" ht="20.100000000000001" customHeight="1">
      <c r="B29" s="23" t="s">
        <v>157</v>
      </c>
      <c r="C29" s="92"/>
      <c r="D29" s="92"/>
      <c r="E29" s="92"/>
      <c r="F29" s="92"/>
      <c r="G29" s="92"/>
      <c r="H29" s="75"/>
      <c r="I29" s="76"/>
      <c r="J29" s="75"/>
      <c r="K29" s="94"/>
      <c r="L29" s="110"/>
      <c r="Y29" s="81"/>
      <c r="Z29" s="71"/>
      <c r="AA29" s="81"/>
      <c r="AB29" s="81"/>
      <c r="AC29" s="81"/>
      <c r="AE29" s="381">
        <v>20</v>
      </c>
      <c r="AF29" s="382">
        <v>998.29</v>
      </c>
      <c r="AG29" s="383">
        <v>1.005E-3</v>
      </c>
      <c r="AH29" s="379">
        <f t="shared" si="0"/>
        <v>1.0067214937543199E-6</v>
      </c>
      <c r="BT29" s="31">
        <v>29</v>
      </c>
      <c r="BU29" s="64">
        <v>22</v>
      </c>
      <c r="BV29" s="64">
        <f>IF(BU29=6,150,IF(BU29=8,200,IF(BU29=10,250,IF(BU29=12,300,IF(BU29=14,350,IF(BU29=16,400,IF(BU29=18,450,IF(BU29=20,500,IF(BU29=22,550,IF(BU29=24,600))))))))))</f>
        <v>550</v>
      </c>
      <c r="BW29" s="329">
        <v>22</v>
      </c>
      <c r="BX29" s="329"/>
      <c r="BY29" s="329">
        <v>1.125</v>
      </c>
      <c r="BZ29" s="329"/>
      <c r="CA29" s="329">
        <f t="shared" si="17"/>
        <v>0.502</v>
      </c>
      <c r="CB29" s="331">
        <f t="shared" si="15"/>
        <v>20</v>
      </c>
      <c r="CC29" s="148"/>
      <c r="CD29" s="172"/>
      <c r="CN29" s="146"/>
      <c r="CO29" s="170"/>
      <c r="CP29" s="146"/>
      <c r="CQ29" s="146"/>
      <c r="CR29" s="146"/>
      <c r="CS29" s="146"/>
      <c r="CT29" s="146"/>
      <c r="CU29" s="146"/>
      <c r="CV29" s="146"/>
    </row>
    <row r="30" spans="2:115" ht="20.100000000000001" customHeight="1">
      <c r="B30" s="802" t="s">
        <v>138</v>
      </c>
      <c r="C30" s="802"/>
      <c r="D30" s="802"/>
      <c r="E30" s="802"/>
      <c r="F30" s="802"/>
      <c r="G30" s="802"/>
      <c r="H30" s="108" t="s">
        <v>135</v>
      </c>
      <c r="I30" s="304">
        <v>20</v>
      </c>
      <c r="J30" s="108" t="s">
        <v>139</v>
      </c>
      <c r="K30" s="94"/>
      <c r="L30" s="110"/>
      <c r="Y30" s="81"/>
      <c r="Z30" s="71"/>
      <c r="AA30" s="81"/>
      <c r="AB30" s="81"/>
      <c r="AC30" s="81"/>
      <c r="AE30" s="381">
        <v>21</v>
      </c>
      <c r="AF30" s="382">
        <v>998.08</v>
      </c>
      <c r="AG30" s="383">
        <v>9.810000000000001E-4</v>
      </c>
      <c r="AH30" s="379">
        <f t="shared" si="0"/>
        <v>9.8288714331516507E-7</v>
      </c>
      <c r="BT30" s="31">
        <v>30</v>
      </c>
      <c r="BU30" s="64">
        <v>24</v>
      </c>
      <c r="BV30" s="64">
        <f>IF(BU30=6,150,IF(BU30=8,200,IF(BU30=10,250,IF(BU30=12,300,IF(BU30=14,350,IF(BU30=16,400,IF(BU30=18,450,IF(BU30=20,500,IF(BU30=24,600)))))))))</f>
        <v>600</v>
      </c>
      <c r="BW30" s="329">
        <v>24</v>
      </c>
      <c r="BX30" s="329"/>
      <c r="BY30" s="329">
        <v>1.2190000000000001</v>
      </c>
      <c r="BZ30" s="329"/>
      <c r="CA30" s="329">
        <f t="shared" si="17"/>
        <v>0.54800000000000004</v>
      </c>
      <c r="CB30" s="331">
        <f t="shared" si="15"/>
        <v>20</v>
      </c>
      <c r="CC30" s="148"/>
      <c r="CD30" s="172"/>
      <c r="CN30" s="146"/>
      <c r="CO30" s="170"/>
      <c r="CP30" s="146"/>
      <c r="CQ30" s="146"/>
      <c r="CR30" s="146"/>
      <c r="CS30" s="146"/>
      <c r="CT30" s="146"/>
      <c r="CU30" s="146"/>
      <c r="CV30" s="146"/>
    </row>
    <row r="31" spans="2:115" ht="20.100000000000001" customHeight="1">
      <c r="B31" s="802" t="str">
        <f>"Densidad del agua a "&amp;I30&amp;" °C"</f>
        <v>Densidad del agua a 20 °C</v>
      </c>
      <c r="C31" s="802"/>
      <c r="D31" s="802"/>
      <c r="E31" s="802"/>
      <c r="F31" s="802"/>
      <c r="G31" s="802"/>
      <c r="H31" s="108" t="s">
        <v>134</v>
      </c>
      <c r="I31" s="270">
        <f>IF(I30="…","",ROUND(VLOOKUP(I30,AE$9:AH$44,2,FALSE),9))</f>
        <v>998.29</v>
      </c>
      <c r="J31" s="108" t="s">
        <v>165</v>
      </c>
      <c r="K31" s="94"/>
      <c r="L31" s="110"/>
      <c r="Y31" s="81"/>
      <c r="Z31" s="71"/>
      <c r="AA31" s="1024"/>
      <c r="AB31" s="1024"/>
      <c r="AC31" s="71"/>
      <c r="AE31" s="381">
        <v>22</v>
      </c>
      <c r="AF31" s="382">
        <v>997.86</v>
      </c>
      <c r="AG31" s="383">
        <v>9.5790000000000003E-4</v>
      </c>
      <c r="AH31" s="379">
        <f t="shared" si="0"/>
        <v>9.5995430220672237E-7</v>
      </c>
      <c r="BT31" s="31">
        <v>31</v>
      </c>
      <c r="BU31" s="964" t="str">
        <f>BQ11</f>
        <v>Hierro dúctil C30</v>
      </c>
      <c r="BV31" s="965"/>
      <c r="BW31" s="965"/>
      <c r="BX31" s="965"/>
      <c r="BY31" s="965"/>
      <c r="BZ31" s="965"/>
      <c r="CA31" s="965"/>
      <c r="CB31" s="966"/>
      <c r="CC31" s="148"/>
      <c r="CD31" s="172"/>
      <c r="CN31" s="146"/>
      <c r="CO31" s="170"/>
      <c r="CP31" s="146"/>
      <c r="CQ31" s="146"/>
      <c r="CR31" s="146"/>
      <c r="CS31" s="146"/>
      <c r="CT31" s="146"/>
      <c r="CU31" s="146"/>
      <c r="CV31" s="146"/>
    </row>
    <row r="32" spans="2:115" ht="20.100000000000001" customHeight="1">
      <c r="B32" s="802" t="str">
        <f>"Viscocidad dinámica del agua a "&amp;I30&amp;" °C"</f>
        <v>Viscocidad dinámica del agua a 20 °C</v>
      </c>
      <c r="C32" s="802"/>
      <c r="D32" s="802"/>
      <c r="E32" s="802"/>
      <c r="F32" s="802"/>
      <c r="G32" s="802"/>
      <c r="H32" s="108" t="s">
        <v>104</v>
      </c>
      <c r="I32" s="271">
        <f>IF(I30="…","",ROUND(VLOOKUP(I30,AE$9:AH$44,3,FALSE),9))</f>
        <v>1.005E-3</v>
      </c>
      <c r="J32" s="79" t="s">
        <v>166</v>
      </c>
      <c r="K32" s="94"/>
      <c r="L32" s="110"/>
      <c r="Y32" s="71"/>
      <c r="Z32" s="71"/>
      <c r="AA32" s="1024"/>
      <c r="AB32" s="1024"/>
      <c r="AC32" s="71"/>
      <c r="AE32" s="381">
        <v>23</v>
      </c>
      <c r="AF32" s="382">
        <v>997.62</v>
      </c>
      <c r="AG32" s="383">
        <v>9.3579999999999998E-4</v>
      </c>
      <c r="AH32" s="379">
        <f t="shared" si="0"/>
        <v>9.3803251739139144E-7</v>
      </c>
      <c r="BT32" s="31">
        <v>32</v>
      </c>
      <c r="BU32" s="335"/>
      <c r="BV32" s="335"/>
      <c r="BW32" s="335"/>
      <c r="BX32" s="335"/>
      <c r="BY32" s="335"/>
      <c r="BZ32" s="335"/>
      <c r="CA32" s="335"/>
      <c r="CB32" s="335"/>
      <c r="CC32" s="148"/>
      <c r="CD32" s="172"/>
      <c r="CN32" s="146"/>
      <c r="CO32" s="170"/>
      <c r="CP32" s="146"/>
      <c r="CQ32" s="146"/>
      <c r="CR32" s="146"/>
      <c r="CS32" s="146"/>
      <c r="CT32" s="146"/>
      <c r="CU32" s="146"/>
      <c r="CV32" s="146"/>
    </row>
    <row r="33" spans="2:100" ht="20.100000000000001" customHeight="1">
      <c r="B33" s="1030" t="str">
        <f>"Viscocidad cinemática del agua a "&amp;I30&amp;" °C"</f>
        <v>Viscocidad cinemática del agua a 20 °C</v>
      </c>
      <c r="C33" s="1030"/>
      <c r="D33" s="1030"/>
      <c r="E33" s="1030"/>
      <c r="F33" s="1030"/>
      <c r="G33" s="1030"/>
      <c r="H33" s="18" t="s">
        <v>2</v>
      </c>
      <c r="I33" s="271">
        <f>IF(I30="…","",ROUND(VLOOKUP(I30,AE$9:AH$44,4,FALSE),9))</f>
        <v>1.0070000000000001E-6</v>
      </c>
      <c r="J33" s="79" t="s">
        <v>167</v>
      </c>
      <c r="K33" s="70"/>
      <c r="L33" s="70"/>
      <c r="Y33" s="71"/>
      <c r="Z33" s="71"/>
      <c r="AA33" s="140"/>
      <c r="AB33" s="71"/>
      <c r="AC33" s="66"/>
      <c r="AD33" s="59"/>
      <c r="AE33" s="381">
        <v>24</v>
      </c>
      <c r="AF33" s="382">
        <v>997.38</v>
      </c>
      <c r="AG33" s="383">
        <v>9.142E-4</v>
      </c>
      <c r="AH33" s="379">
        <f t="shared" si="0"/>
        <v>9.1660149591930864E-7</v>
      </c>
      <c r="AI33" s="59"/>
      <c r="BT33" s="31">
        <v>33</v>
      </c>
      <c r="BU33" s="336"/>
      <c r="BV33" s="64">
        <v>300</v>
      </c>
      <c r="BW33" s="64"/>
      <c r="BX33" s="337">
        <v>326</v>
      </c>
      <c r="BY33" s="64"/>
      <c r="BZ33" s="64">
        <v>5.0999999999999996</v>
      </c>
      <c r="CA33" s="329">
        <f t="shared" ref="CA33:CA38" si="19">ROUND((BX33-2*BZ33)/1000,3)</f>
        <v>0.316</v>
      </c>
      <c r="CB33" s="338">
        <f t="shared" ref="CB33:CB38" si="20">ROUND(BX33/BZ33,0)</f>
        <v>64</v>
      </c>
      <c r="CC33" s="148"/>
      <c r="CD33" s="172"/>
      <c r="CN33" s="146"/>
      <c r="CO33" s="170"/>
      <c r="CP33" s="146"/>
      <c r="CQ33" s="146"/>
      <c r="CR33" s="146"/>
      <c r="CS33" s="146"/>
      <c r="CT33" s="146"/>
      <c r="CU33" s="146"/>
      <c r="CV33" s="146"/>
    </row>
    <row r="34" spans="2:100" ht="20.100000000000001" customHeight="1"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Y34" s="22"/>
      <c r="Z34" s="139"/>
      <c r="AA34" s="35"/>
      <c r="AB34" s="141"/>
      <c r="AC34" s="61"/>
      <c r="AE34" s="381">
        <v>25</v>
      </c>
      <c r="AF34" s="382">
        <v>997.13</v>
      </c>
      <c r="AG34" s="383">
        <v>8.9370000000000009E-4</v>
      </c>
      <c r="AH34" s="379">
        <f t="shared" si="0"/>
        <v>8.9627230150532037E-7</v>
      </c>
      <c r="BT34" s="31">
        <v>34</v>
      </c>
      <c r="BU34" s="64"/>
      <c r="BV34" s="64">
        <v>350</v>
      </c>
      <c r="BW34" s="64"/>
      <c r="BX34" s="337">
        <v>378</v>
      </c>
      <c r="BY34" s="64"/>
      <c r="BZ34" s="64">
        <v>6.3</v>
      </c>
      <c r="CA34" s="329">
        <f t="shared" si="19"/>
        <v>0.36499999999999999</v>
      </c>
      <c r="CB34" s="338">
        <f t="shared" si="20"/>
        <v>60</v>
      </c>
      <c r="CC34" s="197"/>
      <c r="CD34" s="172"/>
      <c r="CN34" s="146"/>
      <c r="CO34" s="170"/>
      <c r="CP34" s="146"/>
      <c r="CQ34" s="146"/>
      <c r="CR34" s="146"/>
      <c r="CS34" s="146"/>
      <c r="CT34" s="146"/>
      <c r="CU34" s="146"/>
      <c r="CV34" s="146"/>
    </row>
    <row r="35" spans="2:100" ht="20.100000000000001" customHeight="1">
      <c r="B35" s="99" t="s">
        <v>105</v>
      </c>
      <c r="C35" s="100"/>
      <c r="D35" s="94"/>
      <c r="E35" s="94"/>
      <c r="F35" s="94"/>
      <c r="G35" s="94"/>
      <c r="H35" s="51"/>
      <c r="I35" s="94"/>
      <c r="J35" s="76"/>
      <c r="K35" s="97"/>
      <c r="L35" s="97"/>
      <c r="Y35" s="22"/>
      <c r="Z35" s="139"/>
      <c r="AA35" s="142"/>
      <c r="AB35" s="141"/>
      <c r="AC35" s="61"/>
      <c r="AE35" s="381">
        <v>26</v>
      </c>
      <c r="AF35" s="382">
        <v>996.86</v>
      </c>
      <c r="AG35" s="383">
        <v>8.7370000000000004E-4</v>
      </c>
      <c r="AH35" s="379">
        <f t="shared" si="0"/>
        <v>8.7645205946672558E-7</v>
      </c>
      <c r="BT35" s="31">
        <v>35</v>
      </c>
      <c r="BU35" s="64"/>
      <c r="BV35" s="332">
        <v>400</v>
      </c>
      <c r="BW35" s="332"/>
      <c r="BX35" s="339">
        <v>429</v>
      </c>
      <c r="BY35" s="332"/>
      <c r="BZ35" s="332">
        <v>6.5</v>
      </c>
      <c r="CA35" s="333">
        <f t="shared" si="19"/>
        <v>0.41599999999999998</v>
      </c>
      <c r="CB35" s="338">
        <f t="shared" si="20"/>
        <v>66</v>
      </c>
      <c r="CC35" s="198"/>
      <c r="CD35" s="172"/>
      <c r="CN35" s="146"/>
      <c r="CO35" s="170"/>
      <c r="CP35" s="146"/>
      <c r="CQ35" s="146"/>
      <c r="CR35" s="146"/>
      <c r="CS35" s="146"/>
      <c r="CT35" s="146"/>
      <c r="CU35" s="146"/>
      <c r="CV35" s="146"/>
    </row>
    <row r="36" spans="2:100" ht="20.100000000000001" customHeight="1">
      <c r="B36" s="99"/>
      <c r="C36" s="100"/>
      <c r="D36" s="94"/>
      <c r="E36" s="94"/>
      <c r="F36" s="94"/>
      <c r="G36" s="94"/>
      <c r="H36" s="51"/>
      <c r="I36" s="94"/>
      <c r="J36" s="76"/>
      <c r="K36" s="97"/>
      <c r="L36" s="97"/>
      <c r="Y36" s="22"/>
      <c r="Z36" s="139"/>
      <c r="AA36" s="142"/>
      <c r="AB36" s="141"/>
      <c r="AC36" s="61"/>
      <c r="AE36" s="381">
        <v>27</v>
      </c>
      <c r="AF36" s="382">
        <v>996.59</v>
      </c>
      <c r="AG36" s="383">
        <v>8.5450000000000001E-4</v>
      </c>
      <c r="AH36" s="379">
        <f t="shared" si="0"/>
        <v>8.5742381520986557E-7</v>
      </c>
      <c r="BT36" s="31">
        <v>36</v>
      </c>
      <c r="BU36" s="64"/>
      <c r="BV36" s="64">
        <v>450</v>
      </c>
      <c r="BW36" s="64"/>
      <c r="BX36" s="337">
        <v>480</v>
      </c>
      <c r="BY36" s="64"/>
      <c r="BZ36" s="64">
        <v>6.9</v>
      </c>
      <c r="CA36" s="329">
        <f t="shared" si="19"/>
        <v>0.46600000000000003</v>
      </c>
      <c r="CB36" s="338">
        <f t="shared" si="20"/>
        <v>70</v>
      </c>
      <c r="CC36" s="150"/>
      <c r="CD36" s="172"/>
    </row>
    <row r="37" spans="2:100" ht="20.100000000000001" customHeight="1">
      <c r="B37" s="99" t="s">
        <v>161</v>
      </c>
      <c r="C37" s="100"/>
      <c r="D37" s="94"/>
      <c r="E37" s="94"/>
      <c r="F37" s="94"/>
      <c r="G37" s="94"/>
      <c r="H37" s="51"/>
      <c r="I37" s="94"/>
      <c r="J37" s="76"/>
      <c r="K37" s="97"/>
      <c r="L37" s="97"/>
      <c r="Y37" s="22"/>
      <c r="Z37" s="139"/>
      <c r="AA37" s="142"/>
      <c r="AB37" s="141"/>
      <c r="AC37" s="61"/>
      <c r="AE37" s="381">
        <v>28</v>
      </c>
      <c r="AF37" s="382">
        <v>996.31</v>
      </c>
      <c r="AG37" s="383">
        <v>8.3599999999999994E-4</v>
      </c>
      <c r="AH37" s="379">
        <f t="shared" si="0"/>
        <v>8.3909626521865684E-7</v>
      </c>
      <c r="BT37" s="31">
        <v>37</v>
      </c>
      <c r="BU37" s="64"/>
      <c r="BV37" s="64">
        <v>500</v>
      </c>
      <c r="BW37" s="64"/>
      <c r="BX37" s="337">
        <v>532</v>
      </c>
      <c r="BY37" s="64"/>
      <c r="BZ37" s="64">
        <v>7.5</v>
      </c>
      <c r="CA37" s="329">
        <f t="shared" si="19"/>
        <v>0.51700000000000002</v>
      </c>
      <c r="CB37" s="338">
        <f t="shared" si="20"/>
        <v>71</v>
      </c>
      <c r="CC37" s="150"/>
      <c r="CD37" s="172"/>
    </row>
    <row r="38" spans="2:100" ht="20.100000000000001" customHeight="1">
      <c r="B38" s="1004" t="s">
        <v>84</v>
      </c>
      <c r="C38" s="19"/>
      <c r="D38" s="93"/>
      <c r="E38" s="1008" t="s">
        <v>95</v>
      </c>
      <c r="F38" s="1008" t="s">
        <v>94</v>
      </c>
      <c r="G38" s="1025" t="s">
        <v>101</v>
      </c>
      <c r="H38" s="1026"/>
      <c r="I38" s="1025" t="s">
        <v>100</v>
      </c>
      <c r="J38" s="1026"/>
      <c r="K38" s="97"/>
      <c r="L38" s="97"/>
      <c r="Y38" s="22"/>
      <c r="Z38" s="139"/>
      <c r="AA38" s="142"/>
      <c r="AB38" s="141"/>
      <c r="AC38" s="61"/>
      <c r="AE38" s="381">
        <v>29</v>
      </c>
      <c r="AF38" s="382">
        <v>996.02</v>
      </c>
      <c r="AG38" s="383">
        <v>8.1799999999999993E-4</v>
      </c>
      <c r="AH38" s="379">
        <f t="shared" si="0"/>
        <v>8.2126864922391111E-7</v>
      </c>
      <c r="BT38" s="31">
        <v>38</v>
      </c>
      <c r="BU38" s="64"/>
      <c r="BV38" s="64">
        <v>600</v>
      </c>
      <c r="BW38" s="64"/>
      <c r="BX38" s="337">
        <v>635</v>
      </c>
      <c r="BY38" s="64"/>
      <c r="BZ38" s="64">
        <v>8.6999999999999993</v>
      </c>
      <c r="CA38" s="329">
        <f t="shared" si="19"/>
        <v>0.61799999999999999</v>
      </c>
      <c r="CB38" s="338">
        <f t="shared" si="20"/>
        <v>73</v>
      </c>
      <c r="CC38" s="150"/>
      <c r="CD38" s="172"/>
    </row>
    <row r="39" spans="2:100" ht="20.100000000000001" customHeight="1">
      <c r="B39" s="1005"/>
      <c r="C39" s="19"/>
      <c r="D39" s="93"/>
      <c r="E39" s="1010"/>
      <c r="F39" s="1010"/>
      <c r="G39" s="1008" t="s">
        <v>80</v>
      </c>
      <c r="H39" s="1008" t="s">
        <v>98</v>
      </c>
      <c r="I39" s="1008" t="s">
        <v>80</v>
      </c>
      <c r="J39" s="1008" t="s">
        <v>98</v>
      </c>
      <c r="K39" s="97"/>
      <c r="L39" s="97"/>
      <c r="Y39" s="22"/>
      <c r="Z39" s="139"/>
      <c r="AA39" s="142"/>
      <c r="AB39" s="141"/>
      <c r="AC39" s="61"/>
      <c r="AE39" s="381">
        <v>30</v>
      </c>
      <c r="AF39" s="382">
        <v>995.71</v>
      </c>
      <c r="AG39" s="383">
        <v>8.007E-4</v>
      </c>
      <c r="AH39" s="379">
        <f t="shared" si="0"/>
        <v>8.0414980265338299E-7</v>
      </c>
      <c r="BT39" s="31">
        <v>39</v>
      </c>
      <c r="BU39" s="964" t="str">
        <f>BQ12</f>
        <v>Hierro dúctil C40</v>
      </c>
      <c r="BV39" s="965"/>
      <c r="BW39" s="965"/>
      <c r="BX39" s="965"/>
      <c r="BY39" s="965"/>
      <c r="BZ39" s="965"/>
      <c r="CA39" s="965"/>
      <c r="CB39" s="966"/>
      <c r="CC39" s="150"/>
      <c r="CD39" s="172"/>
    </row>
    <row r="40" spans="2:100" ht="20.100000000000001" customHeight="1">
      <c r="B40" s="1005"/>
      <c r="C40" s="19"/>
      <c r="D40" s="93"/>
      <c r="E40" s="1010"/>
      <c r="F40" s="1010"/>
      <c r="G40" s="1010"/>
      <c r="H40" s="1010"/>
      <c r="I40" s="1010"/>
      <c r="J40" s="1010"/>
      <c r="K40" s="97"/>
      <c r="L40" s="97"/>
      <c r="Y40" s="22"/>
      <c r="Z40" s="139"/>
      <c r="AA40" s="142"/>
      <c r="AB40" s="141"/>
      <c r="AC40" s="61"/>
      <c r="AE40" s="381">
        <v>31</v>
      </c>
      <c r="AF40" s="382">
        <v>995.41</v>
      </c>
      <c r="AG40" s="383">
        <v>7.8400000000000008E-4</v>
      </c>
      <c r="AH40" s="379">
        <f t="shared" si="0"/>
        <v>7.8761515355481675E-7</v>
      </c>
      <c r="BT40" s="31">
        <v>40</v>
      </c>
      <c r="BU40" s="64"/>
      <c r="BV40" s="335"/>
      <c r="BW40" s="335"/>
      <c r="BX40" s="335"/>
      <c r="BY40" s="335"/>
      <c r="BZ40" s="335"/>
      <c r="CA40" s="335"/>
      <c r="CB40" s="335"/>
      <c r="CC40" s="150"/>
      <c r="CD40" s="172"/>
    </row>
    <row r="41" spans="2:100" ht="20.100000000000001" customHeight="1">
      <c r="B41" s="1006"/>
      <c r="C41" s="19"/>
      <c r="D41" s="93"/>
      <c r="E41" s="1009"/>
      <c r="F41" s="1009"/>
      <c r="G41" s="1009"/>
      <c r="H41" s="1009"/>
      <c r="I41" s="1009"/>
      <c r="J41" s="1009"/>
      <c r="K41" s="97"/>
      <c r="L41" s="97"/>
      <c r="Y41" s="22"/>
      <c r="Z41" s="139"/>
      <c r="AA41" s="142"/>
      <c r="AB41" s="141"/>
      <c r="AC41" s="61"/>
      <c r="AE41" s="381">
        <v>32</v>
      </c>
      <c r="AF41" s="382">
        <v>995.09</v>
      </c>
      <c r="AG41" s="383">
        <v>7.6790000000000007E-4</v>
      </c>
      <c r="AH41" s="379">
        <f t="shared" si="0"/>
        <v>7.7168899295541107E-7</v>
      </c>
      <c r="BT41" s="31">
        <v>41</v>
      </c>
      <c r="BU41" s="64"/>
      <c r="BV41" s="64">
        <v>150</v>
      </c>
      <c r="BW41" s="64"/>
      <c r="BX41" s="337">
        <v>170</v>
      </c>
      <c r="BY41" s="64"/>
      <c r="BZ41" s="64">
        <v>4.5</v>
      </c>
      <c r="CA41" s="329">
        <f>ROUND((BX41-2*BZ41)/1000,3)</f>
        <v>0.161</v>
      </c>
      <c r="CB41" s="338">
        <f t="shared" ref="CB41:CB49" si="21">ROUND(BX41/BZ41,0)</f>
        <v>38</v>
      </c>
      <c r="CC41" s="150"/>
      <c r="CD41" s="172"/>
    </row>
    <row r="42" spans="2:100" ht="20.100000000000001" customHeight="1">
      <c r="B42" s="311" t="s">
        <v>85</v>
      </c>
      <c r="C42" s="312"/>
      <c r="D42" s="313"/>
      <c r="E42" s="313">
        <v>16.2</v>
      </c>
      <c r="F42" s="257">
        <f t="shared" ref="F42:F50" si="22">MID(B42,4,3)+0</f>
        <v>20</v>
      </c>
      <c r="G42" s="258">
        <f t="shared" ref="G42:G50" si="23">VLOOKUP(F42,AT$5:AU$25,2,FALSE)</f>
        <v>0.84099999999999997</v>
      </c>
      <c r="H42" s="273">
        <f>SUM(E$42:E$50)-SUM(E$42:E42)</f>
        <v>83.8</v>
      </c>
      <c r="I42" s="258">
        <f>G50</f>
        <v>0.14899999999999999</v>
      </c>
      <c r="J42" s="273">
        <f>H50</f>
        <v>0</v>
      </c>
      <c r="K42" s="97"/>
      <c r="L42" s="97"/>
      <c r="M42" s="73"/>
      <c r="N42" s="89"/>
      <c r="Y42" s="22"/>
      <c r="Z42" s="139"/>
      <c r="AA42" s="142"/>
      <c r="AB42" s="141"/>
      <c r="AC42" s="61"/>
      <c r="AE42" s="381">
        <v>33</v>
      </c>
      <c r="AF42" s="382">
        <v>994.76</v>
      </c>
      <c r="AG42" s="383">
        <v>7.5230000000000002E-4</v>
      </c>
      <c r="AH42" s="379">
        <f t="shared" si="0"/>
        <v>7.5626281716192853E-7</v>
      </c>
      <c r="BT42" s="31">
        <v>42</v>
      </c>
      <c r="BU42" s="64"/>
      <c r="BV42" s="64">
        <v>200</v>
      </c>
      <c r="BW42" s="64"/>
      <c r="BX42" s="337">
        <v>222</v>
      </c>
      <c r="BY42" s="64"/>
      <c r="BZ42" s="340">
        <v>4.7</v>
      </c>
      <c r="CA42" s="329">
        <f>ROUND((BX42-2*BZ42)/1000,3)</f>
        <v>0.21299999999999999</v>
      </c>
      <c r="CB42" s="338">
        <f t="shared" si="21"/>
        <v>47</v>
      </c>
      <c r="CC42" s="150"/>
      <c r="CD42" s="172"/>
    </row>
    <row r="43" spans="2:100" ht="20.100000000000001" customHeight="1">
      <c r="B43" s="311" t="s">
        <v>86</v>
      </c>
      <c r="C43" s="312"/>
      <c r="D43" s="313"/>
      <c r="E43" s="313">
        <v>33.700000000000003</v>
      </c>
      <c r="F43" s="257">
        <f t="shared" si="22"/>
        <v>25</v>
      </c>
      <c r="G43" s="295">
        <f t="shared" si="23"/>
        <v>0.70699999999999996</v>
      </c>
      <c r="H43" s="273">
        <f>SUM(E$42:E$50)-SUM(E$42:E43)</f>
        <v>50.099999999999994</v>
      </c>
      <c r="I43" s="258">
        <f>G49</f>
        <v>0.21</v>
      </c>
      <c r="J43" s="273">
        <f>H49</f>
        <v>0.49999999999998579</v>
      </c>
      <c r="K43" s="97"/>
      <c r="L43" s="97"/>
      <c r="M43" s="89"/>
      <c r="N43" s="73"/>
      <c r="Y43" s="22"/>
      <c r="Z43" s="139"/>
      <c r="AA43" s="142"/>
      <c r="AB43" s="141"/>
      <c r="AC43" s="61"/>
      <c r="AE43" s="381">
        <v>34</v>
      </c>
      <c r="AF43" s="382">
        <v>994.43</v>
      </c>
      <c r="AG43" s="383">
        <v>7.3709999999999997E-4</v>
      </c>
      <c r="AH43" s="379">
        <f t="shared" si="0"/>
        <v>7.4122864354454311E-7</v>
      </c>
      <c r="BT43" s="31">
        <v>43</v>
      </c>
      <c r="BU43" s="64"/>
      <c r="BV43" s="64">
        <v>250</v>
      </c>
      <c r="BW43" s="64"/>
      <c r="BX43" s="337">
        <v>274</v>
      </c>
      <c r="BY43" s="64"/>
      <c r="BZ43" s="340">
        <v>5.5</v>
      </c>
      <c r="CA43" s="329">
        <f t="shared" ref="CA43:CA49" si="24">ROUND((BX43-2*BZ43)/1000,3)</f>
        <v>0.26300000000000001</v>
      </c>
      <c r="CB43" s="338">
        <f t="shared" si="21"/>
        <v>50</v>
      </c>
      <c r="CC43" s="150"/>
      <c r="CD43" s="172"/>
    </row>
    <row r="44" spans="2:100" ht="20.100000000000001" customHeight="1">
      <c r="B44" s="311" t="s">
        <v>87</v>
      </c>
      <c r="C44" s="312"/>
      <c r="D44" s="313"/>
      <c r="E44" s="313">
        <v>33.9</v>
      </c>
      <c r="F44" s="257">
        <f t="shared" si="22"/>
        <v>30</v>
      </c>
      <c r="G44" s="646">
        <f t="shared" si="23"/>
        <v>0.59499999999999997</v>
      </c>
      <c r="H44" s="273">
        <f>SUM(E$42:E$50)-SUM(E$42:E44)</f>
        <v>16.199999999999989</v>
      </c>
      <c r="I44" s="258">
        <f>G48</f>
        <v>0.25</v>
      </c>
      <c r="J44" s="273">
        <f>H48</f>
        <v>1.4999999999999858</v>
      </c>
      <c r="K44" s="97"/>
      <c r="L44" s="97"/>
      <c r="M44" s="89"/>
      <c r="N44" s="73"/>
      <c r="Y44" s="22"/>
      <c r="Z44" s="139"/>
      <c r="AA44" s="142"/>
      <c r="AB44" s="141"/>
      <c r="AC44" s="61"/>
      <c r="AE44" s="381">
        <v>35</v>
      </c>
      <c r="AF44" s="382">
        <v>994.08</v>
      </c>
      <c r="AG44" s="383">
        <v>7.2250000000000005E-4</v>
      </c>
      <c r="AH44" s="379">
        <f t="shared" si="0"/>
        <v>7.2680267181715759E-7</v>
      </c>
      <c r="BT44" s="31">
        <v>44</v>
      </c>
      <c r="BU44" s="341"/>
      <c r="BV44" s="64">
        <v>300</v>
      </c>
      <c r="BW44" s="64"/>
      <c r="BX44" s="337">
        <v>326</v>
      </c>
      <c r="BY44" s="64"/>
      <c r="BZ44" s="340">
        <v>6.2</v>
      </c>
      <c r="CA44" s="329">
        <f t="shared" si="24"/>
        <v>0.314</v>
      </c>
      <c r="CB44" s="338">
        <f t="shared" si="21"/>
        <v>53</v>
      </c>
      <c r="CC44" s="150"/>
      <c r="CD44" s="172"/>
    </row>
    <row r="45" spans="2:100" ht="20.100000000000001" customHeight="1">
      <c r="B45" s="311" t="s">
        <v>93</v>
      </c>
      <c r="C45" s="312"/>
      <c r="D45" s="313"/>
      <c r="E45" s="313">
        <v>6.2</v>
      </c>
      <c r="F45" s="257">
        <f t="shared" si="22"/>
        <v>35</v>
      </c>
      <c r="G45" s="295">
        <f t="shared" si="23"/>
        <v>0.5</v>
      </c>
      <c r="H45" s="273">
        <f>SUM(E$42:E$50)-SUM(E$42:E45)</f>
        <v>9.9999999999999858</v>
      </c>
      <c r="I45" s="258">
        <f>G47</f>
        <v>0.29699999999999999</v>
      </c>
      <c r="J45" s="273">
        <f>H47</f>
        <v>3.4999999999999858</v>
      </c>
      <c r="K45" s="97"/>
      <c r="L45" s="101"/>
      <c r="M45" s="89"/>
      <c r="N45" s="73"/>
      <c r="Y45" s="22"/>
      <c r="Z45" s="139"/>
      <c r="AA45" s="142"/>
      <c r="AB45" s="141"/>
      <c r="AC45" s="61"/>
      <c r="BT45" s="31">
        <v>45</v>
      </c>
      <c r="BU45" s="64"/>
      <c r="BV45" s="64">
        <v>350</v>
      </c>
      <c r="BW45" s="64"/>
      <c r="BX45" s="337">
        <v>378</v>
      </c>
      <c r="BY45" s="64"/>
      <c r="BZ45" s="340">
        <v>7.1</v>
      </c>
      <c r="CA45" s="329">
        <f t="shared" si="24"/>
        <v>0.36399999999999999</v>
      </c>
      <c r="CB45" s="338">
        <f t="shared" si="21"/>
        <v>53</v>
      </c>
      <c r="CC45" s="150"/>
      <c r="CD45" s="172"/>
    </row>
    <row r="46" spans="2:100" ht="20.100000000000001" customHeight="1">
      <c r="B46" s="311" t="s">
        <v>88</v>
      </c>
      <c r="C46" s="312"/>
      <c r="D46" s="313"/>
      <c r="E46" s="313">
        <v>3.5</v>
      </c>
      <c r="F46" s="257">
        <f t="shared" si="22"/>
        <v>40</v>
      </c>
      <c r="G46" s="295">
        <f t="shared" si="23"/>
        <v>0.4</v>
      </c>
      <c r="H46" s="273">
        <f>SUM(E$42:E$50)-SUM(E$42:E46)</f>
        <v>6.4999999999999858</v>
      </c>
      <c r="I46" s="258">
        <f>G46</f>
        <v>0.4</v>
      </c>
      <c r="J46" s="273">
        <f>H46</f>
        <v>6.4999999999999858</v>
      </c>
      <c r="K46" s="97"/>
      <c r="L46" s="97"/>
      <c r="M46" s="89"/>
      <c r="N46" s="73"/>
      <c r="Y46" s="22"/>
      <c r="Z46" s="139"/>
      <c r="AA46" s="142"/>
      <c r="AB46" s="141"/>
      <c r="AC46" s="61"/>
      <c r="BT46" s="31">
        <v>46</v>
      </c>
      <c r="BU46" s="342"/>
      <c r="BV46" s="332">
        <v>400</v>
      </c>
      <c r="BW46" s="332"/>
      <c r="BX46" s="339">
        <v>429</v>
      </c>
      <c r="BY46" s="332"/>
      <c r="BZ46" s="343">
        <v>7.8</v>
      </c>
      <c r="CA46" s="333">
        <f t="shared" si="24"/>
        <v>0.41299999999999998</v>
      </c>
      <c r="CB46" s="338">
        <f t="shared" si="21"/>
        <v>55</v>
      </c>
      <c r="CC46" s="197"/>
      <c r="CD46" s="172"/>
    </row>
    <row r="47" spans="2:100" ht="20.100000000000001" customHeight="1">
      <c r="B47" s="311" t="s">
        <v>89</v>
      </c>
      <c r="C47" s="312"/>
      <c r="D47" s="313"/>
      <c r="E47" s="313">
        <v>3</v>
      </c>
      <c r="F47" s="257">
        <f t="shared" si="22"/>
        <v>50</v>
      </c>
      <c r="G47" s="295">
        <f t="shared" si="23"/>
        <v>0.29699999999999999</v>
      </c>
      <c r="H47" s="273">
        <f>SUM(E$42:E$50)-SUM(E$42:E47)</f>
        <v>3.4999999999999858</v>
      </c>
      <c r="I47" s="646">
        <f>G45</f>
        <v>0.5</v>
      </c>
      <c r="J47" s="273">
        <f>H45</f>
        <v>9.9999999999999858</v>
      </c>
      <c r="K47" s="97"/>
      <c r="L47" s="97"/>
      <c r="M47" s="89"/>
      <c r="N47" s="73"/>
      <c r="Y47" s="22"/>
      <c r="Z47" s="139"/>
      <c r="AA47" s="142"/>
      <c r="AB47" s="141"/>
      <c r="AC47" s="61"/>
      <c r="BT47" s="31">
        <v>47</v>
      </c>
      <c r="BU47" s="335"/>
      <c r="BV47" s="64">
        <v>450</v>
      </c>
      <c r="BW47" s="64"/>
      <c r="BX47" s="337">
        <v>480</v>
      </c>
      <c r="BY47" s="64"/>
      <c r="BZ47" s="340">
        <v>8.6</v>
      </c>
      <c r="CA47" s="329">
        <f t="shared" si="24"/>
        <v>0.46300000000000002</v>
      </c>
      <c r="CB47" s="338">
        <f t="shared" si="21"/>
        <v>56</v>
      </c>
      <c r="CC47" s="198"/>
      <c r="CD47" s="172"/>
    </row>
    <row r="48" spans="2:100" ht="20.100000000000001" customHeight="1">
      <c r="B48" s="311" t="s">
        <v>90</v>
      </c>
      <c r="C48" s="312"/>
      <c r="D48" s="313"/>
      <c r="E48" s="313">
        <v>2</v>
      </c>
      <c r="F48" s="257">
        <f t="shared" si="22"/>
        <v>60</v>
      </c>
      <c r="G48" s="295">
        <f t="shared" si="23"/>
        <v>0.25</v>
      </c>
      <c r="H48" s="273">
        <f>SUM(E$42:E$50)-SUM(E$42:E48)</f>
        <v>1.4999999999999858</v>
      </c>
      <c r="I48" s="258">
        <f>G44</f>
        <v>0.59499999999999997</v>
      </c>
      <c r="J48" s="273">
        <f>H44</f>
        <v>16.199999999999989</v>
      </c>
      <c r="K48" s="97"/>
      <c r="L48" s="97"/>
      <c r="M48" s="89"/>
      <c r="N48" s="73"/>
      <c r="Y48" s="22"/>
      <c r="Z48" s="139"/>
      <c r="AA48" s="142"/>
      <c r="AB48" s="141"/>
      <c r="AC48" s="61"/>
      <c r="BT48" s="31">
        <v>48</v>
      </c>
      <c r="BU48" s="64"/>
      <c r="BV48" s="64">
        <v>500</v>
      </c>
      <c r="BW48" s="64"/>
      <c r="BX48" s="337">
        <v>532</v>
      </c>
      <c r="BY48" s="64"/>
      <c r="BZ48" s="340">
        <v>9.3000000000000007</v>
      </c>
      <c r="CA48" s="329">
        <f t="shared" si="24"/>
        <v>0.51300000000000001</v>
      </c>
      <c r="CB48" s="338">
        <f t="shared" si="21"/>
        <v>57</v>
      </c>
      <c r="CC48" s="150"/>
      <c r="CD48" s="172"/>
    </row>
    <row r="49" spans="2:94" ht="20.100000000000001" customHeight="1">
      <c r="B49" s="311" t="s">
        <v>91</v>
      </c>
      <c r="C49" s="312"/>
      <c r="D49" s="313"/>
      <c r="E49" s="313">
        <v>1</v>
      </c>
      <c r="F49" s="257">
        <f t="shared" si="22"/>
        <v>70</v>
      </c>
      <c r="G49" s="295">
        <f t="shared" si="23"/>
        <v>0.21</v>
      </c>
      <c r="H49" s="273">
        <f>SUM(E$42:E$50)-SUM(E$42:E49)</f>
        <v>0.49999999999998579</v>
      </c>
      <c r="I49" s="258">
        <f>G43</f>
        <v>0.70699999999999996</v>
      </c>
      <c r="J49" s="273">
        <f>H43</f>
        <v>50.099999999999994</v>
      </c>
      <c r="K49" s="97"/>
      <c r="L49" s="97"/>
      <c r="M49" s="89"/>
      <c r="N49" s="73"/>
      <c r="Y49" s="22"/>
      <c r="Z49" s="139"/>
      <c r="AA49" s="142"/>
      <c r="AB49" s="141"/>
      <c r="AC49" s="61"/>
      <c r="BT49" s="31">
        <v>49</v>
      </c>
      <c r="BU49" s="64"/>
      <c r="BV49" s="64">
        <v>600</v>
      </c>
      <c r="BW49" s="64"/>
      <c r="BX49" s="337">
        <v>635</v>
      </c>
      <c r="BY49" s="64"/>
      <c r="BZ49" s="340">
        <v>10.9</v>
      </c>
      <c r="CA49" s="329">
        <f t="shared" si="24"/>
        <v>0.61299999999999999</v>
      </c>
      <c r="CB49" s="338">
        <f t="shared" si="21"/>
        <v>58</v>
      </c>
      <c r="CC49" s="150"/>
      <c r="CD49" s="172"/>
    </row>
    <row r="50" spans="2:94" ht="20.100000000000001" customHeight="1">
      <c r="B50" s="311" t="s">
        <v>92</v>
      </c>
      <c r="C50" s="312"/>
      <c r="D50" s="313"/>
      <c r="E50" s="274">
        <f>100-(SUM(E42:E49))</f>
        <v>0.49999999999998579</v>
      </c>
      <c r="F50" s="257">
        <f t="shared" si="22"/>
        <v>100</v>
      </c>
      <c r="G50" s="295">
        <f t="shared" si="23"/>
        <v>0.14899999999999999</v>
      </c>
      <c r="H50" s="273">
        <f>SUM(E$42:E$50)-SUM(E$42:E50)</f>
        <v>0</v>
      </c>
      <c r="I50" s="258">
        <f>G42</f>
        <v>0.84099999999999997</v>
      </c>
      <c r="J50" s="273">
        <f>H42</f>
        <v>83.8</v>
      </c>
      <c r="K50" s="259" t="str">
        <f>IF(OR(SUM(E42:E50)&lt;100,SUM(E42:E50)&gt;100),"Sumatoria de % arena retenida deber ser 100, verifique granuloemtría del medio filtrante","")</f>
        <v/>
      </c>
      <c r="L50" s="97"/>
      <c r="Y50" s="22"/>
      <c r="Z50" s="139"/>
      <c r="AA50" s="142"/>
      <c r="AB50" s="141"/>
      <c r="AC50" s="61"/>
      <c r="BT50" s="31">
        <v>50</v>
      </c>
      <c r="BU50" s="964" t="str">
        <f>BQ13</f>
        <v>Polietileno de alta densidad (PEAD) PE 100 RDE 21</v>
      </c>
      <c r="BV50" s="965"/>
      <c r="BW50" s="965"/>
      <c r="BX50" s="965"/>
      <c r="BY50" s="965"/>
      <c r="BZ50" s="965"/>
      <c r="CA50" s="965"/>
      <c r="CB50" s="966"/>
      <c r="CC50" s="150"/>
      <c r="CD50" s="172"/>
    </row>
    <row r="51" spans="2:94" ht="20.100000000000001" customHeight="1">
      <c r="B51" s="97"/>
      <c r="C51" s="97"/>
      <c r="D51" s="97"/>
      <c r="E51" s="101"/>
      <c r="F51" s="97"/>
      <c r="G51" s="97"/>
      <c r="H51" s="97"/>
      <c r="I51" s="97"/>
      <c r="J51" s="97"/>
      <c r="K51" s="97"/>
      <c r="L51" s="97"/>
      <c r="Y51" s="22"/>
      <c r="Z51" s="139"/>
      <c r="AA51" s="142"/>
      <c r="AB51" s="141"/>
      <c r="AC51" s="61"/>
      <c r="BT51" s="31">
        <v>51</v>
      </c>
      <c r="BU51" s="64"/>
      <c r="BV51" s="64"/>
      <c r="BW51" s="64"/>
      <c r="BX51" s="337"/>
      <c r="BY51" s="64"/>
      <c r="BZ51" s="340"/>
      <c r="CA51" s="329"/>
      <c r="CB51" s="338"/>
      <c r="CC51" s="150"/>
      <c r="CD51" s="172"/>
    </row>
    <row r="52" spans="2:94" ht="20.100000000000001" customHeight="1">
      <c r="B52" s="23" t="s">
        <v>220</v>
      </c>
      <c r="C52" s="100"/>
      <c r="D52" s="94"/>
      <c r="E52" s="100"/>
      <c r="F52" s="87"/>
      <c r="G52" s="102"/>
      <c r="H52" s="48"/>
      <c r="I52" s="48"/>
      <c r="J52" s="48"/>
      <c r="K52" s="97"/>
      <c r="L52" s="97"/>
      <c r="Y52" s="22"/>
      <c r="Z52" s="139"/>
      <c r="AA52" s="142"/>
      <c r="AB52" s="141"/>
      <c r="AC52" s="61"/>
      <c r="BT52" s="31">
        <v>52</v>
      </c>
      <c r="BU52" s="64"/>
      <c r="BV52" s="344">
        <v>160</v>
      </c>
      <c r="BW52" s="345"/>
      <c r="BX52" s="346">
        <v>160</v>
      </c>
      <c r="BY52" s="345"/>
      <c r="BZ52" s="347">
        <v>7.7</v>
      </c>
      <c r="CA52" s="329">
        <f t="shared" ref="CA52:CA57" si="25">ROUND((BX52-2*BZ52)/1000,4)</f>
        <v>0.14460000000000001</v>
      </c>
      <c r="CB52" s="338">
        <f t="shared" ref="CB52:CB57" si="26">ROUND(BX52/BZ52,0)</f>
        <v>21</v>
      </c>
      <c r="CC52" s="150"/>
      <c r="CD52" s="172"/>
    </row>
    <row r="53" spans="2:94" ht="20.100000000000001" customHeight="1">
      <c r="B53" s="959"/>
      <c r="C53" s="19"/>
      <c r="D53" s="93"/>
      <c r="E53" s="1007" t="s">
        <v>80</v>
      </c>
      <c r="F53" s="1007" t="s">
        <v>98</v>
      </c>
      <c r="G53" s="902"/>
      <c r="H53" s="902"/>
      <c r="I53" s="902"/>
      <c r="J53" s="1029" t="s">
        <v>221</v>
      </c>
      <c r="K53" s="97"/>
      <c r="L53" s="97"/>
      <c r="Y53" s="22"/>
      <c r="Z53" s="139"/>
      <c r="AA53" s="142"/>
      <c r="AB53" s="141"/>
      <c r="AC53" s="61"/>
      <c r="BT53" s="31">
        <v>53</v>
      </c>
      <c r="BU53" s="64"/>
      <c r="BV53" s="64">
        <v>200</v>
      </c>
      <c r="BW53" s="334"/>
      <c r="BX53" s="324">
        <v>200</v>
      </c>
      <c r="BY53" s="334"/>
      <c r="BZ53" s="340">
        <v>9.6</v>
      </c>
      <c r="CA53" s="329">
        <f t="shared" si="25"/>
        <v>0.18079999999999999</v>
      </c>
      <c r="CB53" s="338">
        <f t="shared" si="26"/>
        <v>21</v>
      </c>
      <c r="CC53" s="150"/>
      <c r="CD53" s="172"/>
    </row>
    <row r="54" spans="2:94" ht="20.100000000000001" customHeight="1">
      <c r="B54" s="959"/>
      <c r="C54" s="19"/>
      <c r="D54" s="93"/>
      <c r="E54" s="1007"/>
      <c r="F54" s="1007"/>
      <c r="G54" s="902"/>
      <c r="H54" s="902"/>
      <c r="I54" s="902"/>
      <c r="J54" s="1029"/>
      <c r="K54" s="97"/>
      <c r="L54" s="97"/>
      <c r="Y54" s="22"/>
      <c r="Z54" s="139"/>
      <c r="AA54" s="142"/>
      <c r="AB54" s="141"/>
      <c r="AC54" s="61"/>
      <c r="AJ54" s="67"/>
      <c r="BT54" s="31">
        <v>54</v>
      </c>
      <c r="BU54" s="64"/>
      <c r="BV54" s="64">
        <v>250</v>
      </c>
      <c r="BW54" s="334"/>
      <c r="BX54" s="324">
        <v>250</v>
      </c>
      <c r="BY54" s="334"/>
      <c r="BZ54" s="340">
        <v>11.9</v>
      </c>
      <c r="CA54" s="329">
        <f t="shared" si="25"/>
        <v>0.22620000000000001</v>
      </c>
      <c r="CB54" s="338">
        <f t="shared" si="26"/>
        <v>21</v>
      </c>
      <c r="CC54" s="150"/>
      <c r="CD54" s="172"/>
    </row>
    <row r="55" spans="2:94" ht="20.100000000000001" customHeight="1">
      <c r="B55" s="959"/>
      <c r="C55" s="19"/>
      <c r="D55" s="93"/>
      <c r="E55" s="1007"/>
      <c r="F55" s="1007"/>
      <c r="G55" s="902"/>
      <c r="H55" s="902"/>
      <c r="I55" s="902"/>
      <c r="J55" s="1029"/>
      <c r="K55" s="97"/>
      <c r="L55" s="97"/>
      <c r="Y55" s="22"/>
      <c r="Z55" s="139"/>
      <c r="AA55" s="142"/>
      <c r="AB55" s="141"/>
      <c r="AC55" s="61"/>
      <c r="AJ55" s="67"/>
      <c r="BT55" s="31">
        <v>55</v>
      </c>
      <c r="BU55" s="64"/>
      <c r="BV55" s="64">
        <v>315</v>
      </c>
      <c r="BW55" s="334"/>
      <c r="BX55" s="324">
        <v>315</v>
      </c>
      <c r="BY55" s="334"/>
      <c r="BZ55" s="340">
        <v>15</v>
      </c>
      <c r="CA55" s="329">
        <f t="shared" si="25"/>
        <v>0.28499999999999998</v>
      </c>
      <c r="CB55" s="338">
        <f t="shared" si="26"/>
        <v>21</v>
      </c>
      <c r="CC55" s="150"/>
      <c r="CD55" s="172"/>
    </row>
    <row r="56" spans="2:94" ht="20.100000000000001" customHeight="1">
      <c r="B56" s="258" t="s">
        <v>461</v>
      </c>
      <c r="C56" s="95"/>
      <c r="D56" s="108"/>
      <c r="E56" s="258">
        <f>INDEX(I42:I50,MATCH(10,J42:J50,1),1)</f>
        <v>0.5</v>
      </c>
      <c r="F56" s="273">
        <f>VLOOKUP(E56,I$42:J$50,2,FALSE)</f>
        <v>9.9999999999999858</v>
      </c>
      <c r="G56" s="1037">
        <f>(LOG(E56)+((10-F56)/(F57-F56))*LOG(E57/E56))</f>
        <v>-0.30102999566398103</v>
      </c>
      <c r="H56" s="1037"/>
      <c r="I56" s="1037"/>
      <c r="J56" s="863">
        <f>10^(G56)</f>
        <v>0.50000000000000022</v>
      </c>
      <c r="K56" s="233" t="str">
        <f>IF(J56&lt;0.45,"0,45&lt;d10&lt;0,55 ¡Verifique granulometría del medio filtrante!",IF(J56&gt;0.55,"0,45&lt;d10&lt;0,55, ¡Verifique granulometría del medio filtrante!","Ok"))</f>
        <v>Ok</v>
      </c>
      <c r="L56" s="97"/>
      <c r="Y56" s="22"/>
      <c r="Z56" s="139"/>
      <c r="AA56" s="142"/>
      <c r="AB56" s="141"/>
      <c r="AC56" s="61"/>
      <c r="BT56" s="31">
        <v>56</v>
      </c>
      <c r="BU56" s="64"/>
      <c r="BV56" s="64">
        <v>355</v>
      </c>
      <c r="BW56" s="334"/>
      <c r="BX56" s="324">
        <v>355</v>
      </c>
      <c r="BY56" s="334"/>
      <c r="BZ56" s="340">
        <v>16.899999999999999</v>
      </c>
      <c r="CA56" s="329">
        <f t="shared" si="25"/>
        <v>0.32119999999999999</v>
      </c>
      <c r="CB56" s="338">
        <f t="shared" si="26"/>
        <v>21</v>
      </c>
      <c r="CC56" s="150"/>
      <c r="CD56" s="172"/>
    </row>
    <row r="57" spans="2:94" ht="20.100000000000001" customHeight="1">
      <c r="B57" s="258" t="s">
        <v>462</v>
      </c>
      <c r="C57" s="95"/>
      <c r="D57" s="108"/>
      <c r="E57" s="258">
        <f>INDEX(G42:G50,MATCH(10,H42:H50,-1),1)</f>
        <v>0.59499999999999997</v>
      </c>
      <c r="F57" s="273">
        <f>VLOOKUP(E57,I$42:J$50,2,FALSE)</f>
        <v>16.199999999999989</v>
      </c>
      <c r="G57" s="1037"/>
      <c r="H57" s="1037"/>
      <c r="I57" s="1037"/>
      <c r="J57" s="863"/>
      <c r="K57" s="233"/>
      <c r="L57" s="97"/>
      <c r="Y57" s="22"/>
      <c r="Z57" s="139"/>
      <c r="AA57" s="142"/>
      <c r="AB57" s="141"/>
      <c r="AC57" s="61"/>
      <c r="BT57" s="31">
        <v>57</v>
      </c>
      <c r="BU57" s="64"/>
      <c r="BV57" s="344">
        <v>400</v>
      </c>
      <c r="BW57" s="345"/>
      <c r="BX57" s="346">
        <v>400</v>
      </c>
      <c r="BY57" s="345"/>
      <c r="BZ57" s="347">
        <v>19.100000000000001</v>
      </c>
      <c r="CA57" s="329">
        <f t="shared" si="25"/>
        <v>0.36180000000000001</v>
      </c>
      <c r="CB57" s="338">
        <f t="shared" si="26"/>
        <v>21</v>
      </c>
      <c r="CC57" s="150"/>
      <c r="CD57" s="172"/>
    </row>
    <row r="58" spans="2:94" ht="20.100000000000001" customHeight="1">
      <c r="B58" s="103"/>
      <c r="C58" s="100"/>
      <c r="D58" s="94"/>
      <c r="E58" s="48"/>
      <c r="F58" s="104"/>
      <c r="G58" s="94"/>
      <c r="H58" s="94"/>
      <c r="I58" s="94"/>
      <c r="J58" s="48"/>
      <c r="K58" s="97"/>
      <c r="L58" s="97"/>
      <c r="Y58" s="22"/>
      <c r="Z58" s="139"/>
      <c r="AA58" s="142"/>
      <c r="AB58" s="141"/>
      <c r="AC58" s="61"/>
      <c r="BT58" s="31">
        <v>58</v>
      </c>
      <c r="BU58" s="964" t="str">
        <f>BQ14</f>
        <v>Polietileno de alta densidad (PEAD) PE 100 RDE 17</v>
      </c>
      <c r="BV58" s="965"/>
      <c r="BW58" s="965"/>
      <c r="BX58" s="965"/>
      <c r="BY58" s="965"/>
      <c r="BZ58" s="965"/>
      <c r="CA58" s="965"/>
      <c r="CB58" s="966"/>
      <c r="CC58" s="150"/>
      <c r="CD58" s="172"/>
      <c r="CE58" s="772"/>
      <c r="CF58" s="772"/>
      <c r="CG58" s="772"/>
      <c r="CH58" s="772"/>
      <c r="CI58" s="772"/>
      <c r="CJ58" s="772"/>
      <c r="CK58" s="772"/>
      <c r="CL58" s="772"/>
      <c r="CM58" s="772"/>
      <c r="CN58" s="772"/>
      <c r="CO58" s="772"/>
      <c r="CP58" s="772"/>
    </row>
    <row r="59" spans="2:94" ht="20.100000000000001" customHeight="1">
      <c r="B59" s="23" t="s">
        <v>222</v>
      </c>
      <c r="C59" s="100"/>
      <c r="D59" s="94"/>
      <c r="E59" s="48"/>
      <c r="F59" s="104"/>
      <c r="G59" s="94"/>
      <c r="H59" s="94"/>
      <c r="I59" s="94"/>
      <c r="J59" s="48"/>
      <c r="K59" s="97"/>
      <c r="L59" s="97"/>
      <c r="Y59" s="22"/>
      <c r="Z59" s="139"/>
      <c r="AA59" s="142"/>
      <c r="AB59" s="141"/>
      <c r="AC59" s="61"/>
      <c r="BT59" s="31">
        <v>59</v>
      </c>
      <c r="BU59" s="64"/>
      <c r="BV59" s="64"/>
      <c r="BW59" s="64"/>
      <c r="BX59" s="337"/>
      <c r="BY59" s="64"/>
      <c r="BZ59" s="340"/>
      <c r="CA59" s="329"/>
      <c r="CB59" s="338"/>
      <c r="CC59" s="150"/>
      <c r="CD59" s="172"/>
      <c r="CE59" s="7"/>
      <c r="CF59" s="7"/>
      <c r="CG59" s="7"/>
      <c r="CH59" s="7"/>
      <c r="CI59" s="7"/>
      <c r="CJ59" s="22"/>
      <c r="CK59" s="22"/>
      <c r="CL59" s="22"/>
      <c r="CM59" s="22"/>
      <c r="CN59" s="22"/>
      <c r="CO59" s="22"/>
      <c r="CP59" s="22"/>
    </row>
    <row r="60" spans="2:94" ht="20.100000000000001" customHeight="1">
      <c r="B60" s="959"/>
      <c r="C60" s="19"/>
      <c r="D60" s="93"/>
      <c r="E60" s="1007" t="s">
        <v>80</v>
      </c>
      <c r="F60" s="1007" t="s">
        <v>98</v>
      </c>
      <c r="G60" s="902"/>
      <c r="H60" s="902"/>
      <c r="I60" s="902"/>
      <c r="J60" s="1029" t="s">
        <v>223</v>
      </c>
      <c r="K60" s="97"/>
      <c r="L60" s="97"/>
      <c r="Y60" s="22"/>
      <c r="Z60" s="139"/>
      <c r="AA60" s="142"/>
      <c r="AB60" s="141"/>
      <c r="AC60" s="61"/>
      <c r="BT60" s="31">
        <v>60</v>
      </c>
      <c r="BU60" s="64"/>
      <c r="BV60" s="64">
        <v>160</v>
      </c>
      <c r="BW60" s="348"/>
      <c r="BX60" s="324">
        <v>160</v>
      </c>
      <c r="BY60" s="348"/>
      <c r="BZ60" s="64">
        <v>9.5</v>
      </c>
      <c r="CA60" s="329">
        <f t="shared" ref="CA60:CA65" si="27">ROUND((BX60-2*BZ60)/1000,4)</f>
        <v>0.14099999999999999</v>
      </c>
      <c r="CB60" s="349">
        <f t="shared" ref="CB60:CB65" si="28">ROUND(BX60/BZ60,0)</f>
        <v>17</v>
      </c>
      <c r="CC60" s="150"/>
      <c r="CD60" s="172"/>
      <c r="CE60" s="22"/>
      <c r="CF60" s="22"/>
      <c r="CG60" s="22"/>
      <c r="CH60" s="22"/>
      <c r="CI60" s="22"/>
      <c r="CJ60" s="22"/>
      <c r="CK60" s="44"/>
      <c r="CL60" s="22"/>
      <c r="CM60" s="22"/>
      <c r="CN60" s="22"/>
      <c r="CO60" s="22"/>
      <c r="CP60" s="36"/>
    </row>
    <row r="61" spans="2:94" ht="20.100000000000001" customHeight="1">
      <c r="B61" s="959"/>
      <c r="C61" s="19"/>
      <c r="D61" s="93"/>
      <c r="E61" s="1007"/>
      <c r="F61" s="1007"/>
      <c r="G61" s="902"/>
      <c r="H61" s="902"/>
      <c r="I61" s="902"/>
      <c r="J61" s="1029"/>
      <c r="K61" s="97"/>
      <c r="L61" s="97"/>
      <c r="Y61" s="22"/>
      <c r="Z61" s="139"/>
      <c r="AA61" s="142"/>
      <c r="AB61" s="141"/>
      <c r="AC61" s="61"/>
      <c r="BT61" s="31">
        <v>61</v>
      </c>
      <c r="BU61" s="342"/>
      <c r="BV61" s="64">
        <v>200</v>
      </c>
      <c r="BW61" s="64"/>
      <c r="BX61" s="324">
        <v>200</v>
      </c>
      <c r="BY61" s="64"/>
      <c r="BZ61" s="64">
        <v>11.9</v>
      </c>
      <c r="CA61" s="329">
        <f t="shared" si="27"/>
        <v>0.1762</v>
      </c>
      <c r="CB61" s="349">
        <f t="shared" si="28"/>
        <v>17</v>
      </c>
      <c r="CC61" s="197"/>
      <c r="CD61" s="172"/>
      <c r="CE61" s="22"/>
      <c r="CF61" s="22"/>
      <c r="CG61" s="22"/>
      <c r="CH61" s="22"/>
      <c r="CI61" s="22"/>
      <c r="CJ61" s="22"/>
      <c r="CK61" s="44"/>
      <c r="CL61" s="22"/>
      <c r="CM61" s="22"/>
      <c r="CN61" s="22"/>
      <c r="CO61" s="22"/>
      <c r="CP61" s="36"/>
    </row>
    <row r="62" spans="2:94" ht="20.100000000000001" customHeight="1">
      <c r="B62" s="959"/>
      <c r="C62" s="19"/>
      <c r="D62" s="93"/>
      <c r="E62" s="1007"/>
      <c r="F62" s="1007"/>
      <c r="G62" s="902"/>
      <c r="H62" s="902"/>
      <c r="I62" s="902"/>
      <c r="J62" s="1029"/>
      <c r="K62" s="97"/>
      <c r="L62" s="97"/>
      <c r="Y62" s="22"/>
      <c r="Z62" s="139"/>
      <c r="AA62" s="142"/>
      <c r="AB62" s="141"/>
      <c r="AC62" s="61"/>
      <c r="BT62" s="31">
        <v>62</v>
      </c>
      <c r="BU62" s="335"/>
      <c r="BV62" s="64">
        <v>250</v>
      </c>
      <c r="BW62" s="64"/>
      <c r="BX62" s="324">
        <v>250</v>
      </c>
      <c r="BY62" s="64"/>
      <c r="BZ62" s="64">
        <v>14.8</v>
      </c>
      <c r="CA62" s="329">
        <f t="shared" si="27"/>
        <v>0.22040000000000001</v>
      </c>
      <c r="CB62" s="331">
        <f t="shared" si="28"/>
        <v>17</v>
      </c>
      <c r="CC62" s="198"/>
      <c r="CD62" s="172"/>
      <c r="CE62" s="22"/>
      <c r="CF62" s="22"/>
      <c r="CG62" s="22"/>
      <c r="CH62" s="22"/>
      <c r="CI62" s="22"/>
      <c r="CJ62" s="7"/>
      <c r="CK62" s="44"/>
      <c r="CL62" s="7"/>
      <c r="CM62" s="7"/>
      <c r="CN62" s="22"/>
      <c r="CO62" s="22"/>
      <c r="CP62" s="36"/>
    </row>
    <row r="63" spans="2:94" ht="20.100000000000001" customHeight="1">
      <c r="B63" s="258" t="s">
        <v>461</v>
      </c>
      <c r="C63" s="95"/>
      <c r="D63" s="108"/>
      <c r="E63" s="258">
        <f>INDEX(I42:I50,MATCH(60,J42:J50,1),1)</f>
        <v>0.70699999999999996</v>
      </c>
      <c r="F63" s="273">
        <f>VLOOKUP(E63,I$42:J$50,2,FALSE)</f>
        <v>50.099999999999994</v>
      </c>
      <c r="G63" s="1037">
        <f>(LOG(E63)+((60-F63)/(F64-F63))*LOG(E64/E63))</f>
        <v>-0.12843731730666064</v>
      </c>
      <c r="H63" s="1037"/>
      <c r="I63" s="1037"/>
      <c r="J63" s="863">
        <f>10^(G63)</f>
        <v>0.74398243580665824</v>
      </c>
      <c r="K63" s="890"/>
      <c r="L63" s="97"/>
      <c r="Y63" s="22"/>
      <c r="Z63" s="139"/>
      <c r="AA63" s="142"/>
      <c r="AB63" s="141"/>
      <c r="AC63" s="61"/>
      <c r="BT63" s="31">
        <v>63</v>
      </c>
      <c r="BU63" s="64"/>
      <c r="BV63" s="64">
        <v>315</v>
      </c>
      <c r="BW63" s="334"/>
      <c r="BX63" s="324">
        <v>315</v>
      </c>
      <c r="BY63" s="334"/>
      <c r="BZ63" s="64">
        <v>18.7</v>
      </c>
      <c r="CA63" s="329">
        <f t="shared" si="27"/>
        <v>0.27760000000000001</v>
      </c>
      <c r="CB63" s="350">
        <f t="shared" si="28"/>
        <v>17</v>
      </c>
      <c r="CC63" s="150"/>
      <c r="CD63" s="172"/>
      <c r="CE63" s="22"/>
      <c r="CF63" s="22"/>
      <c r="CG63" s="22"/>
      <c r="CH63" s="22"/>
      <c r="CI63" s="22"/>
      <c r="CJ63" s="7"/>
      <c r="CK63" s="44"/>
      <c r="CL63" s="7"/>
      <c r="CM63" s="7"/>
      <c r="CN63" s="22"/>
      <c r="CO63" s="22"/>
      <c r="CP63" s="36"/>
    </row>
    <row r="64" spans="2:94" ht="20.100000000000001" customHeight="1">
      <c r="B64" s="258" t="s">
        <v>462</v>
      </c>
      <c r="C64" s="95"/>
      <c r="D64" s="108"/>
      <c r="E64" s="258">
        <f>INDEX(G42:G50,MATCH(60,H42:H50,-1),1)</f>
        <v>0.84099999999999997</v>
      </c>
      <c r="F64" s="273">
        <f>VLOOKUP(E64,I$42:J$50,2,FALSE)</f>
        <v>83.8</v>
      </c>
      <c r="G64" s="1037"/>
      <c r="H64" s="1037"/>
      <c r="I64" s="1037"/>
      <c r="J64" s="863"/>
      <c r="K64" s="890"/>
      <c r="L64" s="97"/>
      <c r="Y64" s="22"/>
      <c r="Z64" s="139"/>
      <c r="AA64" s="142"/>
      <c r="AB64" s="141"/>
      <c r="AC64" s="61"/>
      <c r="BT64" s="31">
        <v>64</v>
      </c>
      <c r="BU64" s="64"/>
      <c r="BV64" s="64">
        <v>355</v>
      </c>
      <c r="BW64" s="334"/>
      <c r="BX64" s="324">
        <v>355</v>
      </c>
      <c r="BY64" s="334"/>
      <c r="BZ64" s="64">
        <v>21.1</v>
      </c>
      <c r="CA64" s="329">
        <f t="shared" si="27"/>
        <v>0.31280000000000002</v>
      </c>
      <c r="CB64" s="338">
        <f t="shared" si="28"/>
        <v>17</v>
      </c>
      <c r="CC64" s="150"/>
      <c r="CD64" s="172"/>
      <c r="CE64" s="22"/>
      <c r="CF64" s="22"/>
      <c r="CG64" s="22"/>
      <c r="CH64" s="22"/>
      <c r="CI64" s="22"/>
      <c r="CJ64" s="7"/>
      <c r="CK64" s="44"/>
      <c r="CL64" s="7"/>
      <c r="CM64" s="7"/>
      <c r="CN64" s="22"/>
      <c r="CO64" s="22"/>
      <c r="CP64" s="36"/>
    </row>
    <row r="65" spans="2:94" ht="20.100000000000001" customHeight="1">
      <c r="B65" s="103"/>
      <c r="C65" s="100"/>
      <c r="D65" s="94"/>
      <c r="E65" s="48"/>
      <c r="F65" s="104"/>
      <c r="G65" s="94"/>
      <c r="H65" s="94"/>
      <c r="I65" s="94"/>
      <c r="J65" s="48"/>
      <c r="K65" s="97"/>
      <c r="L65" s="97"/>
      <c r="Y65" s="22"/>
      <c r="Z65" s="139"/>
      <c r="AA65" s="142"/>
      <c r="AB65" s="141"/>
      <c r="AC65" s="61"/>
      <c r="BT65" s="31">
        <v>65</v>
      </c>
      <c r="BU65" s="335"/>
      <c r="BV65" s="64">
        <v>400</v>
      </c>
      <c r="BW65" s="345"/>
      <c r="BX65" s="324">
        <v>400</v>
      </c>
      <c r="BY65" s="345"/>
      <c r="BZ65" s="64">
        <v>23.7</v>
      </c>
      <c r="CA65" s="329">
        <f t="shared" si="27"/>
        <v>0.35260000000000002</v>
      </c>
      <c r="CB65" s="338">
        <f t="shared" si="28"/>
        <v>17</v>
      </c>
      <c r="CC65" s="150"/>
      <c r="CD65" s="172"/>
      <c r="CE65" s="772"/>
      <c r="CF65" s="772"/>
      <c r="CG65" s="772"/>
      <c r="CH65" s="772"/>
      <c r="CI65" s="772"/>
      <c r="CJ65" s="772"/>
      <c r="CK65" s="772"/>
      <c r="CL65" s="772"/>
      <c r="CM65" s="772"/>
      <c r="CN65" s="772"/>
      <c r="CO65" s="772"/>
      <c r="CP65" s="772"/>
    </row>
    <row r="66" spans="2:94" ht="20.100000000000001" customHeight="1">
      <c r="B66" s="105" t="s">
        <v>116</v>
      </c>
      <c r="C66" s="100"/>
      <c r="D66" s="94"/>
      <c r="E66" s="48"/>
      <c r="F66" s="104"/>
      <c r="G66" s="94"/>
      <c r="H66" s="94"/>
      <c r="I66" s="94"/>
      <c r="J66" s="48"/>
      <c r="K66" s="97"/>
      <c r="L66" s="97"/>
      <c r="V66" s="143"/>
      <c r="Y66" s="22"/>
      <c r="Z66" s="139"/>
      <c r="AA66" s="142"/>
      <c r="AB66" s="141"/>
      <c r="AC66" s="61"/>
      <c r="BT66" s="31">
        <v>66</v>
      </c>
      <c r="BU66" s="967" t="str">
        <f>BQ15</f>
        <v>Policluro de vinilo (PVC) RDE 26</v>
      </c>
      <c r="BV66" s="968"/>
      <c r="BW66" s="968"/>
      <c r="BX66" s="968"/>
      <c r="BY66" s="968"/>
      <c r="BZ66" s="968"/>
      <c r="CA66" s="968"/>
      <c r="CB66" s="969"/>
      <c r="CC66" s="150"/>
      <c r="CD66" s="172"/>
      <c r="CE66" s="136"/>
      <c r="CF66" s="169"/>
      <c r="CG66" s="169"/>
      <c r="CH66" s="171"/>
      <c r="CI66" s="171"/>
      <c r="CJ66" s="7"/>
      <c r="CK66" s="7"/>
      <c r="CL66" s="7"/>
      <c r="CM66" s="7"/>
      <c r="CN66" s="7"/>
      <c r="CO66" s="7"/>
      <c r="CP66" s="7"/>
    </row>
    <row r="67" spans="2:94" ht="20.100000000000001" customHeight="1">
      <c r="B67" s="1004" t="s">
        <v>224</v>
      </c>
      <c r="C67" s="19"/>
      <c r="D67" s="93"/>
      <c r="E67" s="1004" t="s">
        <v>223</v>
      </c>
      <c r="F67" s="1036" t="s">
        <v>102</v>
      </c>
      <c r="G67" s="1036"/>
      <c r="H67" s="94"/>
      <c r="I67" s="94"/>
      <c r="J67" s="48"/>
      <c r="K67" s="97"/>
      <c r="L67" s="97"/>
      <c r="Y67" s="22"/>
      <c r="Z67" s="139"/>
      <c r="AA67" s="142"/>
      <c r="AB67" s="141"/>
      <c r="AC67" s="61"/>
      <c r="BT67" s="31">
        <v>67</v>
      </c>
      <c r="BU67" s="334"/>
      <c r="BV67" s="64"/>
      <c r="BW67" s="334"/>
      <c r="BX67" s="324"/>
      <c r="BY67" s="334"/>
      <c r="BZ67" s="340"/>
      <c r="CA67" s="329"/>
      <c r="CB67" s="338"/>
      <c r="CC67" s="150"/>
      <c r="CD67" s="172"/>
      <c r="CE67" s="22"/>
      <c r="CF67" s="22"/>
      <c r="CG67" s="22"/>
      <c r="CH67" s="22"/>
      <c r="CI67" s="22"/>
      <c r="CJ67" s="7"/>
      <c r="CK67" s="44"/>
      <c r="CL67" s="7"/>
      <c r="CM67" s="7"/>
      <c r="CN67" s="43"/>
      <c r="CO67" s="43"/>
      <c r="CP67" s="36"/>
    </row>
    <row r="68" spans="2:94" ht="20.100000000000001" customHeight="1">
      <c r="B68" s="1005"/>
      <c r="C68" s="19"/>
      <c r="D68" s="93"/>
      <c r="E68" s="1005"/>
      <c r="F68" s="1036"/>
      <c r="G68" s="1036"/>
      <c r="H68" s="94"/>
      <c r="I68" s="94"/>
      <c r="J68" s="48"/>
      <c r="K68" s="97"/>
      <c r="L68" s="97"/>
      <c r="X68" s="35"/>
      <c r="Y68" s="22"/>
      <c r="Z68" s="139"/>
      <c r="AA68" s="142"/>
      <c r="AB68" s="141"/>
      <c r="AC68" s="61"/>
      <c r="BT68" s="31">
        <v>68</v>
      </c>
      <c r="BU68" s="64">
        <v>6</v>
      </c>
      <c r="BV68" s="64">
        <f t="shared" ref="BV68:BV76" si="29">IF(BU68=6,150,IF(BU68=8,200,IF(BU68=10,250,IF(BU68=12,300,IF(BU68=14,350,IF(BU68=16,400,IF(BU68=18,450,IF(BU68=20,500,IF(BU68=24,600)))))))))</f>
        <v>150</v>
      </c>
      <c r="BW68" s="351">
        <v>6.62</v>
      </c>
      <c r="BX68" s="65"/>
      <c r="BY68" s="329">
        <v>0.25</v>
      </c>
      <c r="BZ68" s="65"/>
      <c r="CA68" s="329">
        <f>ROUND((BW68-(2*BY68))*0.0254,4)</f>
        <v>0.15540000000000001</v>
      </c>
      <c r="CB68" s="338">
        <f t="shared" ref="CB68:CB76" si="30">ROUND(BW68/BY68,0)</f>
        <v>26</v>
      </c>
      <c r="CC68" s="150"/>
      <c r="CD68" s="172"/>
      <c r="CE68" s="22"/>
      <c r="CF68" s="22"/>
      <c r="CG68" s="22"/>
      <c r="CH68" s="22"/>
      <c r="CI68" s="22"/>
      <c r="CJ68" s="7"/>
      <c r="CK68" s="44"/>
      <c r="CL68" s="7"/>
      <c r="CM68" s="7"/>
      <c r="CN68" s="43"/>
      <c r="CO68" s="43"/>
      <c r="CP68" s="36"/>
    </row>
    <row r="69" spans="2:94" ht="20.100000000000001" customHeight="1">
      <c r="B69" s="1006"/>
      <c r="C69" s="19"/>
      <c r="D69" s="93"/>
      <c r="E69" s="1006"/>
      <c r="F69" s="1036"/>
      <c r="G69" s="1036"/>
      <c r="H69" s="94"/>
      <c r="I69" s="94"/>
      <c r="J69" s="48"/>
      <c r="K69" s="97"/>
      <c r="L69" s="97"/>
      <c r="X69" s="35"/>
      <c r="Y69" s="22"/>
      <c r="Z69" s="139"/>
      <c r="AA69" s="142"/>
      <c r="AB69" s="141"/>
      <c r="AC69" s="61"/>
      <c r="BT69" s="31">
        <v>69</v>
      </c>
      <c r="BU69" s="65">
        <v>8</v>
      </c>
      <c r="BV69" s="64">
        <f t="shared" si="29"/>
        <v>200</v>
      </c>
      <c r="BW69" s="351">
        <v>8.6199999999999992</v>
      </c>
      <c r="BX69" s="65"/>
      <c r="BY69" s="329">
        <v>0.33</v>
      </c>
      <c r="BZ69" s="65"/>
      <c r="CA69" s="329">
        <f t="shared" ref="CA69:CA76" si="31">ROUND((BW69-(2*BY69))*0.0254,3)</f>
        <v>0.20200000000000001</v>
      </c>
      <c r="CB69" s="338">
        <f t="shared" si="30"/>
        <v>26</v>
      </c>
      <c r="CC69" s="197"/>
      <c r="CD69" s="172"/>
      <c r="CE69" s="22"/>
      <c r="CF69" s="22"/>
      <c r="CG69" s="22"/>
      <c r="CH69" s="22"/>
      <c r="CI69" s="22"/>
      <c r="CJ69" s="7"/>
      <c r="CK69" s="44"/>
      <c r="CL69" s="7"/>
      <c r="CM69" s="7"/>
      <c r="CN69" s="43"/>
      <c r="CO69" s="43"/>
      <c r="CP69" s="36"/>
    </row>
    <row r="70" spans="2:94" ht="20.100000000000001" customHeight="1">
      <c r="B70" s="258">
        <f>J56</f>
        <v>0.50000000000000022</v>
      </c>
      <c r="C70" s="95"/>
      <c r="D70" s="108"/>
      <c r="E70" s="258">
        <f>J63</f>
        <v>0.74398243580665824</v>
      </c>
      <c r="F70" s="1038">
        <f>E70/B70</f>
        <v>1.4879648716133158</v>
      </c>
      <c r="G70" s="1038"/>
      <c r="H70" s="224" t="str">
        <f>IF(F70&lt;1.35,"1,35&lt;CU&lt;1,70 ¡Verifique granulometría del medio filtrante!",IF(F70&gt;1.7,"1,35&lt;CU&lt;1,70, ¡Verifique granulometría del medio filtrante!","Ok"))</f>
        <v>Ok</v>
      </c>
      <c r="I70" s="94"/>
      <c r="J70" s="48"/>
      <c r="K70" s="97"/>
      <c r="L70" s="97"/>
      <c r="X70" s="35"/>
      <c r="Y70" s="22"/>
      <c r="Z70" s="139"/>
      <c r="AA70" s="142"/>
      <c r="AB70" s="141"/>
      <c r="AC70" s="61"/>
      <c r="BT70" s="31">
        <v>70</v>
      </c>
      <c r="BU70" s="65">
        <v>10</v>
      </c>
      <c r="BV70" s="64">
        <f t="shared" si="29"/>
        <v>250</v>
      </c>
      <c r="BW70" s="351">
        <v>10.75</v>
      </c>
      <c r="BX70" s="65"/>
      <c r="BY70" s="329">
        <v>0.41</v>
      </c>
      <c r="BZ70" s="65"/>
      <c r="CA70" s="329">
        <f t="shared" si="31"/>
        <v>0.252</v>
      </c>
      <c r="CB70" s="338">
        <f t="shared" si="30"/>
        <v>26</v>
      </c>
      <c r="CC70" s="198"/>
      <c r="CD70" s="172"/>
      <c r="CE70" s="22"/>
      <c r="CF70" s="22"/>
      <c r="CG70" s="22"/>
      <c r="CH70" s="22"/>
      <c r="CI70" s="22"/>
      <c r="CJ70" s="7"/>
      <c r="CK70" s="44"/>
      <c r="CL70" s="7"/>
      <c r="CM70" s="7"/>
      <c r="CN70" s="43"/>
      <c r="CO70" s="43"/>
      <c r="CP70" s="36"/>
    </row>
    <row r="71" spans="2:94" ht="20.100000000000001" customHeight="1">
      <c r="X71" s="35"/>
      <c r="Y71" s="35"/>
      <c r="Z71" s="35"/>
      <c r="AA71" s="35"/>
      <c r="AB71" s="35"/>
      <c r="AC71" s="61"/>
      <c r="BT71" s="31">
        <v>71</v>
      </c>
      <c r="BU71" s="65">
        <v>12</v>
      </c>
      <c r="BV71" s="64">
        <f t="shared" si="29"/>
        <v>300</v>
      </c>
      <c r="BW71" s="351">
        <v>12.75</v>
      </c>
      <c r="BX71" s="65"/>
      <c r="BY71" s="329">
        <v>0.49</v>
      </c>
      <c r="BZ71" s="65"/>
      <c r="CA71" s="329">
        <f t="shared" si="31"/>
        <v>0.29899999999999999</v>
      </c>
      <c r="CB71" s="338">
        <f t="shared" si="30"/>
        <v>26</v>
      </c>
      <c r="CC71" s="151"/>
      <c r="CD71" s="172"/>
      <c r="CE71" s="22"/>
      <c r="CF71" s="22"/>
      <c r="CG71" s="22"/>
      <c r="CH71" s="22"/>
      <c r="CI71" s="22"/>
      <c r="CJ71" s="7"/>
      <c r="CK71" s="44"/>
      <c r="CL71" s="7"/>
      <c r="CM71" s="7"/>
      <c r="CN71" s="43"/>
      <c r="CO71" s="43"/>
      <c r="CP71" s="36"/>
    </row>
    <row r="72" spans="2:94" ht="20.100000000000001" customHeight="1">
      <c r="B72" s="33" t="s">
        <v>160</v>
      </c>
      <c r="X72" s="35"/>
      <c r="Y72" s="35"/>
      <c r="Z72" s="35"/>
      <c r="AA72" s="35"/>
      <c r="AB72" s="68"/>
      <c r="AC72" s="61"/>
      <c r="BT72" s="31">
        <v>72</v>
      </c>
      <c r="BU72" s="65">
        <v>14</v>
      </c>
      <c r="BV72" s="64">
        <f t="shared" si="29"/>
        <v>350</v>
      </c>
      <c r="BW72" s="351">
        <v>14</v>
      </c>
      <c r="BX72" s="65"/>
      <c r="BY72" s="329">
        <v>0.54</v>
      </c>
      <c r="BZ72" s="65"/>
      <c r="CA72" s="329">
        <f t="shared" si="31"/>
        <v>0.32800000000000001</v>
      </c>
      <c r="CB72" s="338">
        <f t="shared" si="30"/>
        <v>26</v>
      </c>
      <c r="CC72" s="151"/>
      <c r="CD72" s="172"/>
      <c r="CE72" s="772"/>
      <c r="CF72" s="772"/>
      <c r="CG72" s="772"/>
      <c r="CH72" s="772"/>
      <c r="CI72" s="772"/>
      <c r="CJ72" s="772"/>
      <c r="CK72" s="772"/>
      <c r="CL72" s="772"/>
      <c r="CM72" s="772"/>
      <c r="CN72" s="772"/>
      <c r="CO72" s="772"/>
      <c r="CP72" s="772"/>
    </row>
    <row r="73" spans="2:94" ht="20.100000000000001" customHeight="1">
      <c r="B73" s="707" t="s">
        <v>414</v>
      </c>
      <c r="C73" s="708"/>
      <c r="D73" s="708"/>
      <c r="E73" s="708"/>
      <c r="F73" s="708"/>
      <c r="G73" s="709"/>
      <c r="H73" s="783" t="s">
        <v>417</v>
      </c>
      <c r="I73" s="784"/>
      <c r="J73" s="785"/>
      <c r="X73" s="35"/>
      <c r="Y73" s="35"/>
      <c r="Z73" s="35"/>
      <c r="AA73" s="35"/>
      <c r="AB73" s="68"/>
      <c r="AC73" s="231"/>
      <c r="BT73" s="31">
        <v>73</v>
      </c>
      <c r="BU73" s="65">
        <v>16</v>
      </c>
      <c r="BV73" s="64">
        <f t="shared" si="29"/>
        <v>400</v>
      </c>
      <c r="BW73" s="351">
        <v>16</v>
      </c>
      <c r="BX73" s="65"/>
      <c r="BY73" s="329">
        <v>0.61</v>
      </c>
      <c r="BZ73" s="65"/>
      <c r="CA73" s="329">
        <f t="shared" si="31"/>
        <v>0.375</v>
      </c>
      <c r="CB73" s="338">
        <f t="shared" si="30"/>
        <v>26</v>
      </c>
      <c r="CC73" s="151"/>
      <c r="CD73" s="229"/>
      <c r="CE73" s="228"/>
      <c r="CF73" s="228"/>
      <c r="CG73" s="228"/>
      <c r="CH73" s="228"/>
      <c r="CI73" s="228"/>
      <c r="CJ73" s="228"/>
      <c r="CK73" s="228"/>
      <c r="CL73" s="228"/>
      <c r="CM73" s="228"/>
      <c r="CN73" s="228"/>
      <c r="CO73" s="228"/>
      <c r="CP73" s="228"/>
    </row>
    <row r="74" spans="2:94" ht="20.100000000000001" customHeight="1">
      <c r="B74" s="707" t="s">
        <v>162</v>
      </c>
      <c r="C74" s="708"/>
      <c r="D74" s="708"/>
      <c r="E74" s="708"/>
      <c r="F74" s="708"/>
      <c r="G74" s="709"/>
      <c r="H74" s="96" t="s">
        <v>46</v>
      </c>
      <c r="I74" s="313">
        <v>0.64</v>
      </c>
      <c r="J74" s="108" t="s">
        <v>3</v>
      </c>
      <c r="K74" s="21"/>
      <c r="L74" s="110"/>
      <c r="X74" s="35"/>
      <c r="Y74" s="35"/>
      <c r="Z74" s="35"/>
      <c r="AA74" s="35"/>
      <c r="AB74" s="35"/>
      <c r="BT74" s="31">
        <v>74</v>
      </c>
      <c r="BU74" s="450">
        <v>18</v>
      </c>
      <c r="BV74" s="405">
        <f t="shared" si="29"/>
        <v>450</v>
      </c>
      <c r="BW74" s="451">
        <v>18</v>
      </c>
      <c r="BX74" s="450"/>
      <c r="BY74" s="452">
        <v>0.69</v>
      </c>
      <c r="BZ74" s="450"/>
      <c r="CA74" s="452">
        <f t="shared" si="31"/>
        <v>0.42199999999999999</v>
      </c>
      <c r="CB74" s="409">
        <f t="shared" si="30"/>
        <v>26</v>
      </c>
      <c r="CC74" s="149"/>
      <c r="CD74" s="172"/>
      <c r="CE74" s="22"/>
      <c r="CF74" s="22"/>
      <c r="CG74" s="22"/>
      <c r="CH74" s="22"/>
      <c r="CI74" s="22"/>
      <c r="CJ74" s="35"/>
      <c r="CK74" s="44"/>
      <c r="CL74" s="35"/>
      <c r="CM74" s="35"/>
      <c r="CN74" s="43"/>
      <c r="CO74" s="43"/>
      <c r="CP74" s="36"/>
    </row>
    <row r="75" spans="2:94" ht="20.100000000000001" customHeight="1">
      <c r="B75" s="707" t="s">
        <v>158</v>
      </c>
      <c r="C75" s="708"/>
      <c r="D75" s="708"/>
      <c r="E75" s="708"/>
      <c r="F75" s="708"/>
      <c r="G75" s="709"/>
      <c r="H75" s="96" t="s">
        <v>159</v>
      </c>
      <c r="I75" s="310">
        <v>2.65</v>
      </c>
      <c r="J75" s="108"/>
      <c r="K75" s="21"/>
      <c r="L75" s="110"/>
      <c r="X75" s="35"/>
      <c r="Y75" s="35"/>
      <c r="Z75" s="35"/>
      <c r="AA75" s="35"/>
      <c r="AB75" s="35"/>
      <c r="BT75" s="31">
        <v>75</v>
      </c>
      <c r="BU75" s="65">
        <v>20</v>
      </c>
      <c r="BV75" s="64">
        <f t="shared" si="29"/>
        <v>500</v>
      </c>
      <c r="BW75" s="351">
        <v>20</v>
      </c>
      <c r="BX75" s="65"/>
      <c r="BY75" s="329">
        <v>0.77</v>
      </c>
      <c r="BZ75" s="65"/>
      <c r="CA75" s="329">
        <f t="shared" si="31"/>
        <v>0.46899999999999997</v>
      </c>
      <c r="CB75" s="338">
        <f t="shared" si="30"/>
        <v>26</v>
      </c>
      <c r="CC75" s="150"/>
      <c r="CD75" s="172"/>
      <c r="CE75" s="22"/>
      <c r="CF75" s="22"/>
      <c r="CG75" s="22"/>
      <c r="CH75" s="22"/>
      <c r="CI75" s="22"/>
      <c r="CJ75" s="35"/>
      <c r="CK75" s="44"/>
      <c r="CL75" s="35"/>
      <c r="CM75" s="35"/>
      <c r="CN75" s="43"/>
      <c r="CO75" s="43"/>
      <c r="CP75" s="36"/>
    </row>
    <row r="76" spans="2:94" ht="20.100000000000001" customHeight="1">
      <c r="B76" s="707" t="s">
        <v>118</v>
      </c>
      <c r="C76" s="708"/>
      <c r="D76" s="708"/>
      <c r="E76" s="708"/>
      <c r="F76" s="708"/>
      <c r="G76" s="709"/>
      <c r="H76" s="96" t="s">
        <v>125</v>
      </c>
      <c r="I76" s="310">
        <v>0.45</v>
      </c>
      <c r="J76" s="78"/>
      <c r="K76" s="57"/>
      <c r="L76" s="57"/>
      <c r="X76" s="35"/>
      <c r="Y76" s="35"/>
      <c r="Z76" s="35"/>
      <c r="AA76" s="35"/>
      <c r="AB76" s="35"/>
      <c r="BT76" s="31">
        <v>76</v>
      </c>
      <c r="BU76" s="65">
        <v>24</v>
      </c>
      <c r="BV76" s="64">
        <f t="shared" si="29"/>
        <v>600</v>
      </c>
      <c r="BW76" s="351">
        <v>24</v>
      </c>
      <c r="BX76" s="65"/>
      <c r="BY76" s="329">
        <v>0.92</v>
      </c>
      <c r="BZ76" s="65"/>
      <c r="CA76" s="329">
        <f t="shared" si="31"/>
        <v>0.56299999999999994</v>
      </c>
      <c r="CB76" s="338">
        <f t="shared" si="30"/>
        <v>26</v>
      </c>
      <c r="CC76" s="150"/>
      <c r="CD76" s="172"/>
      <c r="CE76" s="22"/>
      <c r="CF76" s="22"/>
      <c r="CG76" s="22"/>
      <c r="CH76" s="22"/>
      <c r="CI76" s="22"/>
      <c r="CJ76" s="35"/>
      <c r="CK76" s="44"/>
      <c r="CL76" s="35"/>
      <c r="CM76" s="35"/>
      <c r="CN76" s="43"/>
      <c r="CO76" s="43"/>
      <c r="CP76" s="36"/>
    </row>
    <row r="77" spans="2:94" ht="20.100000000000001" customHeight="1">
      <c r="B77" s="707" t="s">
        <v>485</v>
      </c>
      <c r="C77" s="708"/>
      <c r="D77" s="708"/>
      <c r="E77" s="708"/>
      <c r="F77" s="708"/>
      <c r="G77" s="709"/>
      <c r="H77" s="96" t="s">
        <v>486</v>
      </c>
      <c r="I77" s="310">
        <v>5</v>
      </c>
      <c r="J77" s="78"/>
      <c r="K77" s="57"/>
      <c r="L77" s="57"/>
      <c r="X77" s="35"/>
      <c r="Y77" s="35"/>
      <c r="Z77" s="35"/>
      <c r="AA77" s="35"/>
      <c r="AB77" s="35"/>
      <c r="BT77" s="31">
        <v>77</v>
      </c>
      <c r="BU77" s="967" t="str">
        <f>BQ16</f>
        <v>Policluro de vinilo (PVC) RDE 21</v>
      </c>
      <c r="BV77" s="968"/>
      <c r="BW77" s="968"/>
      <c r="BX77" s="968"/>
      <c r="BY77" s="968"/>
      <c r="BZ77" s="968"/>
      <c r="CA77" s="968"/>
      <c r="CB77" s="969"/>
      <c r="CC77" s="196"/>
      <c r="CD77" s="172"/>
      <c r="CE77" s="22"/>
      <c r="CF77" s="22"/>
      <c r="CG77" s="22"/>
      <c r="CH77" s="22"/>
      <c r="CI77" s="22"/>
      <c r="CJ77" s="35"/>
      <c r="CK77" s="44"/>
      <c r="CL77" s="35"/>
      <c r="CM77" s="35"/>
      <c r="CN77" s="43"/>
      <c r="CO77" s="43"/>
      <c r="CP77" s="36"/>
    </row>
    <row r="78" spans="2:94" ht="20.100000000000001" customHeight="1">
      <c r="B78" s="707" t="s">
        <v>503</v>
      </c>
      <c r="C78" s="708"/>
      <c r="D78" s="708"/>
      <c r="E78" s="708"/>
      <c r="F78" s="708"/>
      <c r="G78" s="709"/>
      <c r="H78" s="402" t="s">
        <v>83</v>
      </c>
      <c r="I78" s="108">
        <f>VLOOKUP($H$73,$AM$8:$AR$13,2,FALSE)</f>
        <v>0.75</v>
      </c>
      <c r="J78" s="78"/>
      <c r="K78" s="57"/>
      <c r="L78" s="57"/>
      <c r="X78" s="35"/>
      <c r="Y78" s="35"/>
      <c r="Z78" s="35"/>
      <c r="AA78" s="35"/>
      <c r="AB78" s="35"/>
      <c r="BT78" s="31">
        <v>78</v>
      </c>
      <c r="BU78" s="64"/>
      <c r="BV78" s="65"/>
      <c r="BW78" s="351"/>
      <c r="BX78" s="65"/>
      <c r="BY78" s="329"/>
      <c r="BZ78" s="65"/>
      <c r="CA78" s="329"/>
      <c r="CB78" s="338"/>
      <c r="CC78" s="199"/>
      <c r="CD78" s="172"/>
      <c r="CE78" s="22"/>
      <c r="CF78" s="22"/>
      <c r="CG78" s="22"/>
      <c r="CH78" s="22"/>
      <c r="CI78" s="22"/>
      <c r="CJ78" s="35"/>
      <c r="CK78" s="44"/>
      <c r="CL78" s="35"/>
      <c r="CM78" s="35"/>
      <c r="CN78" s="43"/>
      <c r="CO78" s="43"/>
      <c r="CP78" s="36"/>
    </row>
    <row r="79" spans="2:94" ht="20.100000000000001" customHeight="1">
      <c r="B79" s="707" t="s">
        <v>500</v>
      </c>
      <c r="C79" s="708"/>
      <c r="D79" s="708"/>
      <c r="E79" s="708"/>
      <c r="F79" s="708"/>
      <c r="G79" s="709"/>
      <c r="H79" s="402" t="s">
        <v>83</v>
      </c>
      <c r="I79" s="288">
        <f>VLOOKUP($H$73,$AM$8:$AR$13,4,FALSE)</f>
        <v>0.89</v>
      </c>
      <c r="J79" s="78"/>
      <c r="K79" s="57"/>
      <c r="L79" s="57"/>
      <c r="X79" s="35"/>
      <c r="Y79" s="35"/>
      <c r="Z79" s="35"/>
      <c r="AA79" s="35"/>
      <c r="AB79" s="35"/>
      <c r="BT79" s="31">
        <v>79</v>
      </c>
      <c r="BU79" s="405">
        <v>6</v>
      </c>
      <c r="BV79" s="406">
        <f>IF(BU79=6,150,IF(BU79=8,200,IF(BU79=10,250,IF(BU79=12,300,IF(BU79=14,350,IF(BU79=16,400,IF(BU79=18,450,IF(BU79=20,500,IF(BU79=24,600)))))))))</f>
        <v>150</v>
      </c>
      <c r="BW79" s="407">
        <v>6.62</v>
      </c>
      <c r="BX79" s="406"/>
      <c r="BY79" s="408">
        <v>0.32</v>
      </c>
      <c r="BZ79" s="406"/>
      <c r="CA79" s="408">
        <f>ROUND((BW79-(2*BY79))*0.0254,3)</f>
        <v>0.152</v>
      </c>
      <c r="CB79" s="409">
        <f t="shared" ref="CB79:CB87" si="32">ROUND(BW79/BY79,0)</f>
        <v>21</v>
      </c>
      <c r="CC79" s="150"/>
      <c r="CD79" s="267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</row>
    <row r="80" spans="2:94" ht="20.100000000000001" customHeight="1">
      <c r="B80" s="707" t="s">
        <v>501</v>
      </c>
      <c r="C80" s="708"/>
      <c r="D80" s="708"/>
      <c r="E80" s="708"/>
      <c r="F80" s="708"/>
      <c r="G80" s="709"/>
      <c r="H80" s="288" t="s">
        <v>124</v>
      </c>
      <c r="I80" s="288">
        <f>VLOOKUP($H$73,$AM$8:$AR$13,5,FALSE)</f>
        <v>6.4</v>
      </c>
      <c r="J80" s="78"/>
      <c r="K80" s="57"/>
      <c r="L80" s="57"/>
      <c r="X80" s="35"/>
      <c r="Y80" s="35"/>
      <c r="Z80" s="35"/>
      <c r="AA80" s="35"/>
      <c r="AB80" s="35"/>
      <c r="BT80" s="31">
        <v>80</v>
      </c>
      <c r="BU80" s="64">
        <v>8</v>
      </c>
      <c r="BV80" s="65">
        <f t="shared" ref="BV80:BV87" si="33">IF(BU80=6,150,IF(BU80=8,200,IF(BU80=10,250,IF(BU80=12,300,IF(BU80=14,350,IF(BU80=16,400,IF(BU80=18,450,IF(BU80=20,500,IF(BU80=24,600)))))))))</f>
        <v>200</v>
      </c>
      <c r="BW80" s="351">
        <v>8.6199999999999992</v>
      </c>
      <c r="BX80" s="65"/>
      <c r="BY80" s="329">
        <v>0.41</v>
      </c>
      <c r="BZ80" s="65"/>
      <c r="CA80" s="329">
        <f>ROUND((BW80-(2*BY80))*0.0254,3)</f>
        <v>0.19800000000000001</v>
      </c>
      <c r="CB80" s="338">
        <f t="shared" si="32"/>
        <v>21</v>
      </c>
      <c r="CC80" s="150"/>
      <c r="CD80" s="267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</row>
    <row r="81" spans="1:82" ht="20.100000000000001" customHeight="1">
      <c r="B81" s="707" t="s">
        <v>502</v>
      </c>
      <c r="C81" s="708"/>
      <c r="D81" s="708"/>
      <c r="E81" s="708"/>
      <c r="F81" s="708"/>
      <c r="G81" s="709"/>
      <c r="H81" s="108" t="s">
        <v>124</v>
      </c>
      <c r="I81" s="288">
        <f>VLOOKUP($H$73,$AM$8:$AR$13,6,FALSE)</f>
        <v>5.7</v>
      </c>
      <c r="J81" s="78"/>
      <c r="K81" s="57"/>
      <c r="L81" s="57"/>
      <c r="X81" s="35"/>
      <c r="Y81" s="35"/>
      <c r="Z81" s="35"/>
      <c r="AA81" s="35"/>
      <c r="AB81" s="35"/>
      <c r="BT81" s="31">
        <v>81</v>
      </c>
      <c r="BU81" s="64">
        <v>10</v>
      </c>
      <c r="BV81" s="65">
        <f t="shared" si="33"/>
        <v>250</v>
      </c>
      <c r="BW81" s="351">
        <v>10.75</v>
      </c>
      <c r="BX81" s="65"/>
      <c r="BY81" s="329">
        <v>0.51</v>
      </c>
      <c r="BZ81" s="65"/>
      <c r="CA81" s="329">
        <f t="shared" ref="CA81:CA87" si="34">ROUND((BW81-(2*BY81))*0.0254,3)</f>
        <v>0.247</v>
      </c>
      <c r="CB81" s="338">
        <f t="shared" si="32"/>
        <v>21</v>
      </c>
      <c r="CC81" s="150"/>
      <c r="CD81" s="172"/>
    </row>
    <row r="82" spans="1:82" ht="20.100000000000001" customHeight="1">
      <c r="B82" s="434"/>
      <c r="C82" s="434"/>
      <c r="D82" s="434"/>
      <c r="E82" s="434"/>
      <c r="F82" s="434"/>
      <c r="G82" s="434"/>
      <c r="H82" s="75"/>
      <c r="I82" s="75"/>
      <c r="J82" s="453"/>
      <c r="K82" s="57"/>
      <c r="L82" s="57"/>
      <c r="X82" s="35"/>
      <c r="Y82" s="35"/>
      <c r="Z82" s="35"/>
      <c r="AA82" s="35"/>
      <c r="AB82" s="35"/>
      <c r="BT82" s="31">
        <v>82</v>
      </c>
      <c r="BU82" s="64">
        <v>12</v>
      </c>
      <c r="BV82" s="65">
        <f t="shared" si="33"/>
        <v>300</v>
      </c>
      <c r="BW82" s="351">
        <v>12.75</v>
      </c>
      <c r="BX82" s="65"/>
      <c r="BY82" s="329">
        <v>0.6</v>
      </c>
      <c r="BZ82" s="65"/>
      <c r="CA82" s="329">
        <f t="shared" si="34"/>
        <v>0.29299999999999998</v>
      </c>
      <c r="CB82" s="338">
        <f t="shared" si="32"/>
        <v>21</v>
      </c>
      <c r="CC82" s="150"/>
      <c r="CD82" s="435"/>
    </row>
    <row r="83" spans="1:82" ht="20.100000000000001" customHeight="1">
      <c r="B83" s="33" t="s">
        <v>173</v>
      </c>
      <c r="C83" s="45"/>
      <c r="D83" s="433"/>
      <c r="E83" s="433"/>
      <c r="F83" s="433"/>
      <c r="G83" s="433"/>
      <c r="H83" s="75"/>
      <c r="I83" s="75"/>
      <c r="J83" s="453"/>
      <c r="K83" s="57"/>
      <c r="L83" s="57"/>
      <c r="X83" s="35"/>
      <c r="Y83" s="35"/>
      <c r="Z83" s="35"/>
      <c r="AA83" s="35"/>
      <c r="AB83" s="35"/>
      <c r="BT83" s="31">
        <v>83</v>
      </c>
      <c r="BU83" s="405">
        <v>14</v>
      </c>
      <c r="BV83" s="406">
        <f t="shared" si="33"/>
        <v>350</v>
      </c>
      <c r="BW83" s="407">
        <v>14</v>
      </c>
      <c r="BX83" s="406"/>
      <c r="BY83" s="408">
        <v>0.67</v>
      </c>
      <c r="BZ83" s="406"/>
      <c r="CA83" s="408">
        <f t="shared" si="34"/>
        <v>0.32200000000000001</v>
      </c>
      <c r="CB83" s="409">
        <f t="shared" si="32"/>
        <v>21</v>
      </c>
      <c r="CC83" s="150"/>
      <c r="CD83" s="435"/>
    </row>
    <row r="84" spans="1:82" ht="20.100000000000001" customHeight="1">
      <c r="B84" s="916" t="s">
        <v>114</v>
      </c>
      <c r="C84" s="54"/>
      <c r="D84" s="436"/>
      <c r="E84" s="971" t="s">
        <v>112</v>
      </c>
      <c r="F84" s="971" t="s">
        <v>113</v>
      </c>
      <c r="G84" s="971" t="s">
        <v>106</v>
      </c>
      <c r="H84" s="75"/>
      <c r="I84" s="75"/>
      <c r="J84" s="453"/>
      <c r="K84" s="57"/>
      <c r="L84" s="57"/>
      <c r="X84" s="35"/>
      <c r="Y84" s="35"/>
      <c r="Z84" s="35"/>
      <c r="AA84" s="35"/>
      <c r="AB84" s="35"/>
      <c r="BT84" s="31">
        <v>84</v>
      </c>
      <c r="BU84" s="64">
        <v>16</v>
      </c>
      <c r="BV84" s="65">
        <f t="shared" si="33"/>
        <v>400</v>
      </c>
      <c r="BW84" s="351">
        <v>16</v>
      </c>
      <c r="BX84" s="65"/>
      <c r="BY84" s="329">
        <v>0.76</v>
      </c>
      <c r="BZ84" s="65"/>
      <c r="CA84" s="329">
        <f t="shared" si="34"/>
        <v>0.36799999999999999</v>
      </c>
      <c r="CB84" s="338">
        <f t="shared" si="32"/>
        <v>21</v>
      </c>
      <c r="CC84" s="150"/>
      <c r="CD84" s="435"/>
    </row>
    <row r="85" spans="1:82" ht="20.100000000000001" customHeight="1">
      <c r="B85" s="918"/>
      <c r="C85" s="54"/>
      <c r="D85" s="436"/>
      <c r="E85" s="972"/>
      <c r="F85" s="972"/>
      <c r="G85" s="972"/>
      <c r="H85" s="75"/>
      <c r="I85" s="75"/>
      <c r="J85" s="453"/>
      <c r="K85" s="57"/>
      <c r="L85" s="57"/>
      <c r="X85" s="35"/>
      <c r="Y85" s="35"/>
      <c r="Z85" s="35"/>
      <c r="AA85" s="35"/>
      <c r="AB85" s="35"/>
      <c r="BT85" s="31">
        <v>85</v>
      </c>
      <c r="BU85" s="332">
        <v>18</v>
      </c>
      <c r="BV85" s="65">
        <f t="shared" si="33"/>
        <v>450</v>
      </c>
      <c r="BW85" s="353">
        <v>18</v>
      </c>
      <c r="BX85" s="352"/>
      <c r="BY85" s="333">
        <v>0.86</v>
      </c>
      <c r="BZ85" s="352"/>
      <c r="CA85" s="333">
        <f t="shared" si="34"/>
        <v>0.41399999999999998</v>
      </c>
      <c r="CB85" s="338">
        <f t="shared" si="32"/>
        <v>21</v>
      </c>
      <c r="CC85" s="150"/>
      <c r="CD85" s="435"/>
    </row>
    <row r="86" spans="1:82" ht="20.100000000000001" customHeight="1">
      <c r="B86" s="918"/>
      <c r="C86" s="54"/>
      <c r="D86" s="436"/>
      <c r="E86" s="972"/>
      <c r="F86" s="972"/>
      <c r="G86" s="972"/>
      <c r="H86" s="75"/>
      <c r="I86" s="75"/>
      <c r="J86" s="453"/>
      <c r="K86" s="57"/>
      <c r="L86" s="57"/>
      <c r="X86" s="35"/>
      <c r="Y86" s="35"/>
      <c r="Z86" s="35"/>
      <c r="AA86" s="35"/>
      <c r="AB86" s="35"/>
      <c r="BT86" s="31">
        <v>86</v>
      </c>
      <c r="BU86" s="64">
        <v>20</v>
      </c>
      <c r="BV86" s="65">
        <f t="shared" si="33"/>
        <v>500</v>
      </c>
      <c r="BW86" s="351">
        <v>20</v>
      </c>
      <c r="BX86" s="65"/>
      <c r="BY86" s="329">
        <v>0.95</v>
      </c>
      <c r="BZ86" s="65"/>
      <c r="CA86" s="329">
        <f t="shared" si="34"/>
        <v>0.46</v>
      </c>
      <c r="CB86" s="338">
        <f t="shared" si="32"/>
        <v>21</v>
      </c>
      <c r="CC86" s="150"/>
      <c r="CD86" s="435"/>
    </row>
    <row r="87" spans="1:82" ht="20.100000000000001" customHeight="1">
      <c r="B87" s="970"/>
      <c r="C87" s="54"/>
      <c r="D87" s="436"/>
      <c r="E87" s="973"/>
      <c r="F87" s="973"/>
      <c r="G87" s="973"/>
      <c r="H87" s="75"/>
      <c r="I87" s="75"/>
      <c r="J87" s="453"/>
      <c r="K87" s="57"/>
      <c r="L87" s="57"/>
      <c r="X87" s="35"/>
      <c r="Y87" s="35"/>
      <c r="Z87" s="35"/>
      <c r="AA87" s="35"/>
      <c r="AB87" s="35"/>
      <c r="BT87" s="31">
        <v>87</v>
      </c>
      <c r="BU87" s="64">
        <v>24</v>
      </c>
      <c r="BV87" s="65">
        <f t="shared" si="33"/>
        <v>600</v>
      </c>
      <c r="BW87" s="351">
        <v>24</v>
      </c>
      <c r="BX87" s="65"/>
      <c r="BY87" s="329">
        <v>1.1399999999999999</v>
      </c>
      <c r="BZ87" s="65"/>
      <c r="CA87" s="329">
        <f t="shared" si="34"/>
        <v>0.55200000000000005</v>
      </c>
      <c r="CB87" s="338">
        <f t="shared" si="32"/>
        <v>21</v>
      </c>
      <c r="CC87" s="150"/>
      <c r="CD87" s="435"/>
    </row>
    <row r="88" spans="1:82" ht="20.100000000000001" customHeight="1">
      <c r="B88" s="280">
        <v>1</v>
      </c>
      <c r="C88" s="281"/>
      <c r="D88" s="282"/>
      <c r="E88" s="283">
        <v>1</v>
      </c>
      <c r="F88" s="283" t="s">
        <v>107</v>
      </c>
      <c r="G88" s="284">
        <v>0.1</v>
      </c>
      <c r="H88" s="75"/>
      <c r="I88" s="75"/>
      <c r="J88" s="453"/>
      <c r="K88" s="57"/>
      <c r="L88" s="57"/>
      <c r="X88" s="35"/>
      <c r="Y88" s="35"/>
      <c r="Z88" s="35"/>
      <c r="AA88" s="35"/>
      <c r="AB88" s="35"/>
      <c r="BU88" s="22"/>
      <c r="BV88" s="476"/>
      <c r="BW88" s="238"/>
      <c r="BX88" s="476"/>
      <c r="BY88" s="36"/>
      <c r="BZ88" s="476"/>
      <c r="CA88" s="36"/>
      <c r="CB88" s="150"/>
      <c r="CC88" s="150"/>
      <c r="CD88" s="435"/>
    </row>
    <row r="89" spans="1:82" ht="20.100000000000001" customHeight="1">
      <c r="B89" s="280">
        <v>2</v>
      </c>
      <c r="C89" s="281"/>
      <c r="D89" s="282"/>
      <c r="E89" s="283" t="s">
        <v>107</v>
      </c>
      <c r="F89" s="283" t="s">
        <v>108</v>
      </c>
      <c r="G89" s="284">
        <v>7.4999999999999997E-2</v>
      </c>
      <c r="H89" s="75"/>
      <c r="I89" s="75"/>
      <c r="J89" s="453"/>
      <c r="K89" s="57"/>
      <c r="L89" s="57"/>
      <c r="X89" s="35"/>
      <c r="Y89" s="35"/>
      <c r="Z89" s="35"/>
      <c r="AA89" s="35"/>
      <c r="AB89" s="35"/>
      <c r="BU89" s="22"/>
      <c r="BV89" s="476"/>
      <c r="BW89" s="238"/>
      <c r="BX89" s="476"/>
      <c r="BY89" s="36"/>
      <c r="BZ89" s="476"/>
      <c r="CA89" s="36"/>
      <c r="CB89" s="150"/>
      <c r="CC89" s="150"/>
      <c r="CD89" s="435"/>
    </row>
    <row r="90" spans="1:82" ht="20.100000000000001" customHeight="1">
      <c r="B90" s="280">
        <v>3</v>
      </c>
      <c r="C90" s="281"/>
      <c r="D90" s="282"/>
      <c r="E90" s="283" t="s">
        <v>108</v>
      </c>
      <c r="F90" s="283" t="s">
        <v>109</v>
      </c>
      <c r="G90" s="284">
        <v>7.4999999999999997E-2</v>
      </c>
      <c r="H90" s="75"/>
      <c r="I90" s="75"/>
      <c r="J90" s="453"/>
      <c r="K90" s="57"/>
      <c r="L90" s="57"/>
      <c r="X90" s="35"/>
      <c r="Y90" s="35"/>
      <c r="Z90" s="35"/>
      <c r="AA90" s="35"/>
      <c r="AB90" s="35"/>
      <c r="BU90" s="22"/>
      <c r="BV90" s="476"/>
      <c r="BW90" s="238"/>
      <c r="BX90" s="476"/>
      <c r="BY90" s="36"/>
      <c r="BZ90" s="476"/>
      <c r="CA90" s="36"/>
      <c r="CB90" s="150"/>
      <c r="CC90" s="150"/>
      <c r="CD90" s="435"/>
    </row>
    <row r="91" spans="1:82" ht="20.100000000000001" customHeight="1">
      <c r="B91" s="280">
        <v>4</v>
      </c>
      <c r="C91" s="281"/>
      <c r="D91" s="282"/>
      <c r="E91" s="283" t="s">
        <v>109</v>
      </c>
      <c r="F91" s="285" t="s">
        <v>110</v>
      </c>
      <c r="G91" s="284">
        <v>0.1</v>
      </c>
      <c r="H91" s="75"/>
      <c r="I91" s="75"/>
      <c r="J91" s="453"/>
      <c r="K91" s="57"/>
      <c r="L91" s="57"/>
      <c r="X91" s="35"/>
      <c r="Y91" s="35"/>
      <c r="Z91" s="35"/>
      <c r="AA91" s="35"/>
      <c r="AB91" s="35"/>
      <c r="BU91" s="22"/>
      <c r="BV91" s="476"/>
      <c r="BW91" s="238"/>
      <c r="BX91" s="476"/>
      <c r="BY91" s="36"/>
      <c r="BZ91" s="476"/>
      <c r="CA91" s="36"/>
      <c r="CB91" s="150"/>
      <c r="CC91" s="150"/>
      <c r="CD91" s="435"/>
    </row>
    <row r="92" spans="1:82" ht="20.100000000000001" customHeight="1">
      <c r="B92" s="280">
        <v>5</v>
      </c>
      <c r="C92" s="287"/>
      <c r="D92" s="438"/>
      <c r="E92" s="285" t="s">
        <v>110</v>
      </c>
      <c r="F92" s="285" t="s">
        <v>111</v>
      </c>
      <c r="G92" s="202">
        <v>0.1</v>
      </c>
      <c r="H92" s="75"/>
      <c r="I92" s="75"/>
      <c r="J92" s="453"/>
      <c r="K92" s="57"/>
      <c r="L92" s="57"/>
      <c r="X92" s="35"/>
      <c r="Y92" s="35"/>
      <c r="Z92" s="35"/>
      <c r="AA92" s="35"/>
      <c r="AB92" s="35"/>
      <c r="BU92" s="22"/>
      <c r="BV92" s="476"/>
      <c r="BW92" s="238"/>
      <c r="BX92" s="476"/>
      <c r="BY92" s="36"/>
      <c r="BZ92" s="476"/>
      <c r="CA92" s="36"/>
      <c r="CB92" s="150"/>
      <c r="CC92" s="150"/>
      <c r="CD92" s="435"/>
    </row>
    <row r="93" spans="1:82" ht="20.100000000000001" customHeight="1">
      <c r="B93" s="434"/>
      <c r="C93" s="434"/>
      <c r="D93" s="434"/>
      <c r="E93" s="434"/>
      <c r="F93" s="434"/>
      <c r="G93" s="434"/>
      <c r="H93" s="75"/>
      <c r="I93" s="75"/>
      <c r="J93" s="453"/>
      <c r="K93" s="57"/>
      <c r="L93" s="57"/>
      <c r="X93" s="35"/>
      <c r="Y93" s="35"/>
      <c r="Z93" s="35"/>
      <c r="AA93" s="35"/>
      <c r="AB93" s="35"/>
      <c r="BU93" s="22"/>
      <c r="BV93" s="476"/>
      <c r="BW93" s="238"/>
      <c r="BX93" s="476"/>
      <c r="BY93" s="36"/>
      <c r="BZ93" s="476"/>
      <c r="CA93" s="36"/>
      <c r="CB93" s="150"/>
      <c r="CC93" s="150"/>
      <c r="CD93" s="435"/>
    </row>
    <row r="94" spans="1:82" ht="20.100000000000001" customHeight="1">
      <c r="A94" s="32"/>
      <c r="B94" s="33" t="s">
        <v>487</v>
      </c>
      <c r="C94" s="32"/>
      <c r="D94" s="32"/>
      <c r="E94" s="32"/>
      <c r="F94" s="32"/>
      <c r="G94" s="32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2"/>
      <c r="Z94" s="32"/>
      <c r="AA94" s="32"/>
      <c r="BU94" s="22"/>
      <c r="BV94" s="476"/>
      <c r="BW94" s="238"/>
      <c r="BX94" s="476"/>
      <c r="BY94" s="36"/>
      <c r="BZ94" s="476"/>
      <c r="CA94" s="36"/>
      <c r="CB94" s="150"/>
      <c r="CC94" s="150"/>
      <c r="CD94" s="172"/>
    </row>
    <row r="95" spans="1:82" ht="20.100000000000001" customHeight="1">
      <c r="B95" s="1004" t="s">
        <v>84</v>
      </c>
      <c r="C95" s="1008"/>
      <c r="D95" s="1008"/>
      <c r="E95" s="1008" t="s">
        <v>95</v>
      </c>
      <c r="F95" s="1008" t="s">
        <v>96</v>
      </c>
      <c r="G95" s="1008" t="s">
        <v>97</v>
      </c>
      <c r="H95" s="995" t="s">
        <v>99</v>
      </c>
      <c r="I95" s="998" t="s">
        <v>53</v>
      </c>
      <c r="J95" s="1014" t="s">
        <v>482</v>
      </c>
      <c r="K95" s="1015"/>
      <c r="L95" s="418"/>
      <c r="M95" s="916" t="s">
        <v>483</v>
      </c>
      <c r="N95" s="917"/>
      <c r="O95" s="416"/>
      <c r="P95" s="1014" t="s">
        <v>484</v>
      </c>
      <c r="Q95" s="1057"/>
      <c r="R95" s="1015"/>
      <c r="S95" s="411"/>
      <c r="T95" s="411"/>
      <c r="U95" s="411"/>
      <c r="V95" s="411"/>
      <c r="W95" s="411"/>
      <c r="X95" s="34"/>
      <c r="Y95" s="1058"/>
      <c r="Z95" s="1058"/>
      <c r="AA95" s="32"/>
      <c r="BU95" s="261"/>
      <c r="BV95" s="476"/>
      <c r="BW95" s="301"/>
      <c r="BX95" s="302"/>
      <c r="BY95" s="153"/>
      <c r="BZ95" s="302"/>
      <c r="CA95" s="153"/>
      <c r="CB95" s="150"/>
      <c r="CC95" s="150"/>
      <c r="CD95" s="172"/>
    </row>
    <row r="96" spans="1:82" ht="20.100000000000001" customHeight="1">
      <c r="B96" s="1005"/>
      <c r="C96" s="1009"/>
      <c r="D96" s="1009"/>
      <c r="E96" s="1010"/>
      <c r="F96" s="1010"/>
      <c r="G96" s="1010"/>
      <c r="H96" s="996"/>
      <c r="I96" s="999"/>
      <c r="J96" s="1016"/>
      <c r="K96" s="1017"/>
      <c r="L96" s="419"/>
      <c r="M96" s="918"/>
      <c r="N96" s="919"/>
      <c r="O96" s="417"/>
      <c r="P96" s="1016"/>
      <c r="Q96" s="736"/>
      <c r="R96" s="1017"/>
      <c r="S96" s="88"/>
      <c r="T96" s="88"/>
      <c r="U96" s="88"/>
      <c r="V96" s="411"/>
      <c r="W96" s="88"/>
      <c r="Y96" s="1058"/>
      <c r="Z96" s="1058"/>
      <c r="BU96" s="22"/>
      <c r="BV96" s="476"/>
      <c r="BW96" s="238"/>
      <c r="BX96" s="476"/>
      <c r="BY96" s="36"/>
      <c r="BZ96" s="476"/>
      <c r="CA96" s="36"/>
      <c r="CB96" s="150"/>
      <c r="CC96" s="150"/>
      <c r="CD96" s="172"/>
    </row>
    <row r="97" spans="1:82" ht="20.100000000000001" customHeight="1">
      <c r="B97" s="1005"/>
      <c r="C97" s="40"/>
      <c r="D97" s="41"/>
      <c r="E97" s="1010"/>
      <c r="F97" s="1010"/>
      <c r="G97" s="1010"/>
      <c r="H97" s="996"/>
      <c r="I97" s="999"/>
      <c r="J97" s="421"/>
      <c r="K97" s="422"/>
      <c r="L97" s="920" t="s">
        <v>481</v>
      </c>
      <c r="M97" s="421"/>
      <c r="N97" s="422"/>
      <c r="O97" s="920" t="s">
        <v>82</v>
      </c>
      <c r="P97" s="425"/>
      <c r="Q97" s="426"/>
      <c r="R97" s="427"/>
      <c r="S97" s="88"/>
      <c r="T97" s="88"/>
      <c r="U97" s="88"/>
      <c r="V97" s="411"/>
      <c r="W97" s="88"/>
      <c r="Y97" s="1058"/>
      <c r="Z97" s="1058"/>
      <c r="BU97" s="22"/>
      <c r="BV97" s="476"/>
      <c r="BW97" s="238"/>
      <c r="BX97" s="476"/>
      <c r="BY97" s="36"/>
      <c r="BZ97" s="476"/>
      <c r="CA97" s="36"/>
      <c r="CB97" s="150"/>
      <c r="CC97" s="150"/>
      <c r="CD97" s="172"/>
    </row>
    <row r="98" spans="1:82" ht="20.100000000000001" customHeight="1">
      <c r="B98" s="1006"/>
      <c r="C98" s="40"/>
      <c r="D98" s="41"/>
      <c r="E98" s="1009"/>
      <c r="F98" s="1009"/>
      <c r="G98" s="1009"/>
      <c r="H98" s="997"/>
      <c r="I98" s="1000"/>
      <c r="J98" s="423"/>
      <c r="K98" s="424"/>
      <c r="L98" s="921"/>
      <c r="M98" s="423"/>
      <c r="N98" s="424"/>
      <c r="O98" s="921"/>
      <c r="P98" s="428"/>
      <c r="Q98" s="10"/>
      <c r="R98" s="429"/>
      <c r="S98" s="88"/>
      <c r="T98" s="88"/>
      <c r="U98" s="88"/>
      <c r="V98" s="411"/>
      <c r="W98" s="88"/>
      <c r="Y98" s="1058"/>
      <c r="Z98" s="1058"/>
      <c r="BU98" s="200"/>
      <c r="BV98" s="200"/>
      <c r="BW98" s="200"/>
      <c r="BX98" s="200"/>
      <c r="BY98" s="200"/>
      <c r="BZ98" s="200"/>
      <c r="CA98" s="200"/>
      <c r="CB98" s="200"/>
      <c r="CC98" s="150"/>
      <c r="CD98" s="172"/>
    </row>
    <row r="99" spans="1:82" ht="20.100000000000001" customHeight="1">
      <c r="B99" s="430" t="str">
        <f t="shared" ref="B99:B107" si="35">B42</f>
        <v>14-20</v>
      </c>
      <c r="C99" s="272">
        <f t="shared" ref="C99:C107" si="36">LEFT(B99,2)+0</f>
        <v>14</v>
      </c>
      <c r="D99" s="432">
        <f t="shared" ref="D99:D107" si="37">MID(B99,4,3)+0</f>
        <v>20</v>
      </c>
      <c r="E99" s="432">
        <f t="shared" ref="E99:E107" si="38">E42</f>
        <v>16.2</v>
      </c>
      <c r="F99" s="431">
        <f t="shared" ref="F99:F107" si="39">VLOOKUP(C99,AT$5:AU$25,2,FALSE)</f>
        <v>1.41</v>
      </c>
      <c r="G99" s="431">
        <f t="shared" ref="G99:G107" si="40">VLOOKUP(D99,AT$5:AU$25,2,FALSE)</f>
        <v>0.84099999999999997</v>
      </c>
      <c r="H99" s="275">
        <f t="shared" ref="H99:H107" si="41">(F99*G99)^(1/2)</f>
        <v>1.0889490346200781</v>
      </c>
      <c r="I99" s="439">
        <f>($I$78*(H99/1000)*($G$19/86400))/$I$33</f>
        <v>1.1264368530909448</v>
      </c>
      <c r="J99" s="922">
        <f>150*(1-$I$76)/I99+1.75</f>
        <v>74.989791270695605</v>
      </c>
      <c r="K99" s="923"/>
      <c r="L99" s="410">
        <f>J99*(E99/100)/(H99/1000)</f>
        <v>11156.028243407283</v>
      </c>
      <c r="M99" s="1094" t="str">
        <f>ROUND((1/I78*(1-I76)/(I76^3)*I74*(($G$19/86400)^2)/9.806*L108),3)&amp; " m"</f>
        <v>0,226 m</v>
      </c>
      <c r="N99" s="1094"/>
      <c r="O99" s="415">
        <f>(E99/100)/(H99/1000)</f>
        <v>148.76729291239965</v>
      </c>
      <c r="P99" s="1085" t="str">
        <f>ROUND((I31*9.806)/I32*(1/I77)*(1/I80^2)*((I76^3)/(1-I76))*(O108^-2),5)&amp; " m/s"</f>
        <v>0,00335 m/s</v>
      </c>
      <c r="Q99" s="1085"/>
      <c r="R99" s="1085"/>
      <c r="S99" s="420"/>
      <c r="T99" s="413"/>
      <c r="U99" s="413"/>
      <c r="V99" s="414"/>
      <c r="W99" s="164"/>
      <c r="Y99" s="110"/>
      <c r="Z99" s="48"/>
      <c r="AA99" s="36"/>
      <c r="BG99" s="60"/>
      <c r="BH99" s="60"/>
      <c r="BU99" s="200"/>
      <c r="BV99" s="200"/>
      <c r="BW99" s="200"/>
      <c r="BX99" s="200"/>
      <c r="BY99" s="200"/>
      <c r="BZ99" s="200"/>
      <c r="CA99" s="200"/>
      <c r="CB99" s="200"/>
      <c r="CC99" s="196"/>
      <c r="CD99" s="172"/>
    </row>
    <row r="100" spans="1:82" ht="20.100000000000001" customHeight="1">
      <c r="B100" s="430" t="str">
        <f t="shared" si="35"/>
        <v>20-25</v>
      </c>
      <c r="C100" s="272">
        <f t="shared" si="36"/>
        <v>20</v>
      </c>
      <c r="D100" s="432">
        <f t="shared" si="37"/>
        <v>25</v>
      </c>
      <c r="E100" s="432">
        <f t="shared" si="38"/>
        <v>33.700000000000003</v>
      </c>
      <c r="F100" s="431">
        <f t="shared" si="39"/>
        <v>0.84099999999999997</v>
      </c>
      <c r="G100" s="431">
        <f t="shared" si="40"/>
        <v>0.70699999999999996</v>
      </c>
      <c r="H100" s="275">
        <f t="shared" si="41"/>
        <v>0.77109467641788321</v>
      </c>
      <c r="I100" s="439">
        <f t="shared" ref="I100:I107" si="42">($I$78*(H100/1000)*($G$19/86400))/$I$33</f>
        <v>0.797640140286622</v>
      </c>
      <c r="J100" s="922">
        <f t="shared" ref="J100:J107" si="43">150*(1-$I$76)/I100+1.75</f>
        <v>105.18010065962159</v>
      </c>
      <c r="K100" s="923"/>
      <c r="L100" s="410">
        <f t="shared" ref="L100:L107" si="44">J100*(E100/100)/(H100/1000)</f>
        <v>45968.017944249448</v>
      </c>
      <c r="M100" s="1094"/>
      <c r="N100" s="1094"/>
      <c r="O100" s="415">
        <f t="shared" ref="O100:O107" si="45">(E100/100)/(H100/1000)</f>
        <v>437.04101494453568</v>
      </c>
      <c r="P100" s="1085"/>
      <c r="Q100" s="1085"/>
      <c r="R100" s="1085"/>
      <c r="S100" s="412"/>
      <c r="T100" s="413"/>
      <c r="U100" s="413"/>
      <c r="V100" s="414"/>
      <c r="W100" s="164"/>
      <c r="Y100" s="110"/>
      <c r="Z100" s="48"/>
      <c r="AA100" s="37"/>
      <c r="BG100" s="60"/>
      <c r="BH100" s="60"/>
      <c r="BU100" s="22"/>
      <c r="BV100" s="266"/>
      <c r="BW100" s="238"/>
      <c r="BX100" s="266"/>
      <c r="BY100" s="36"/>
      <c r="BZ100" s="266"/>
      <c r="CA100" s="36"/>
      <c r="CB100" s="150"/>
      <c r="CC100" s="200"/>
      <c r="CD100" s="172"/>
    </row>
    <row r="101" spans="1:82" ht="20.100000000000001" customHeight="1">
      <c r="B101" s="430" t="str">
        <f t="shared" si="35"/>
        <v>25-30</v>
      </c>
      <c r="C101" s="272">
        <f t="shared" si="36"/>
        <v>25</v>
      </c>
      <c r="D101" s="432">
        <f t="shared" si="37"/>
        <v>30</v>
      </c>
      <c r="E101" s="432">
        <f t="shared" si="38"/>
        <v>33.9</v>
      </c>
      <c r="F101" s="431">
        <f t="shared" si="39"/>
        <v>0.70699999999999996</v>
      </c>
      <c r="G101" s="431">
        <f t="shared" si="40"/>
        <v>0.59499999999999997</v>
      </c>
      <c r="H101" s="275">
        <f t="shared" si="41"/>
        <v>0.64858692555431607</v>
      </c>
      <c r="I101" s="439">
        <f t="shared" si="42"/>
        <v>0.67091497595406746</v>
      </c>
      <c r="J101" s="922">
        <f t="shared" si="43"/>
        <v>124.71640104460593</v>
      </c>
      <c r="K101" s="923"/>
      <c r="L101" s="410">
        <f t="shared" si="44"/>
        <v>65186.111974100771</v>
      </c>
      <c r="M101" s="1094"/>
      <c r="N101" s="1094"/>
      <c r="O101" s="415">
        <f t="shared" si="45"/>
        <v>522.67473586562505</v>
      </c>
      <c r="P101" s="1085"/>
      <c r="Q101" s="1085"/>
      <c r="R101" s="1085"/>
      <c r="S101" s="412"/>
      <c r="T101" s="413"/>
      <c r="U101" s="413"/>
      <c r="V101" s="414"/>
      <c r="W101" s="164"/>
      <c r="Y101" s="110"/>
      <c r="Z101" s="48"/>
      <c r="AA101" s="37"/>
      <c r="BG101" s="60"/>
      <c r="BH101" s="60"/>
      <c r="BU101" s="22"/>
      <c r="BV101" s="266"/>
      <c r="BW101" s="238"/>
      <c r="BX101" s="266"/>
      <c r="BY101" s="36"/>
      <c r="BZ101" s="266"/>
      <c r="CA101" s="36"/>
      <c r="CB101" s="150"/>
      <c r="CC101" s="150"/>
      <c r="CD101" s="172"/>
    </row>
    <row r="102" spans="1:82" ht="20.100000000000001" customHeight="1">
      <c r="B102" s="430" t="str">
        <f t="shared" si="35"/>
        <v>30-35</v>
      </c>
      <c r="C102" s="272">
        <f t="shared" si="36"/>
        <v>30</v>
      </c>
      <c r="D102" s="432">
        <f t="shared" si="37"/>
        <v>35</v>
      </c>
      <c r="E102" s="432">
        <f t="shared" si="38"/>
        <v>6.2</v>
      </c>
      <c r="F102" s="431">
        <f t="shared" si="39"/>
        <v>0.59499999999999997</v>
      </c>
      <c r="G102" s="431">
        <f t="shared" si="40"/>
        <v>0.5</v>
      </c>
      <c r="H102" s="275">
        <f t="shared" si="41"/>
        <v>0.54543560573178573</v>
      </c>
      <c r="I102" s="439">
        <f t="shared" si="42"/>
        <v>0.56421260109626947</v>
      </c>
      <c r="J102" s="922">
        <f t="shared" si="43"/>
        <v>147.97147722277359</v>
      </c>
      <c r="K102" s="923"/>
      <c r="L102" s="410">
        <f t="shared" si="44"/>
        <v>16820.008615871931</v>
      </c>
      <c r="M102" s="1094"/>
      <c r="N102" s="1094"/>
      <c r="O102" s="415">
        <f t="shared" si="45"/>
        <v>113.6706136314982</v>
      </c>
      <c r="P102" s="1085"/>
      <c r="Q102" s="1085"/>
      <c r="R102" s="1085"/>
      <c r="S102" s="412"/>
      <c r="T102" s="413">
        <f>0.00335*0.226/0.64</f>
        <v>1.18296875E-3</v>
      </c>
      <c r="U102" s="413"/>
      <c r="V102" s="414"/>
      <c r="W102" s="164"/>
      <c r="Y102" s="110"/>
      <c r="Z102" s="48"/>
      <c r="AA102" s="37"/>
      <c r="AK102" s="52"/>
      <c r="AL102" s="227"/>
      <c r="AM102" s="227"/>
      <c r="AN102" s="227"/>
      <c r="AO102" s="227"/>
      <c r="AP102" s="262"/>
      <c r="AQ102" s="262"/>
      <c r="AR102" s="227"/>
      <c r="AS102" s="289"/>
      <c r="AT102" s="289"/>
      <c r="AU102" s="289"/>
      <c r="AV102" s="52"/>
      <c r="BU102" s="22"/>
      <c r="BV102" s="266"/>
      <c r="BW102" s="238"/>
      <c r="BX102" s="266"/>
      <c r="BY102" s="36"/>
      <c r="BZ102" s="266"/>
      <c r="CA102" s="36"/>
      <c r="CB102" s="150"/>
      <c r="CC102" s="150"/>
      <c r="CD102" s="172"/>
    </row>
    <row r="103" spans="1:82" ht="20.100000000000001" customHeight="1">
      <c r="B103" s="430" t="str">
        <f t="shared" si="35"/>
        <v>35-40</v>
      </c>
      <c r="C103" s="272">
        <f t="shared" si="36"/>
        <v>35</v>
      </c>
      <c r="D103" s="432">
        <f t="shared" si="37"/>
        <v>40</v>
      </c>
      <c r="E103" s="432">
        <f t="shared" si="38"/>
        <v>3.5</v>
      </c>
      <c r="F103" s="431">
        <f t="shared" si="39"/>
        <v>0.5</v>
      </c>
      <c r="G103" s="431">
        <f t="shared" si="40"/>
        <v>0.4</v>
      </c>
      <c r="H103" s="275">
        <f t="shared" si="41"/>
        <v>0.44721359549995793</v>
      </c>
      <c r="I103" s="439">
        <f t="shared" si="42"/>
        <v>0.46260923069757315</v>
      </c>
      <c r="J103" s="922">
        <f t="shared" si="43"/>
        <v>180.08625990470924</v>
      </c>
      <c r="K103" s="923"/>
      <c r="L103" s="410">
        <f t="shared" si="44"/>
        <v>14093.979163621863</v>
      </c>
      <c r="M103" s="1094"/>
      <c r="N103" s="1094"/>
      <c r="O103" s="415">
        <f t="shared" si="45"/>
        <v>78.262379212492647</v>
      </c>
      <c r="P103" s="1085"/>
      <c r="Q103" s="1085"/>
      <c r="R103" s="1085"/>
      <c r="S103" s="412"/>
      <c r="T103" s="413">
        <f>T102*86400</f>
        <v>102.2085</v>
      </c>
      <c r="U103" s="413" t="s">
        <v>4</v>
      </c>
      <c r="V103" s="414"/>
      <c r="W103" s="164"/>
      <c r="Y103" s="110"/>
      <c r="Z103" s="48"/>
      <c r="AA103" s="37"/>
      <c r="AC103" s="59"/>
      <c r="AK103" s="52"/>
      <c r="AL103" s="227"/>
      <c r="AM103" s="227"/>
      <c r="AN103" s="227"/>
      <c r="AO103" s="227"/>
      <c r="AP103" s="262"/>
      <c r="AQ103" s="262"/>
      <c r="AR103" s="227"/>
      <c r="AS103" s="289"/>
      <c r="AT103" s="289"/>
      <c r="AU103" s="289"/>
      <c r="AV103" s="52"/>
      <c r="BU103" s="22"/>
      <c r="BV103" s="266"/>
      <c r="BW103" s="238"/>
      <c r="BX103" s="266"/>
      <c r="BY103" s="36"/>
      <c r="BZ103" s="266"/>
      <c r="CA103" s="36"/>
      <c r="CB103" s="150"/>
      <c r="CC103" s="150"/>
      <c r="CD103" s="172"/>
    </row>
    <row r="104" spans="1:82" ht="20.100000000000001" customHeight="1">
      <c r="B104" s="430" t="str">
        <f t="shared" si="35"/>
        <v>40-50</v>
      </c>
      <c r="C104" s="272">
        <f t="shared" si="36"/>
        <v>40</v>
      </c>
      <c r="D104" s="432">
        <f t="shared" si="37"/>
        <v>50</v>
      </c>
      <c r="E104" s="432">
        <f t="shared" si="38"/>
        <v>3</v>
      </c>
      <c r="F104" s="431">
        <f t="shared" si="39"/>
        <v>0.4</v>
      </c>
      <c r="G104" s="431">
        <f t="shared" si="40"/>
        <v>0.29699999999999999</v>
      </c>
      <c r="H104" s="275">
        <f t="shared" si="41"/>
        <v>0.34467375879228174</v>
      </c>
      <c r="I104" s="439">
        <f t="shared" si="42"/>
        <v>0.3565393896808608</v>
      </c>
      <c r="J104" s="922">
        <f t="shared" si="43"/>
        <v>233.14098340255177</v>
      </c>
      <c r="K104" s="923"/>
      <c r="L104" s="410">
        <f t="shared" si="44"/>
        <v>20292.31794896123</v>
      </c>
      <c r="M104" s="1094"/>
      <c r="N104" s="1094"/>
      <c r="O104" s="415">
        <f t="shared" si="45"/>
        <v>87.038827977848911</v>
      </c>
      <c r="P104" s="1085"/>
      <c r="Q104" s="1085"/>
      <c r="R104" s="1085"/>
      <c r="S104" s="412"/>
      <c r="T104" s="413"/>
      <c r="U104" s="413"/>
      <c r="V104" s="414"/>
      <c r="W104" s="164"/>
      <c r="X104" s="38"/>
      <c r="Y104" s="110"/>
      <c r="Z104" s="48"/>
      <c r="AA104" s="37"/>
      <c r="AB104" s="59"/>
      <c r="AK104" s="52"/>
      <c r="AL104" s="227"/>
      <c r="AM104" s="227"/>
      <c r="AN104" s="227"/>
      <c r="AO104" s="227"/>
      <c r="AP104" s="262"/>
      <c r="AQ104" s="262"/>
      <c r="AR104" s="227"/>
      <c r="AS104" s="289"/>
      <c r="AT104" s="289"/>
      <c r="AU104" s="289"/>
      <c r="AV104" s="52"/>
      <c r="BU104" s="22"/>
      <c r="BV104" s="266"/>
      <c r="BW104" s="238"/>
      <c r="BX104" s="266"/>
      <c r="BY104" s="36"/>
      <c r="BZ104" s="266"/>
      <c r="CA104" s="36"/>
      <c r="CB104" s="150"/>
      <c r="CC104" s="150"/>
      <c r="CD104" s="172"/>
    </row>
    <row r="105" spans="1:82" ht="20.100000000000001" customHeight="1">
      <c r="B105" s="430" t="str">
        <f t="shared" si="35"/>
        <v>50-60</v>
      </c>
      <c r="C105" s="272">
        <f t="shared" si="36"/>
        <v>50</v>
      </c>
      <c r="D105" s="432">
        <f t="shared" si="37"/>
        <v>60</v>
      </c>
      <c r="E105" s="432">
        <f t="shared" si="38"/>
        <v>2</v>
      </c>
      <c r="F105" s="431">
        <f t="shared" si="39"/>
        <v>0.29699999999999999</v>
      </c>
      <c r="G105" s="431">
        <f t="shared" si="40"/>
        <v>0.25</v>
      </c>
      <c r="H105" s="275">
        <f t="shared" si="41"/>
        <v>0.27248853186877425</v>
      </c>
      <c r="I105" s="439">
        <f t="shared" si="42"/>
        <v>0.28186913673946357</v>
      </c>
      <c r="J105" s="922">
        <f t="shared" si="43"/>
        <v>294.43901503131275</v>
      </c>
      <c r="K105" s="923"/>
      <c r="L105" s="410">
        <f t="shared" si="44"/>
        <v>21611.112439264743</v>
      </c>
      <c r="M105" s="1094"/>
      <c r="N105" s="1094"/>
      <c r="O105" s="415">
        <f t="shared" si="45"/>
        <v>73.397584341757366</v>
      </c>
      <c r="P105" s="1085"/>
      <c r="Q105" s="1085"/>
      <c r="R105" s="1085"/>
      <c r="S105" s="412"/>
      <c r="T105" s="413"/>
      <c r="U105" s="413"/>
      <c r="V105" s="414"/>
      <c r="W105" s="164"/>
      <c r="X105" s="38"/>
      <c r="Y105" s="110"/>
      <c r="Z105" s="48"/>
      <c r="AA105" s="37"/>
      <c r="AK105" s="52"/>
      <c r="AL105" s="227"/>
      <c r="AM105" s="227"/>
      <c r="AN105" s="227"/>
      <c r="AO105" s="227"/>
      <c r="AP105" s="262"/>
      <c r="AQ105" s="262"/>
      <c r="AR105" s="227"/>
      <c r="AS105" s="289"/>
      <c r="AT105" s="289"/>
      <c r="AU105" s="289"/>
      <c r="AV105" s="52"/>
      <c r="BU105" s="22"/>
      <c r="BV105" s="266"/>
      <c r="BW105" s="238"/>
      <c r="BX105" s="266"/>
      <c r="BY105" s="36"/>
      <c r="BZ105" s="266"/>
      <c r="CA105" s="36"/>
      <c r="CB105" s="150"/>
      <c r="CC105" s="150"/>
      <c r="CD105" s="172"/>
    </row>
    <row r="106" spans="1:82" ht="20.100000000000001" customHeight="1">
      <c r="B106" s="430" t="str">
        <f t="shared" si="35"/>
        <v>60-70</v>
      </c>
      <c r="C106" s="272">
        <f t="shared" si="36"/>
        <v>60</v>
      </c>
      <c r="D106" s="432">
        <f t="shared" si="37"/>
        <v>70</v>
      </c>
      <c r="E106" s="432">
        <f t="shared" si="38"/>
        <v>1</v>
      </c>
      <c r="F106" s="431">
        <f t="shared" si="39"/>
        <v>0.25</v>
      </c>
      <c r="G106" s="431">
        <f t="shared" si="40"/>
        <v>0.21</v>
      </c>
      <c r="H106" s="275">
        <f t="shared" si="41"/>
        <v>0.229128784747792</v>
      </c>
      <c r="I106" s="439">
        <f t="shared" si="42"/>
        <v>0.23701670054182389</v>
      </c>
      <c r="J106" s="922">
        <f t="shared" si="43"/>
        <v>349.82673810074863</v>
      </c>
      <c r="K106" s="923"/>
      <c r="L106" s="410">
        <f t="shared" si="44"/>
        <v>15267.690547296883</v>
      </c>
      <c r="M106" s="1094"/>
      <c r="N106" s="1094"/>
      <c r="O106" s="415">
        <f t="shared" si="45"/>
        <v>43.643578047198481</v>
      </c>
      <c r="P106" s="1085"/>
      <c r="Q106" s="1085"/>
      <c r="R106" s="1085"/>
      <c r="S106" s="412"/>
      <c r="T106" s="413"/>
      <c r="U106" s="413"/>
      <c r="V106" s="414"/>
      <c r="W106" s="164"/>
      <c r="X106" s="38"/>
      <c r="Y106" s="110"/>
      <c r="Z106" s="48"/>
      <c r="AA106" s="37"/>
      <c r="AK106" s="52"/>
      <c r="AL106" s="227"/>
      <c r="AM106" s="227"/>
      <c r="AN106" s="227"/>
      <c r="AO106" s="227"/>
      <c r="AP106" s="262"/>
      <c r="AQ106" s="262"/>
      <c r="AR106" s="227"/>
      <c r="AS106" s="289"/>
      <c r="AT106" s="289"/>
      <c r="AU106" s="289"/>
      <c r="AV106" s="52"/>
      <c r="BU106" s="261"/>
      <c r="BV106" s="266"/>
      <c r="BW106" s="301"/>
      <c r="BX106" s="302"/>
      <c r="BY106" s="153"/>
      <c r="BZ106" s="302"/>
      <c r="CA106" s="153"/>
      <c r="CB106" s="150"/>
      <c r="CC106" s="150"/>
      <c r="CD106" s="172"/>
    </row>
    <row r="107" spans="1:82" ht="20.100000000000001" customHeight="1">
      <c r="B107" s="430" t="str">
        <f t="shared" si="35"/>
        <v>70-100</v>
      </c>
      <c r="C107" s="272">
        <f t="shared" si="36"/>
        <v>70</v>
      </c>
      <c r="D107" s="432">
        <f t="shared" si="37"/>
        <v>100</v>
      </c>
      <c r="E107" s="432">
        <f t="shared" si="38"/>
        <v>0.49999999999998579</v>
      </c>
      <c r="F107" s="431">
        <f t="shared" si="39"/>
        <v>0.21</v>
      </c>
      <c r="G107" s="431">
        <f t="shared" si="40"/>
        <v>0.14899999999999999</v>
      </c>
      <c r="H107" s="275">
        <f t="shared" si="41"/>
        <v>0.17688979620091147</v>
      </c>
      <c r="I107" s="439">
        <f t="shared" si="42"/>
        <v>0.18297934893341553</v>
      </c>
      <c r="J107" s="922">
        <f t="shared" si="43"/>
        <v>452.62055168187845</v>
      </c>
      <c r="K107" s="923"/>
      <c r="L107" s="410">
        <f t="shared" si="44"/>
        <v>12793.857005968253</v>
      </c>
      <c r="M107" s="1094"/>
      <c r="N107" s="1094"/>
      <c r="O107" s="415">
        <f t="shared" si="45"/>
        <v>28.266186673203336</v>
      </c>
      <c r="P107" s="1085"/>
      <c r="Q107" s="1085"/>
      <c r="R107" s="1085"/>
      <c r="S107" s="412"/>
      <c r="T107" s="413"/>
      <c r="U107" s="413"/>
      <c r="V107" s="414"/>
      <c r="W107" s="164"/>
      <c r="X107" s="38"/>
      <c r="Y107" s="110"/>
      <c r="Z107" s="48"/>
      <c r="AA107" s="37"/>
      <c r="AK107" s="52"/>
      <c r="AL107" s="227"/>
      <c r="AM107" s="227"/>
      <c r="AN107" s="227"/>
      <c r="AO107" s="227"/>
      <c r="AP107" s="262"/>
      <c r="AQ107" s="262"/>
      <c r="AR107" s="227"/>
      <c r="AS107" s="289"/>
      <c r="AT107" s="289"/>
      <c r="AU107" s="289"/>
      <c r="AV107" s="52"/>
      <c r="BU107" s="22"/>
      <c r="BV107" s="266"/>
      <c r="BW107" s="238"/>
      <c r="BX107" s="266"/>
      <c r="BY107" s="36"/>
      <c r="BZ107" s="266"/>
      <c r="CA107" s="36"/>
      <c r="CB107" s="150"/>
      <c r="CC107" s="150"/>
      <c r="CD107" s="172"/>
    </row>
    <row r="108" spans="1:82" ht="20.100000000000001" customHeight="1">
      <c r="B108" s="1"/>
      <c r="C108" s="43"/>
      <c r="D108" s="22"/>
      <c r="E108" s="137">
        <f>SUM(E99:E107)</f>
        <v>100</v>
      </c>
      <c r="F108" s="44"/>
      <c r="G108" s="1"/>
      <c r="H108" s="38"/>
      <c r="I108" s="168"/>
      <c r="J108" s="38"/>
      <c r="K108" s="38"/>
      <c r="L108" s="1084">
        <f>SUM(L99:L107)</f>
        <v>223189.12388274242</v>
      </c>
      <c r="M108" s="38"/>
      <c r="N108" s="38"/>
      <c r="O108" s="1083">
        <f>SUM(O99:O107)</f>
        <v>1532.7622136065593</v>
      </c>
      <c r="P108" s="38"/>
      <c r="Q108" s="116"/>
      <c r="R108" s="38"/>
      <c r="S108" s="38"/>
      <c r="T108" s="38"/>
      <c r="U108" s="38"/>
      <c r="V108" s="38"/>
      <c r="W108" s="38"/>
      <c r="X108" s="38"/>
      <c r="Y108" s="110"/>
      <c r="Z108" s="48"/>
      <c r="AA108" s="37"/>
      <c r="BU108" s="22"/>
      <c r="BV108" s="266"/>
      <c r="BW108" s="238"/>
      <c r="BX108" s="266"/>
      <c r="BY108" s="36"/>
      <c r="BZ108" s="266"/>
      <c r="CA108" s="36"/>
      <c r="CB108" s="150"/>
      <c r="CC108" s="150"/>
      <c r="CD108" s="172"/>
    </row>
    <row r="109" spans="1:82" ht="20.100000000000001" customHeight="1">
      <c r="B109" s="1"/>
      <c r="C109" s="1"/>
      <c r="D109" s="1"/>
      <c r="E109" s="1"/>
      <c r="F109" s="1"/>
      <c r="G109" s="1"/>
      <c r="H109" s="38"/>
      <c r="I109" s="38"/>
      <c r="J109" s="38"/>
      <c r="K109" s="38"/>
      <c r="L109" s="1084"/>
      <c r="M109" s="38"/>
      <c r="N109" s="38"/>
      <c r="O109" s="1084"/>
      <c r="P109" s="38"/>
      <c r="Q109" s="116"/>
      <c r="R109" s="38"/>
      <c r="S109" s="38"/>
      <c r="T109" s="38"/>
      <c r="U109" s="38"/>
      <c r="V109" s="38"/>
      <c r="W109" s="38"/>
      <c r="X109" s="38"/>
      <c r="Y109" s="110"/>
      <c r="Z109" s="48"/>
      <c r="AA109" s="37"/>
      <c r="BU109" s="22"/>
      <c r="BV109" s="266"/>
      <c r="BW109" s="238"/>
      <c r="BX109" s="266"/>
      <c r="BY109" s="36"/>
      <c r="BZ109" s="266"/>
      <c r="CA109" s="36"/>
      <c r="CB109" s="150"/>
      <c r="CC109" s="150"/>
      <c r="CD109" s="172"/>
    </row>
    <row r="110" spans="1:82" ht="20.100000000000001" customHeight="1">
      <c r="B110" s="39"/>
      <c r="C110" s="42"/>
      <c r="D110" s="39"/>
      <c r="E110" s="39"/>
      <c r="F110" s="39"/>
      <c r="G110" s="39"/>
      <c r="H110" s="38"/>
      <c r="I110" s="38"/>
      <c r="J110" s="2"/>
      <c r="K110" s="2"/>
      <c r="L110" s="1084"/>
      <c r="M110" s="38"/>
      <c r="N110" s="38"/>
      <c r="O110" s="1084"/>
      <c r="P110" s="38"/>
      <c r="Q110" s="116"/>
      <c r="R110" s="2"/>
      <c r="S110" s="38"/>
      <c r="T110" s="38"/>
      <c r="U110" s="38"/>
      <c r="V110" s="38"/>
      <c r="W110" s="2"/>
      <c r="X110" s="38"/>
      <c r="Y110" s="110"/>
      <c r="Z110" s="48"/>
      <c r="AA110" s="37"/>
      <c r="BU110" s="35"/>
      <c r="BV110" s="35"/>
      <c r="BW110" s="152"/>
      <c r="BX110" s="35"/>
      <c r="BY110" s="174"/>
      <c r="BZ110" s="35"/>
      <c r="CA110" s="36"/>
      <c r="CB110" s="151"/>
      <c r="CC110" s="151"/>
      <c r="CD110" s="145"/>
    </row>
    <row r="111" spans="1:82" ht="20.100000000000001" customHeight="1">
      <c r="B111" s="39"/>
      <c r="C111" s="42"/>
      <c r="D111" s="39"/>
      <c r="E111" s="39"/>
      <c r="F111" s="39"/>
      <c r="G111" s="39"/>
      <c r="H111" s="38"/>
      <c r="I111" s="38"/>
      <c r="J111" s="2"/>
      <c r="K111" s="2"/>
      <c r="L111" s="403"/>
      <c r="M111" s="38"/>
      <c r="N111" s="38"/>
      <c r="O111" s="403"/>
      <c r="P111" s="38"/>
      <c r="Q111" s="403"/>
      <c r="R111" s="2"/>
      <c r="S111" s="38"/>
      <c r="T111" s="38"/>
      <c r="U111" s="38"/>
      <c r="V111" s="38"/>
      <c r="W111" s="2"/>
      <c r="X111" s="38"/>
      <c r="Y111" s="110"/>
      <c r="Z111" s="48"/>
      <c r="AA111" s="37"/>
      <c r="BU111" s="35"/>
      <c r="BV111" s="35"/>
      <c r="BW111" s="152"/>
      <c r="BX111" s="35"/>
      <c r="BY111" s="174"/>
      <c r="BZ111" s="35"/>
      <c r="CA111" s="36"/>
      <c r="CB111" s="151"/>
      <c r="CC111" s="151"/>
      <c r="CD111" s="404"/>
    </row>
    <row r="112" spans="1:82" ht="20.100000000000001" customHeight="1">
      <c r="A112" s="32"/>
      <c r="B112" s="33" t="s">
        <v>494</v>
      </c>
      <c r="C112" s="32"/>
      <c r="D112" s="32"/>
      <c r="E112" s="32"/>
      <c r="F112" s="32"/>
      <c r="G112" s="32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8"/>
      <c r="Y112" s="110"/>
      <c r="Z112" s="48"/>
      <c r="AA112" s="37"/>
      <c r="BU112" s="35"/>
      <c r="BV112" s="35"/>
      <c r="BW112" s="152"/>
      <c r="BX112" s="35"/>
      <c r="BY112" s="174"/>
      <c r="BZ112" s="35"/>
      <c r="CA112" s="36"/>
      <c r="CB112" s="151"/>
      <c r="CC112" s="151"/>
      <c r="CD112" s="296"/>
    </row>
    <row r="113" spans="2:82" ht="20.100000000000001" customHeight="1">
      <c r="B113" s="1004" t="s">
        <v>84</v>
      </c>
      <c r="C113" s="1007"/>
      <c r="D113" s="1008"/>
      <c r="E113" s="1008" t="s">
        <v>95</v>
      </c>
      <c r="F113" s="1008" t="s">
        <v>96</v>
      </c>
      <c r="G113" s="1008" t="s">
        <v>97</v>
      </c>
      <c r="H113" s="995" t="s">
        <v>99</v>
      </c>
      <c r="I113" s="1011" t="s">
        <v>77</v>
      </c>
      <c r="J113" s="1012"/>
      <c r="K113" s="1012"/>
      <c r="L113" s="1013"/>
      <c r="M113" s="1011" t="s">
        <v>488</v>
      </c>
      <c r="N113" s="1012"/>
      <c r="O113" s="1012"/>
      <c r="P113" s="1012"/>
      <c r="Q113" s="1012"/>
      <c r="R113" s="1013"/>
      <c r="S113" s="1086" t="s">
        <v>78</v>
      </c>
      <c r="T113" s="1086"/>
      <c r="U113" s="1086"/>
      <c r="V113" s="1086"/>
      <c r="W113" s="1086"/>
      <c r="X113" s="1086"/>
      <c r="Y113" s="110"/>
      <c r="Z113" s="48"/>
      <c r="AA113" s="37"/>
      <c r="BU113" s="35"/>
      <c r="BV113" s="35"/>
      <c r="BW113" s="152"/>
      <c r="BX113" s="35"/>
      <c r="BY113" s="174"/>
      <c r="BZ113" s="35"/>
      <c r="CA113" s="36"/>
      <c r="CB113" s="151"/>
      <c r="CC113" s="151"/>
      <c r="CD113" s="296"/>
    </row>
    <row r="114" spans="2:82" ht="20.100000000000001" customHeight="1">
      <c r="B114" s="1005"/>
      <c r="C114" s="1007"/>
      <c r="D114" s="1009"/>
      <c r="E114" s="1010"/>
      <c r="F114" s="1010"/>
      <c r="G114" s="1010"/>
      <c r="H114" s="996"/>
      <c r="I114" s="1105" t="s">
        <v>81</v>
      </c>
      <c r="J114" s="1106"/>
      <c r="K114" s="1107"/>
      <c r="L114" s="298"/>
      <c r="M114" s="1087"/>
      <c r="N114" s="1106"/>
      <c r="O114" s="1110"/>
      <c r="P114" s="1105" t="s">
        <v>82</v>
      </c>
      <c r="Q114" s="1014"/>
      <c r="R114" s="1015"/>
      <c r="S114" s="1113"/>
      <c r="T114" s="1088"/>
      <c r="U114" s="1089"/>
      <c r="V114" s="1092" t="s">
        <v>82</v>
      </c>
      <c r="W114" s="1087"/>
      <c r="X114" s="1087"/>
      <c r="Y114" s="110"/>
      <c r="Z114" s="48"/>
      <c r="AA114" s="37"/>
      <c r="BU114" s="35"/>
      <c r="BV114" s="35"/>
      <c r="BW114" s="152"/>
      <c r="BX114" s="35"/>
      <c r="BY114" s="174"/>
      <c r="BZ114" s="35"/>
      <c r="CA114" s="36"/>
      <c r="CB114" s="151"/>
      <c r="CC114" s="151"/>
      <c r="CD114" s="296"/>
    </row>
    <row r="115" spans="2:82" ht="20.100000000000001" customHeight="1">
      <c r="B115" s="1005"/>
      <c r="C115" s="290"/>
      <c r="D115" s="291"/>
      <c r="E115" s="1010"/>
      <c r="F115" s="1010"/>
      <c r="G115" s="1010"/>
      <c r="H115" s="996"/>
      <c r="I115" s="1092"/>
      <c r="J115" s="1088"/>
      <c r="K115" s="1108"/>
      <c r="L115" s="299"/>
      <c r="M115" s="1087"/>
      <c r="N115" s="1088"/>
      <c r="O115" s="1089"/>
      <c r="P115" s="1092"/>
      <c r="Q115" s="1016"/>
      <c r="R115" s="1017"/>
      <c r="S115" s="1113"/>
      <c r="T115" s="1088"/>
      <c r="U115" s="1089"/>
      <c r="V115" s="1092"/>
      <c r="W115" s="1087"/>
      <c r="X115" s="1087"/>
      <c r="Y115" s="110"/>
      <c r="Z115" s="48"/>
      <c r="AA115" s="37"/>
      <c r="BU115" s="35"/>
      <c r="BV115" s="35"/>
      <c r="BW115" s="152"/>
      <c r="BX115" s="35"/>
      <c r="BY115" s="174"/>
      <c r="BZ115" s="35"/>
      <c r="CA115" s="36"/>
      <c r="CB115" s="151"/>
      <c r="CC115" s="151"/>
      <c r="CD115" s="296"/>
    </row>
    <row r="116" spans="2:82" ht="20.100000000000001" customHeight="1">
      <c r="B116" s="1006"/>
      <c r="C116" s="290"/>
      <c r="D116" s="291"/>
      <c r="E116" s="1009"/>
      <c r="F116" s="1009"/>
      <c r="G116" s="1009"/>
      <c r="H116" s="997"/>
      <c r="I116" s="1093"/>
      <c r="J116" s="1090"/>
      <c r="K116" s="1109"/>
      <c r="L116" s="300"/>
      <c r="M116" s="1087"/>
      <c r="N116" s="1090"/>
      <c r="O116" s="1091"/>
      <c r="P116" s="1093"/>
      <c r="Q116" s="1111"/>
      <c r="R116" s="1112"/>
      <c r="S116" s="1114"/>
      <c r="T116" s="1090"/>
      <c r="U116" s="1091"/>
      <c r="V116" s="1093"/>
      <c r="W116" s="1087"/>
      <c r="X116" s="1087"/>
      <c r="Y116" s="110"/>
      <c r="Z116" s="48"/>
      <c r="AA116" s="37"/>
      <c r="BU116" s="35"/>
      <c r="BV116" s="35"/>
      <c r="BW116" s="152"/>
      <c r="BX116" s="35"/>
      <c r="BY116" s="174"/>
      <c r="BZ116" s="35"/>
      <c r="CA116" s="36"/>
      <c r="CB116" s="151"/>
      <c r="CC116" s="151"/>
      <c r="CD116" s="296"/>
    </row>
    <row r="117" spans="2:82" ht="20.100000000000001" customHeight="1">
      <c r="B117" s="292" t="str">
        <f t="shared" ref="B117:B125" si="46">B42</f>
        <v>14-20</v>
      </c>
      <c r="C117" s="272">
        <f t="shared" ref="C117:C125" si="47">LEFT(B117,2)+0</f>
        <v>14</v>
      </c>
      <c r="D117" s="293">
        <f t="shared" ref="D117:D125" si="48">MID(B117,4,3)+0</f>
        <v>20</v>
      </c>
      <c r="E117" s="293">
        <f t="shared" ref="E117:E125" si="49">E42</f>
        <v>16.2</v>
      </c>
      <c r="F117" s="295">
        <f>VLOOKUP(C117,AT$5:AU$25,2,FALSE)</f>
        <v>1.41</v>
      </c>
      <c r="G117" s="295">
        <f t="shared" ref="G117:G125" si="50">VLOOKUP(D99,AT$5:AU$25,2,FALSE)</f>
        <v>0.84099999999999997</v>
      </c>
      <c r="H117" s="275">
        <f>(F117*G117)^(1/2)</f>
        <v>1.0889490346200781</v>
      </c>
      <c r="I117" s="276">
        <f>(E117/100)/((H117/1000)^2)</f>
        <v>136615.47802767725</v>
      </c>
      <c r="J117" s="905" t="str">
        <f>ROUND((I77*I33*((1-I76)^2)/(I76^3)*((I74*($G$19/86400))/9.806)*((6/$I$78)^2)*I126),3)&amp;" m"</f>
        <v>0,268 m</v>
      </c>
      <c r="K117" s="924"/>
      <c r="L117" s="906"/>
      <c r="M117" s="277">
        <f>$I$78*(H117/1000)*(($G$19/86400)/$I$33)</f>
        <v>1.1264368530909448</v>
      </c>
      <c r="N117" s="922">
        <f>150*(1-$I$76)/M117+1.75</f>
        <v>74.989791270695605</v>
      </c>
      <c r="O117" s="923"/>
      <c r="P117" s="278">
        <f>N117*(E117/100)/(H117/1000)</f>
        <v>11156.028243407283</v>
      </c>
      <c r="Q117" s="1099" t="str">
        <f>ROUND((1/$I$78)*(1-I76)/(I76^3)*(I74*(($G$19/86400)^2)/9.806)*P126,3)&amp; " m"</f>
        <v>0,226 m</v>
      </c>
      <c r="R117" s="1100"/>
      <c r="S117" s="279">
        <f>(H117/1000)*($G$19/86400)/$I$33</f>
        <v>1.5019158041212597</v>
      </c>
      <c r="T117" s="882">
        <f>24/S117+3/(S117^(1/2))+0.34</f>
        <v>18.767517814768567</v>
      </c>
      <c r="U117" s="883"/>
      <c r="V117" s="485">
        <f t="shared" ref="V117:V125" si="51">T117*(E117/100)/(H117/1000)</f>
        <v>2791.9928199883543</v>
      </c>
      <c r="W117" s="1085" t="str">
        <f>ROUND(1.067*(($G$19/86400)^2)*I74/(9.806*$I$79*(I76^4))*V126,3)&amp;" m"</f>
        <v>0,198 m</v>
      </c>
      <c r="X117" s="1085"/>
      <c r="Y117" s="110"/>
      <c r="Z117" s="48"/>
      <c r="AA117" s="37"/>
      <c r="BU117" s="35"/>
      <c r="BV117" s="35"/>
      <c r="BW117" s="152"/>
      <c r="BX117" s="35"/>
      <c r="BY117" s="174"/>
      <c r="BZ117" s="35"/>
      <c r="CA117" s="36"/>
      <c r="CB117" s="151"/>
      <c r="CC117" s="151"/>
      <c r="CD117" s="296"/>
    </row>
    <row r="118" spans="2:82" ht="20.100000000000001" customHeight="1">
      <c r="B118" s="292" t="str">
        <f t="shared" si="46"/>
        <v>20-25</v>
      </c>
      <c r="C118" s="272">
        <f t="shared" si="47"/>
        <v>20</v>
      </c>
      <c r="D118" s="293">
        <f t="shared" si="48"/>
        <v>25</v>
      </c>
      <c r="E118" s="293">
        <f t="shared" si="49"/>
        <v>33.700000000000003</v>
      </c>
      <c r="F118" s="295">
        <f t="shared" ref="F118:F125" si="52">VLOOKUP(C118,AT$5:AU$25,2,FALSE)</f>
        <v>0.84099999999999997</v>
      </c>
      <c r="G118" s="295">
        <f t="shared" si="50"/>
        <v>0.70699999999999996</v>
      </c>
      <c r="H118" s="275">
        <f t="shared" ref="H118:H125" si="53">(F118*G118)^(1/2)</f>
        <v>0.77109467641788321</v>
      </c>
      <c r="I118" s="276">
        <f t="shared" ref="I118:I125" si="54">(E118/100)/((H118/1000)^2)</f>
        <v>566779.96659866429</v>
      </c>
      <c r="J118" s="907"/>
      <c r="K118" s="925"/>
      <c r="L118" s="908"/>
      <c r="M118" s="442">
        <f t="shared" ref="M118:M125" si="55">$I$78*(H118/1000)*(($G$19/86400)/$I$33)</f>
        <v>0.79764014028662189</v>
      </c>
      <c r="N118" s="922">
        <f t="shared" ref="N118:N125" si="56">150*(1-$I$76)/M118+1.75</f>
        <v>105.1801006596216</v>
      </c>
      <c r="O118" s="923"/>
      <c r="P118" s="278">
        <f t="shared" ref="P118:P125" si="57">N118*(E118/100)/(H118/1000)</f>
        <v>45968.017944249455</v>
      </c>
      <c r="Q118" s="1101"/>
      <c r="R118" s="1102"/>
      <c r="S118" s="279">
        <f t="shared" ref="S118:S125" si="58">(H118/1000)*($G$19/86400)/$I$33</f>
        <v>1.0635201870488293</v>
      </c>
      <c r="T118" s="882">
        <f t="shared" ref="T118:T125" si="59">24/S118+3/(S118^(1/2))+0.34</f>
        <v>25.815598661104239</v>
      </c>
      <c r="U118" s="883"/>
      <c r="V118" s="485">
        <f t="shared" si="51"/>
        <v>11282.475440249793</v>
      </c>
      <c r="W118" s="1085"/>
      <c r="X118" s="1085"/>
      <c r="Y118" s="110"/>
      <c r="Z118" s="48"/>
      <c r="AA118" s="37"/>
      <c r="BU118" s="35"/>
      <c r="BV118" s="35"/>
      <c r="BW118" s="152"/>
      <c r="BX118" s="35"/>
      <c r="BY118" s="174"/>
      <c r="BZ118" s="35"/>
      <c r="CA118" s="36"/>
      <c r="CB118" s="151"/>
      <c r="CC118" s="151"/>
      <c r="CD118" s="296"/>
    </row>
    <row r="119" spans="2:82" ht="20.100000000000001" customHeight="1">
      <c r="B119" s="292" t="str">
        <f t="shared" si="46"/>
        <v>25-30</v>
      </c>
      <c r="C119" s="272">
        <f t="shared" si="47"/>
        <v>25</v>
      </c>
      <c r="D119" s="293">
        <f t="shared" si="48"/>
        <v>30</v>
      </c>
      <c r="E119" s="293">
        <f t="shared" si="49"/>
        <v>33.9</v>
      </c>
      <c r="F119" s="295">
        <f t="shared" si="52"/>
        <v>0.70699999999999996</v>
      </c>
      <c r="G119" s="295">
        <f t="shared" si="50"/>
        <v>0.59499999999999997</v>
      </c>
      <c r="H119" s="275">
        <f t="shared" si="53"/>
        <v>0.64858692555431607</v>
      </c>
      <c r="I119" s="276">
        <f t="shared" si="54"/>
        <v>805866.90121593198</v>
      </c>
      <c r="J119" s="907"/>
      <c r="K119" s="925"/>
      <c r="L119" s="908"/>
      <c r="M119" s="442">
        <f t="shared" si="55"/>
        <v>0.67091497595406735</v>
      </c>
      <c r="N119" s="922">
        <f t="shared" si="56"/>
        <v>124.71640104460595</v>
      </c>
      <c r="O119" s="923"/>
      <c r="P119" s="278">
        <f t="shared" si="57"/>
        <v>65186.111974100771</v>
      </c>
      <c r="Q119" s="1101"/>
      <c r="R119" s="1102"/>
      <c r="S119" s="279">
        <f t="shared" si="58"/>
        <v>0.89455330127208987</v>
      </c>
      <c r="T119" s="882">
        <f t="shared" si="59"/>
        <v>30.340923142156505</v>
      </c>
      <c r="U119" s="883"/>
      <c r="V119" s="485">
        <f t="shared" si="51"/>
        <v>15858.433989245883</v>
      </c>
      <c r="W119" s="1085"/>
      <c r="X119" s="1085"/>
      <c r="Y119" s="110"/>
      <c r="Z119" s="1082"/>
      <c r="AA119" s="1082"/>
      <c r="BU119" s="35"/>
      <c r="BV119" s="35"/>
      <c r="BW119" s="152"/>
      <c r="BX119" s="35"/>
      <c r="BY119" s="174"/>
      <c r="BZ119" s="35"/>
      <c r="CA119" s="36"/>
      <c r="CB119" s="151"/>
      <c r="CC119" s="151"/>
      <c r="CD119" s="296"/>
    </row>
    <row r="120" spans="2:82" ht="20.100000000000001" customHeight="1">
      <c r="B120" s="292" t="str">
        <f t="shared" si="46"/>
        <v>30-35</v>
      </c>
      <c r="C120" s="272">
        <f t="shared" si="47"/>
        <v>30</v>
      </c>
      <c r="D120" s="293">
        <f t="shared" si="48"/>
        <v>35</v>
      </c>
      <c r="E120" s="293">
        <f t="shared" si="49"/>
        <v>6.2</v>
      </c>
      <c r="F120" s="295">
        <f t="shared" si="52"/>
        <v>0.59499999999999997</v>
      </c>
      <c r="G120" s="295">
        <f t="shared" si="50"/>
        <v>0.5</v>
      </c>
      <c r="H120" s="275">
        <f t="shared" si="53"/>
        <v>0.54543560573178573</v>
      </c>
      <c r="I120" s="276">
        <f t="shared" si="54"/>
        <v>208403.36134453781</v>
      </c>
      <c r="J120" s="907"/>
      <c r="K120" s="925"/>
      <c r="L120" s="908"/>
      <c r="M120" s="442">
        <f t="shared" si="55"/>
        <v>0.56421260109626947</v>
      </c>
      <c r="N120" s="922">
        <f t="shared" si="56"/>
        <v>147.97147722277359</v>
      </c>
      <c r="O120" s="923"/>
      <c r="P120" s="278">
        <f t="shared" si="57"/>
        <v>16820.008615871931</v>
      </c>
      <c r="Q120" s="1101"/>
      <c r="R120" s="1102"/>
      <c r="S120" s="279">
        <f t="shared" si="58"/>
        <v>0.75228346812835944</v>
      </c>
      <c r="T120" s="882">
        <f t="shared" si="59"/>
        <v>35.701707940349195</v>
      </c>
      <c r="U120" s="883"/>
      <c r="V120" s="485">
        <f t="shared" si="51"/>
        <v>4058.2350492720243</v>
      </c>
      <c r="W120" s="1085"/>
      <c r="X120" s="1085"/>
      <c r="Y120" s="110"/>
      <c r="Z120" s="48"/>
      <c r="AA120" s="37"/>
      <c r="BU120" s="35"/>
      <c r="BV120" s="35"/>
      <c r="BW120" s="152"/>
      <c r="BX120" s="35"/>
      <c r="BY120" s="174"/>
      <c r="BZ120" s="35"/>
      <c r="CA120" s="36"/>
      <c r="CB120" s="151"/>
      <c r="CC120" s="151"/>
      <c r="CD120" s="296"/>
    </row>
    <row r="121" spans="2:82" ht="20.100000000000001" customHeight="1">
      <c r="B121" s="292" t="str">
        <f t="shared" si="46"/>
        <v>35-40</v>
      </c>
      <c r="C121" s="272">
        <f t="shared" si="47"/>
        <v>35</v>
      </c>
      <c r="D121" s="293">
        <f t="shared" si="48"/>
        <v>40</v>
      </c>
      <c r="E121" s="293">
        <f t="shared" si="49"/>
        <v>3.5</v>
      </c>
      <c r="F121" s="295">
        <f t="shared" si="52"/>
        <v>0.5</v>
      </c>
      <c r="G121" s="295">
        <f t="shared" si="50"/>
        <v>0.4</v>
      </c>
      <c r="H121" s="275">
        <f t="shared" si="53"/>
        <v>0.44721359549995793</v>
      </c>
      <c r="I121" s="276">
        <f t="shared" si="54"/>
        <v>175000</v>
      </c>
      <c r="J121" s="907"/>
      <c r="K121" s="925"/>
      <c r="L121" s="908"/>
      <c r="M121" s="442">
        <f t="shared" si="55"/>
        <v>0.46260923069757309</v>
      </c>
      <c r="N121" s="922">
        <f t="shared" si="56"/>
        <v>180.08625990470927</v>
      </c>
      <c r="O121" s="923"/>
      <c r="P121" s="278">
        <f t="shared" si="57"/>
        <v>14093.979163621865</v>
      </c>
      <c r="Q121" s="1101"/>
      <c r="R121" s="1102"/>
      <c r="S121" s="279">
        <f t="shared" si="58"/>
        <v>0.6168123075967642</v>
      </c>
      <c r="T121" s="882">
        <f t="shared" si="59"/>
        <v>43.069565626271121</v>
      </c>
      <c r="U121" s="883"/>
      <c r="V121" s="485">
        <f t="shared" si="51"/>
        <v>3370.726677560569</v>
      </c>
      <c r="W121" s="1085"/>
      <c r="X121" s="1085"/>
      <c r="Y121" s="110"/>
      <c r="Z121" s="48"/>
      <c r="AA121" s="37"/>
      <c r="BU121" s="35"/>
      <c r="BV121" s="35"/>
      <c r="BW121" s="152"/>
      <c r="BX121" s="35"/>
      <c r="BY121" s="174"/>
      <c r="BZ121" s="35"/>
      <c r="CA121" s="36"/>
      <c r="CB121" s="151"/>
      <c r="CC121" s="151"/>
      <c r="CD121" s="296"/>
    </row>
    <row r="122" spans="2:82" ht="20.100000000000001" customHeight="1">
      <c r="B122" s="292" t="str">
        <f t="shared" si="46"/>
        <v>40-50</v>
      </c>
      <c r="C122" s="272">
        <f t="shared" si="47"/>
        <v>40</v>
      </c>
      <c r="D122" s="293">
        <f t="shared" si="48"/>
        <v>50</v>
      </c>
      <c r="E122" s="293">
        <f t="shared" si="49"/>
        <v>3</v>
      </c>
      <c r="F122" s="295">
        <f t="shared" si="52"/>
        <v>0.4</v>
      </c>
      <c r="G122" s="295">
        <f t="shared" si="50"/>
        <v>0.29699999999999999</v>
      </c>
      <c r="H122" s="275">
        <f t="shared" si="53"/>
        <v>0.34467375879228174</v>
      </c>
      <c r="I122" s="276">
        <f t="shared" si="54"/>
        <v>252525.25252525244</v>
      </c>
      <c r="J122" s="907"/>
      <c r="K122" s="925"/>
      <c r="L122" s="908"/>
      <c r="M122" s="442">
        <f t="shared" si="55"/>
        <v>0.35653938968086074</v>
      </c>
      <c r="N122" s="922">
        <f t="shared" si="56"/>
        <v>233.1409834025518</v>
      </c>
      <c r="O122" s="923"/>
      <c r="P122" s="278">
        <f t="shared" si="57"/>
        <v>20292.317948961234</v>
      </c>
      <c r="Q122" s="1101"/>
      <c r="R122" s="1102"/>
      <c r="S122" s="279">
        <f t="shared" si="58"/>
        <v>0.47538585290781443</v>
      </c>
      <c r="T122" s="882">
        <f t="shared" si="59"/>
        <v>55.176396085932026</v>
      </c>
      <c r="U122" s="883"/>
      <c r="V122" s="485">
        <f t="shared" si="51"/>
        <v>4802.4888473610936</v>
      </c>
      <c r="W122" s="1085"/>
      <c r="X122" s="1085"/>
      <c r="Y122" s="110"/>
      <c r="Z122" s="48"/>
      <c r="AA122" s="37"/>
      <c r="BU122" s="35"/>
      <c r="BV122" s="35"/>
      <c r="BW122" s="152"/>
      <c r="BX122" s="35"/>
      <c r="BY122" s="174"/>
      <c r="BZ122" s="35"/>
      <c r="CA122" s="36"/>
      <c r="CB122" s="151"/>
      <c r="CC122" s="151"/>
      <c r="CD122" s="296"/>
    </row>
    <row r="123" spans="2:82" ht="20.100000000000001" customHeight="1">
      <c r="B123" s="292" t="str">
        <f t="shared" si="46"/>
        <v>50-60</v>
      </c>
      <c r="C123" s="272">
        <f t="shared" si="47"/>
        <v>50</v>
      </c>
      <c r="D123" s="293">
        <f t="shared" si="48"/>
        <v>60</v>
      </c>
      <c r="E123" s="293">
        <f t="shared" si="49"/>
        <v>2</v>
      </c>
      <c r="F123" s="295">
        <f t="shared" si="52"/>
        <v>0.29699999999999999</v>
      </c>
      <c r="G123" s="295">
        <f t="shared" si="50"/>
        <v>0.25</v>
      </c>
      <c r="H123" s="275">
        <f t="shared" si="53"/>
        <v>0.27248853186877425</v>
      </c>
      <c r="I123" s="276">
        <f t="shared" si="54"/>
        <v>269360.26936026936</v>
      </c>
      <c r="J123" s="907"/>
      <c r="K123" s="925"/>
      <c r="L123" s="908"/>
      <c r="M123" s="442">
        <f t="shared" si="55"/>
        <v>0.28186913673946357</v>
      </c>
      <c r="N123" s="922">
        <f t="shared" si="56"/>
        <v>294.43901503131275</v>
      </c>
      <c r="O123" s="923"/>
      <c r="P123" s="278">
        <f t="shared" si="57"/>
        <v>21611.112439264743</v>
      </c>
      <c r="Q123" s="1101"/>
      <c r="R123" s="1102"/>
      <c r="S123" s="279">
        <f t="shared" si="58"/>
        <v>0.37582551565261818</v>
      </c>
      <c r="T123" s="882">
        <f t="shared" si="59"/>
        <v>69.093017587746601</v>
      </c>
      <c r="U123" s="883"/>
      <c r="V123" s="485">
        <f t="shared" si="51"/>
        <v>5071.2605858231573</v>
      </c>
      <c r="W123" s="1085"/>
      <c r="X123" s="1085"/>
      <c r="Y123" s="110"/>
      <c r="Z123" s="48"/>
      <c r="AA123" s="37"/>
      <c r="BU123" s="35"/>
      <c r="BV123" s="35"/>
      <c r="BW123" s="152"/>
      <c r="BX123" s="35"/>
      <c r="BY123" s="174"/>
      <c r="BZ123" s="35"/>
      <c r="CA123" s="36"/>
      <c r="CB123" s="151"/>
      <c r="CC123" s="151"/>
      <c r="CD123" s="296"/>
    </row>
    <row r="124" spans="2:82" ht="20.100000000000001" customHeight="1">
      <c r="B124" s="292" t="str">
        <f t="shared" si="46"/>
        <v>60-70</v>
      </c>
      <c r="C124" s="272">
        <f t="shared" si="47"/>
        <v>60</v>
      </c>
      <c r="D124" s="293">
        <f t="shared" si="48"/>
        <v>70</v>
      </c>
      <c r="E124" s="293">
        <f t="shared" si="49"/>
        <v>1</v>
      </c>
      <c r="F124" s="295">
        <f t="shared" si="52"/>
        <v>0.25</v>
      </c>
      <c r="G124" s="295">
        <f t="shared" si="50"/>
        <v>0.21</v>
      </c>
      <c r="H124" s="275">
        <f t="shared" si="53"/>
        <v>0.229128784747792</v>
      </c>
      <c r="I124" s="276">
        <f t="shared" si="54"/>
        <v>190476.19047619047</v>
      </c>
      <c r="J124" s="907"/>
      <c r="K124" s="925"/>
      <c r="L124" s="908"/>
      <c r="M124" s="442">
        <f t="shared" si="55"/>
        <v>0.23701670054182386</v>
      </c>
      <c r="N124" s="922">
        <f t="shared" si="56"/>
        <v>349.82673810074868</v>
      </c>
      <c r="O124" s="923"/>
      <c r="P124" s="278">
        <f t="shared" si="57"/>
        <v>15267.690547296888</v>
      </c>
      <c r="Q124" s="1101"/>
      <c r="R124" s="1102"/>
      <c r="S124" s="279">
        <f t="shared" si="58"/>
        <v>0.3160222673890985</v>
      </c>
      <c r="T124" s="882">
        <f t="shared" si="59"/>
        <v>81.62058806658419</v>
      </c>
      <c r="U124" s="883"/>
      <c r="V124" s="485">
        <f t="shared" si="51"/>
        <v>3562.2145055422038</v>
      </c>
      <c r="W124" s="1085"/>
      <c r="X124" s="1085"/>
      <c r="Y124" s="110"/>
      <c r="Z124" s="48"/>
      <c r="AA124" s="37"/>
      <c r="BU124" s="35"/>
      <c r="BV124" s="35"/>
      <c r="BW124" s="152"/>
      <c r="BX124" s="35"/>
      <c r="BY124" s="174"/>
      <c r="BZ124" s="35"/>
      <c r="CA124" s="36"/>
      <c r="CB124" s="151"/>
      <c r="CC124" s="151"/>
      <c r="CD124" s="296"/>
    </row>
    <row r="125" spans="2:82" ht="20.100000000000001" customHeight="1">
      <c r="B125" s="292" t="str">
        <f t="shared" si="46"/>
        <v>70-100</v>
      </c>
      <c r="C125" s="272">
        <f t="shared" si="47"/>
        <v>70</v>
      </c>
      <c r="D125" s="293">
        <f t="shared" si="48"/>
        <v>100</v>
      </c>
      <c r="E125" s="293">
        <f t="shared" si="49"/>
        <v>0.49999999999998579</v>
      </c>
      <c r="F125" s="295">
        <f t="shared" si="52"/>
        <v>0.21</v>
      </c>
      <c r="G125" s="295">
        <f t="shared" si="50"/>
        <v>0.14899999999999999</v>
      </c>
      <c r="H125" s="275">
        <f t="shared" si="53"/>
        <v>0.17688979620091147</v>
      </c>
      <c r="I125" s="276">
        <f t="shared" si="54"/>
        <v>159795.46180888012</v>
      </c>
      <c r="J125" s="909"/>
      <c r="K125" s="926"/>
      <c r="L125" s="910"/>
      <c r="M125" s="442">
        <f t="shared" si="55"/>
        <v>0.18297934893341553</v>
      </c>
      <c r="N125" s="922">
        <f t="shared" si="56"/>
        <v>452.62055168187845</v>
      </c>
      <c r="O125" s="923"/>
      <c r="P125" s="278">
        <f t="shared" si="57"/>
        <v>12793.857005968253</v>
      </c>
      <c r="Q125" s="1103"/>
      <c r="R125" s="1104"/>
      <c r="S125" s="279">
        <f t="shared" si="58"/>
        <v>0.24397246524455404</v>
      </c>
      <c r="T125" s="882">
        <f t="shared" si="59"/>
        <v>104.78542191513814</v>
      </c>
      <c r="U125" s="883"/>
      <c r="V125" s="485">
        <f t="shared" si="51"/>
        <v>2961.8842964836663</v>
      </c>
      <c r="W125" s="1085"/>
      <c r="X125" s="1085"/>
      <c r="Y125" s="110"/>
      <c r="Z125" s="48"/>
      <c r="AA125" s="37"/>
      <c r="BU125" s="35"/>
      <c r="BV125" s="35"/>
      <c r="BW125" s="152"/>
      <c r="BX125" s="35"/>
      <c r="BY125" s="174"/>
      <c r="BZ125" s="35"/>
      <c r="CA125" s="36"/>
      <c r="CB125" s="151"/>
      <c r="CC125" s="151"/>
      <c r="CD125" s="296"/>
    </row>
    <row r="126" spans="2:82" ht="20.100000000000001" customHeight="1">
      <c r="B126" s="297"/>
      <c r="C126" s="43"/>
      <c r="D126" s="22"/>
      <c r="E126" s="137">
        <f>SUM(E117:E125)</f>
        <v>100</v>
      </c>
      <c r="F126" s="44"/>
      <c r="G126" s="297"/>
      <c r="H126" s="38"/>
      <c r="I126" s="1095">
        <f>SUM(I117:I125)</f>
        <v>2764822.8813574035</v>
      </c>
      <c r="J126" s="38"/>
      <c r="K126" s="38"/>
      <c r="L126" s="38"/>
      <c r="M126" s="38"/>
      <c r="N126" s="38"/>
      <c r="O126" s="38"/>
      <c r="P126" s="1084">
        <f>SUM(P117:P125)</f>
        <v>223189.12388274242</v>
      </c>
      <c r="Q126" s="297"/>
      <c r="R126" s="38"/>
      <c r="S126" s="38"/>
      <c r="T126" s="38"/>
      <c r="U126" s="38"/>
      <c r="V126" s="1096">
        <f>SUM(V117:V125)</f>
        <v>53759.712211526734</v>
      </c>
      <c r="W126" s="38"/>
      <c r="X126" s="38"/>
      <c r="Y126" s="110"/>
      <c r="Z126" s="48"/>
      <c r="AA126" s="37"/>
      <c r="BU126" s="35"/>
      <c r="BV126" s="35"/>
      <c r="BW126" s="152"/>
      <c r="BX126" s="35"/>
      <c r="BY126" s="174"/>
      <c r="BZ126" s="35"/>
      <c r="CA126" s="36"/>
      <c r="CB126" s="151"/>
      <c r="CC126" s="151"/>
      <c r="CD126" s="296"/>
    </row>
    <row r="127" spans="2:82" ht="20.100000000000001" customHeight="1">
      <c r="B127" s="297"/>
      <c r="C127" s="297"/>
      <c r="D127" s="297"/>
      <c r="E127" s="297"/>
      <c r="F127" s="297"/>
      <c r="G127" s="297"/>
      <c r="H127" s="38"/>
      <c r="I127" s="1084"/>
      <c r="J127" s="38"/>
      <c r="K127" s="38"/>
      <c r="L127" s="38"/>
      <c r="M127" s="38"/>
      <c r="N127" s="38"/>
      <c r="O127" s="38"/>
      <c r="P127" s="1084"/>
      <c r="Q127" s="297"/>
      <c r="R127" s="38"/>
      <c r="S127" s="38"/>
      <c r="T127" s="38"/>
      <c r="U127" s="38"/>
      <c r="V127" s="1097"/>
      <c r="W127" s="38"/>
      <c r="X127" s="38"/>
      <c r="Y127" s="110"/>
      <c r="Z127" s="48"/>
      <c r="AA127" s="37"/>
      <c r="BU127" s="35"/>
      <c r="BV127" s="35"/>
      <c r="BW127" s="152"/>
      <c r="BX127" s="35"/>
      <c r="BY127" s="174"/>
      <c r="BZ127" s="35"/>
      <c r="CA127" s="36"/>
      <c r="CB127" s="151"/>
      <c r="CC127" s="151"/>
      <c r="CD127" s="296"/>
    </row>
    <row r="128" spans="2:82" ht="20.100000000000001" customHeight="1">
      <c r="B128" s="39"/>
      <c r="C128" s="42"/>
      <c r="D128" s="39"/>
      <c r="E128" s="39"/>
      <c r="F128" s="39"/>
      <c r="G128" s="39"/>
      <c r="H128" s="38"/>
      <c r="I128" s="1084"/>
      <c r="J128" s="2"/>
      <c r="K128" s="2"/>
      <c r="L128" s="2"/>
      <c r="M128" s="38"/>
      <c r="N128" s="38"/>
      <c r="O128" s="38"/>
      <c r="P128" s="1084"/>
      <c r="Q128" s="297"/>
      <c r="R128" s="2"/>
      <c r="S128" s="38"/>
      <c r="T128" s="38"/>
      <c r="U128" s="38"/>
      <c r="V128" s="1098"/>
      <c r="W128" s="2"/>
      <c r="X128" s="38"/>
      <c r="Y128" s="110"/>
      <c r="Z128" s="48"/>
      <c r="AA128" s="37"/>
      <c r="BU128" s="35"/>
      <c r="BV128" s="35"/>
      <c r="BW128" s="152"/>
      <c r="BX128" s="35"/>
      <c r="BY128" s="174"/>
      <c r="BZ128" s="35"/>
      <c r="CA128" s="36"/>
      <c r="CB128" s="151"/>
      <c r="CC128" s="151"/>
      <c r="CD128" s="296"/>
    </row>
    <row r="129" spans="2:82" ht="20.100000000000001" customHeight="1">
      <c r="B129" s="39"/>
      <c r="C129" s="42"/>
      <c r="D129" s="39"/>
      <c r="E129" s="39"/>
      <c r="F129" s="39"/>
      <c r="G129" s="39"/>
      <c r="H129" s="38"/>
      <c r="I129" s="433"/>
      <c r="J129" s="2"/>
      <c r="K129" s="2"/>
      <c r="L129" s="2"/>
      <c r="M129" s="38"/>
      <c r="N129" s="38"/>
      <c r="O129" s="38"/>
      <c r="P129" s="433"/>
      <c r="Q129" s="433"/>
      <c r="R129" s="2"/>
      <c r="S129" s="38"/>
      <c r="T129" s="38"/>
      <c r="U129" s="38"/>
      <c r="V129" s="433"/>
      <c r="W129" s="2"/>
      <c r="X129" s="38"/>
      <c r="Y129" s="110"/>
      <c r="Z129" s="48"/>
      <c r="AA129" s="37"/>
      <c r="BU129" s="35"/>
      <c r="BV129" s="35"/>
      <c r="BW129" s="152"/>
      <c r="BX129" s="35"/>
      <c r="BY129" s="174"/>
      <c r="BZ129" s="35"/>
      <c r="CA129" s="36"/>
      <c r="CB129" s="151"/>
      <c r="CC129" s="151"/>
      <c r="CD129" s="435"/>
    </row>
    <row r="130" spans="2:82" ht="20.100000000000001" customHeight="1">
      <c r="B130" s="99" t="s">
        <v>497</v>
      </c>
      <c r="C130" s="32"/>
      <c r="D130" s="32"/>
      <c r="E130" s="32"/>
      <c r="F130" s="32"/>
      <c r="G130" s="32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8"/>
      <c r="Y130" s="110"/>
      <c r="Z130" s="48"/>
      <c r="AA130" s="37"/>
      <c r="BU130" s="35"/>
      <c r="BV130" s="35"/>
      <c r="BW130" s="152"/>
      <c r="BX130" s="35"/>
      <c r="BY130" s="174"/>
      <c r="BZ130" s="35"/>
      <c r="CA130" s="36"/>
      <c r="CB130" s="151"/>
      <c r="CC130" s="151"/>
      <c r="CD130" s="435"/>
    </row>
    <row r="131" spans="2:82" ht="20.100000000000001" customHeight="1">
      <c r="B131" s="1004" t="s">
        <v>84</v>
      </c>
      <c r="C131" s="1007"/>
      <c r="D131" s="1008"/>
      <c r="E131" s="1008" t="s">
        <v>95</v>
      </c>
      <c r="F131" s="1008" t="s">
        <v>96</v>
      </c>
      <c r="G131" s="1008" t="s">
        <v>97</v>
      </c>
      <c r="H131" s="995" t="s">
        <v>99</v>
      </c>
      <c r="I131" s="955" t="s">
        <v>77</v>
      </c>
      <c r="J131" s="956"/>
      <c r="K131" s="956"/>
      <c r="L131" s="957"/>
      <c r="M131" s="955" t="s">
        <v>488</v>
      </c>
      <c r="N131" s="956"/>
      <c r="O131" s="956"/>
      <c r="P131" s="956"/>
      <c r="Q131" s="956"/>
      <c r="R131" s="957"/>
      <c r="S131" s="886" t="s">
        <v>78</v>
      </c>
      <c r="T131" s="886"/>
      <c r="U131" s="886"/>
      <c r="V131" s="886"/>
      <c r="W131" s="886"/>
      <c r="X131" s="886"/>
      <c r="Y131" s="110"/>
      <c r="Z131" s="48"/>
      <c r="AA131" s="37"/>
      <c r="BU131" s="35"/>
      <c r="BV131" s="35"/>
      <c r="BW131" s="152"/>
      <c r="BX131" s="35"/>
      <c r="BY131" s="174"/>
      <c r="BZ131" s="35"/>
      <c r="CA131" s="36"/>
      <c r="CB131" s="151"/>
      <c r="CC131" s="151"/>
      <c r="CD131" s="435"/>
    </row>
    <row r="132" spans="2:82" ht="20.100000000000001" customHeight="1">
      <c r="B132" s="1005"/>
      <c r="C132" s="1007"/>
      <c r="D132" s="1009"/>
      <c r="E132" s="1010"/>
      <c r="F132" s="1010"/>
      <c r="G132" s="1010"/>
      <c r="H132" s="996"/>
      <c r="I132" s="913" t="s">
        <v>495</v>
      </c>
      <c r="J132" s="888"/>
      <c r="K132" s="1001"/>
      <c r="L132" s="477"/>
      <c r="M132" s="887"/>
      <c r="N132" s="888"/>
      <c r="O132" s="889"/>
      <c r="P132" s="913" t="s">
        <v>496</v>
      </c>
      <c r="Q132" s="853"/>
      <c r="R132" s="855"/>
      <c r="S132" s="887"/>
      <c r="T132" s="888"/>
      <c r="U132" s="889"/>
      <c r="V132" s="886" t="s">
        <v>496</v>
      </c>
      <c r="W132" s="887"/>
      <c r="X132" s="887"/>
      <c r="Y132" s="110"/>
      <c r="Z132" s="48"/>
      <c r="AA132" s="37"/>
      <c r="BU132" s="35"/>
      <c r="BV132" s="35"/>
      <c r="BW132" s="152"/>
      <c r="BX132" s="35"/>
      <c r="BY132" s="174"/>
      <c r="BZ132" s="35"/>
      <c r="CA132" s="36"/>
      <c r="CB132" s="151"/>
      <c r="CC132" s="151"/>
      <c r="CD132" s="435"/>
    </row>
    <row r="133" spans="2:82" ht="20.100000000000001" customHeight="1">
      <c r="B133" s="1005"/>
      <c r="C133" s="445"/>
      <c r="D133" s="444"/>
      <c r="E133" s="1010"/>
      <c r="F133" s="1010"/>
      <c r="G133" s="1010"/>
      <c r="H133" s="996"/>
      <c r="I133" s="914"/>
      <c r="J133" s="890"/>
      <c r="K133" s="1002"/>
      <c r="L133" s="443"/>
      <c r="M133" s="887"/>
      <c r="N133" s="890"/>
      <c r="O133" s="891"/>
      <c r="P133" s="914"/>
      <c r="Q133" s="856"/>
      <c r="R133" s="858"/>
      <c r="S133" s="887"/>
      <c r="T133" s="890"/>
      <c r="U133" s="891"/>
      <c r="V133" s="886"/>
      <c r="W133" s="887"/>
      <c r="X133" s="887"/>
      <c r="Y133" s="110"/>
      <c r="Z133" s="48"/>
      <c r="AA133" s="37"/>
      <c r="BU133" s="35"/>
      <c r="BV133" s="35"/>
      <c r="BW133" s="152"/>
      <c r="BX133" s="35"/>
      <c r="BY133" s="174"/>
      <c r="BZ133" s="35"/>
      <c r="CA133" s="36"/>
      <c r="CB133" s="151"/>
      <c r="CC133" s="151"/>
      <c r="CD133" s="435"/>
    </row>
    <row r="134" spans="2:82" ht="20.100000000000001" customHeight="1">
      <c r="B134" s="1006"/>
      <c r="C134" s="445"/>
      <c r="D134" s="444"/>
      <c r="E134" s="1009"/>
      <c r="F134" s="1009"/>
      <c r="G134" s="1009"/>
      <c r="H134" s="997"/>
      <c r="I134" s="915"/>
      <c r="J134" s="892"/>
      <c r="K134" s="1003"/>
      <c r="L134" s="478"/>
      <c r="M134" s="887"/>
      <c r="N134" s="892"/>
      <c r="O134" s="893"/>
      <c r="P134" s="915"/>
      <c r="Q134" s="859"/>
      <c r="R134" s="861"/>
      <c r="S134" s="887"/>
      <c r="T134" s="892"/>
      <c r="U134" s="893"/>
      <c r="V134" s="886"/>
      <c r="W134" s="887"/>
      <c r="X134" s="887"/>
      <c r="Y134" s="110"/>
      <c r="Z134" s="48"/>
      <c r="AA134" s="37"/>
      <c r="BU134" s="35"/>
      <c r="BV134" s="35"/>
      <c r="BW134" s="152"/>
      <c r="BX134" s="35"/>
      <c r="BY134" s="174"/>
      <c r="BZ134" s="35"/>
      <c r="CA134" s="36"/>
      <c r="CB134" s="151"/>
      <c r="CC134" s="151"/>
      <c r="CD134" s="435"/>
    </row>
    <row r="135" spans="2:82" ht="20.100000000000001" customHeight="1">
      <c r="B135" s="446" t="str">
        <f t="shared" ref="B135:B143" si="60">B42</f>
        <v>14-20</v>
      </c>
      <c r="C135" s="272">
        <f t="shared" ref="C135:C143" si="61">LEFT(B135,2)+0</f>
        <v>14</v>
      </c>
      <c r="D135" s="448">
        <f t="shared" ref="D135:D143" si="62">MID(B135,4,3)+0</f>
        <v>20</v>
      </c>
      <c r="E135" s="479">
        <f t="shared" ref="E135:E143" si="63">E42</f>
        <v>16.2</v>
      </c>
      <c r="F135" s="275">
        <f>VLOOKUP(C135,AT$5:AU$25,2,FALSE)</f>
        <v>1.41</v>
      </c>
      <c r="G135" s="447">
        <f t="shared" ref="G135:G143" si="64">VLOOKUP(D117,AT$5:AU$25,2,FALSE)</f>
        <v>0.84099999999999997</v>
      </c>
      <c r="H135" s="275">
        <f>(F135*G135)^(1/2)</f>
        <v>1.0889490346200781</v>
      </c>
      <c r="I135" s="439">
        <f>(E135/100)/((H135/1000)^2)</f>
        <v>136615.47802767725</v>
      </c>
      <c r="J135" s="905" t="str">
        <f>ROUND((I77*I33*((1-I76)^2)/(I76^3)*((I74*($G$20/86400))/9.806)*((6/$I$78)^2)*I144),3)&amp;" m"</f>
        <v>0,335 m</v>
      </c>
      <c r="K135" s="924"/>
      <c r="L135" s="906"/>
      <c r="M135" s="447">
        <f>$I$78*(H135/1000)*(($G$20/86400)/$I$33)</f>
        <v>1.4080460663636809</v>
      </c>
      <c r="N135" s="911">
        <f>150*(1-$I$76)/M135+1.75</f>
        <v>60.341833016556485</v>
      </c>
      <c r="O135" s="912"/>
      <c r="P135" s="483">
        <f>N135*(E135/100)/(H135/1000)</f>
        <v>8976.8911472451673</v>
      </c>
      <c r="Q135" s="905" t="str">
        <f>ROUND((1/$I$78)*(1-I76)/(I76^3)*(I74*(($G$20/86400)^2)/9.806)*P144,3)&amp; " m"</f>
        <v>0,284 m</v>
      </c>
      <c r="R135" s="906"/>
      <c r="S135" s="483">
        <f>(H135/1000)*($G$20/86400)/$I$33</f>
        <v>1.8773947551515744</v>
      </c>
      <c r="T135" s="894">
        <f>24/S135+3/(S135^(1/2))+0.34</f>
        <v>15.313165121449025</v>
      </c>
      <c r="U135" s="895"/>
      <c r="V135" s="483">
        <f>T135*(E135/100)/(H135/1000)</f>
        <v>2278.0981210385489</v>
      </c>
      <c r="W135" s="800" t="str">
        <f>ROUND(1.067*(($G$20/86400)^2)*I74/(9.806*$I$79*(I76^4))*V144,3)&amp;" m"</f>
        <v>0,251 m</v>
      </c>
      <c r="X135" s="800"/>
      <c r="Y135" s="110"/>
      <c r="Z135" s="48"/>
      <c r="AA135" s="37"/>
      <c r="BU135" s="35"/>
      <c r="BV135" s="35"/>
      <c r="BW135" s="152"/>
      <c r="BX135" s="35"/>
      <c r="BY135" s="174"/>
      <c r="BZ135" s="35"/>
      <c r="CA135" s="36"/>
      <c r="CB135" s="151"/>
      <c r="CC135" s="151"/>
      <c r="CD135" s="435"/>
    </row>
    <row r="136" spans="2:82" ht="20.100000000000001" customHeight="1">
      <c r="B136" s="446" t="str">
        <f t="shared" si="60"/>
        <v>20-25</v>
      </c>
      <c r="C136" s="272">
        <f t="shared" si="61"/>
        <v>20</v>
      </c>
      <c r="D136" s="448">
        <f t="shared" si="62"/>
        <v>25</v>
      </c>
      <c r="E136" s="479">
        <f t="shared" si="63"/>
        <v>33.700000000000003</v>
      </c>
      <c r="F136" s="275">
        <f t="shared" ref="F136:F143" si="65">VLOOKUP(C136,AT$5:AU$25,2,FALSE)</f>
        <v>0.84099999999999997</v>
      </c>
      <c r="G136" s="447">
        <f t="shared" si="64"/>
        <v>0.70699999999999996</v>
      </c>
      <c r="H136" s="275">
        <f t="shared" ref="H136:H143" si="66">(F136*G136)^(1/2)</f>
        <v>0.77109467641788321</v>
      </c>
      <c r="I136" s="439">
        <f t="shared" ref="I136:I143" si="67">(E136/100)/((H136/1000)^2)</f>
        <v>566779.96659866429</v>
      </c>
      <c r="J136" s="907"/>
      <c r="K136" s="925"/>
      <c r="L136" s="908"/>
      <c r="M136" s="447">
        <f t="shared" ref="M136:M143" si="68">$I$78*(H136/1000)*(($G$20/86400)/$I$33)</f>
        <v>0.99705017535827734</v>
      </c>
      <c r="N136" s="911">
        <f t="shared" ref="N136:N143" si="69">150*(1-$I$76)/M136+1.75</f>
        <v>84.494080527697292</v>
      </c>
      <c r="O136" s="912"/>
      <c r="P136" s="483">
        <f t="shared" ref="P136:P143" si="70">N136*(E136/100)/(H136/1000)</f>
        <v>36927.378710630153</v>
      </c>
      <c r="Q136" s="907"/>
      <c r="R136" s="908"/>
      <c r="S136" s="483">
        <f t="shared" ref="S136:S143" si="71">(H136/1000)*($G$20/86400)/$I$33</f>
        <v>1.3294002338110364</v>
      </c>
      <c r="T136" s="894">
        <f t="shared" ref="T136:T143" si="72">24/S136+3/(S136^(1/2))+0.34</f>
        <v>20.995170577828702</v>
      </c>
      <c r="U136" s="895"/>
      <c r="V136" s="483">
        <f t="shared" ref="V136:V143" si="73">T136*(E136/100)/(H136/1000)</f>
        <v>9175.7506582679107</v>
      </c>
      <c r="W136" s="800"/>
      <c r="X136" s="800"/>
      <c r="Y136" s="110"/>
      <c r="Z136" s="48"/>
      <c r="AA136" s="37"/>
      <c r="BU136" s="35"/>
      <c r="BV136" s="35"/>
      <c r="BW136" s="152"/>
      <c r="BX136" s="35"/>
      <c r="BY136" s="174"/>
      <c r="BZ136" s="35"/>
      <c r="CA136" s="36"/>
      <c r="CB136" s="151"/>
      <c r="CC136" s="151"/>
      <c r="CD136" s="435"/>
    </row>
    <row r="137" spans="2:82" ht="20.100000000000001" customHeight="1">
      <c r="B137" s="446" t="str">
        <f t="shared" si="60"/>
        <v>25-30</v>
      </c>
      <c r="C137" s="272">
        <f t="shared" si="61"/>
        <v>25</v>
      </c>
      <c r="D137" s="448">
        <f t="shared" si="62"/>
        <v>30</v>
      </c>
      <c r="E137" s="479">
        <f t="shared" si="63"/>
        <v>33.9</v>
      </c>
      <c r="F137" s="275">
        <f t="shared" si="65"/>
        <v>0.70699999999999996</v>
      </c>
      <c r="G137" s="447">
        <f t="shared" si="64"/>
        <v>0.59499999999999997</v>
      </c>
      <c r="H137" s="275">
        <f t="shared" si="66"/>
        <v>0.64858692555431607</v>
      </c>
      <c r="I137" s="439">
        <f t="shared" si="67"/>
        <v>805866.90121593198</v>
      </c>
      <c r="J137" s="907"/>
      <c r="K137" s="925"/>
      <c r="L137" s="908"/>
      <c r="M137" s="447">
        <f t="shared" si="68"/>
        <v>0.83864371994258424</v>
      </c>
      <c r="N137" s="911">
        <f t="shared" si="69"/>
        <v>100.12312083568474</v>
      </c>
      <c r="O137" s="912"/>
      <c r="P137" s="483">
        <f t="shared" si="70"/>
        <v>52331.825736833576</v>
      </c>
      <c r="Q137" s="907"/>
      <c r="R137" s="908"/>
      <c r="S137" s="483">
        <f t="shared" si="71"/>
        <v>1.1181916265901124</v>
      </c>
      <c r="T137" s="894">
        <f t="shared" si="72"/>
        <v>24.640251194240957</v>
      </c>
      <c r="U137" s="895"/>
      <c r="V137" s="483">
        <f t="shared" si="73"/>
        <v>12878.836784612544</v>
      </c>
      <c r="W137" s="800"/>
      <c r="X137" s="800"/>
      <c r="Y137" s="110"/>
      <c r="Z137" s="48"/>
      <c r="AA137" s="37"/>
      <c r="BU137" s="35"/>
      <c r="BV137" s="35"/>
      <c r="BW137" s="152"/>
      <c r="BX137" s="35"/>
      <c r="BY137" s="174"/>
      <c r="BZ137" s="35"/>
      <c r="CA137" s="36"/>
      <c r="CB137" s="151"/>
      <c r="CC137" s="151"/>
      <c r="CD137" s="435"/>
    </row>
    <row r="138" spans="2:82" ht="20.100000000000001" customHeight="1">
      <c r="B138" s="446" t="str">
        <f t="shared" si="60"/>
        <v>30-35</v>
      </c>
      <c r="C138" s="272">
        <f t="shared" si="61"/>
        <v>30</v>
      </c>
      <c r="D138" s="448">
        <f t="shared" si="62"/>
        <v>35</v>
      </c>
      <c r="E138" s="479">
        <f t="shared" si="63"/>
        <v>6.2</v>
      </c>
      <c r="F138" s="275">
        <f t="shared" si="65"/>
        <v>0.59499999999999997</v>
      </c>
      <c r="G138" s="447">
        <f t="shared" si="64"/>
        <v>0.5</v>
      </c>
      <c r="H138" s="275">
        <f t="shared" si="66"/>
        <v>0.54543560573178573</v>
      </c>
      <c r="I138" s="439">
        <f t="shared" si="67"/>
        <v>208403.36134453781</v>
      </c>
      <c r="J138" s="907"/>
      <c r="K138" s="925"/>
      <c r="L138" s="908"/>
      <c r="M138" s="447">
        <f t="shared" si="68"/>
        <v>0.70526575137033687</v>
      </c>
      <c r="N138" s="911">
        <f t="shared" si="69"/>
        <v>118.72718177821885</v>
      </c>
      <c r="O138" s="912"/>
      <c r="P138" s="483">
        <f t="shared" si="70"/>
        <v>13495.791607468567</v>
      </c>
      <c r="Q138" s="907"/>
      <c r="R138" s="908"/>
      <c r="S138" s="483">
        <f t="shared" si="71"/>
        <v>0.9403543351604492</v>
      </c>
      <c r="T138" s="894">
        <f t="shared" si="72"/>
        <v>28.955974914844926</v>
      </c>
      <c r="U138" s="895"/>
      <c r="V138" s="483">
        <f t="shared" si="73"/>
        <v>3291.4434368686912</v>
      </c>
      <c r="W138" s="800"/>
      <c r="X138" s="800"/>
      <c r="Y138" s="110"/>
      <c r="Z138" s="48"/>
      <c r="AA138" s="37"/>
      <c r="BU138" s="35"/>
      <c r="BV138" s="35"/>
      <c r="BW138" s="152"/>
      <c r="BX138" s="35"/>
      <c r="BY138" s="174"/>
      <c r="BZ138" s="35"/>
      <c r="CA138" s="36"/>
      <c r="CB138" s="151"/>
      <c r="CC138" s="151"/>
      <c r="CD138" s="435"/>
    </row>
    <row r="139" spans="2:82" ht="20.100000000000001" customHeight="1">
      <c r="B139" s="446" t="str">
        <f t="shared" si="60"/>
        <v>35-40</v>
      </c>
      <c r="C139" s="272">
        <f t="shared" si="61"/>
        <v>35</v>
      </c>
      <c r="D139" s="448">
        <f t="shared" si="62"/>
        <v>40</v>
      </c>
      <c r="E139" s="479">
        <f t="shared" si="63"/>
        <v>3.5</v>
      </c>
      <c r="F139" s="275">
        <f t="shared" si="65"/>
        <v>0.5</v>
      </c>
      <c r="G139" s="447">
        <f t="shared" si="64"/>
        <v>0.4</v>
      </c>
      <c r="H139" s="275">
        <f t="shared" si="66"/>
        <v>0.44721359549995793</v>
      </c>
      <c r="I139" s="439">
        <f t="shared" si="67"/>
        <v>175000</v>
      </c>
      <c r="J139" s="907"/>
      <c r="K139" s="925"/>
      <c r="L139" s="908"/>
      <c r="M139" s="447">
        <f t="shared" si="68"/>
        <v>0.57826153837196637</v>
      </c>
      <c r="N139" s="911">
        <f t="shared" si="69"/>
        <v>144.4190079237674</v>
      </c>
      <c r="O139" s="912"/>
      <c r="P139" s="483">
        <f t="shared" si="70"/>
        <v>11302.575163621865</v>
      </c>
      <c r="Q139" s="907"/>
      <c r="R139" s="908"/>
      <c r="S139" s="483">
        <f t="shared" si="71"/>
        <v>0.7710153844959553</v>
      </c>
      <c r="T139" s="894">
        <f t="shared" si="72"/>
        <v>34.884348902756031</v>
      </c>
      <c r="U139" s="895"/>
      <c r="V139" s="483">
        <f t="shared" si="73"/>
        <v>2730.1321424083944</v>
      </c>
      <c r="W139" s="800"/>
      <c r="X139" s="800"/>
      <c r="Y139" s="110"/>
      <c r="Z139" s="48"/>
      <c r="AA139" s="37"/>
      <c r="BU139" s="35"/>
      <c r="BV139" s="35"/>
      <c r="BW139" s="152"/>
      <c r="BX139" s="35"/>
      <c r="BY139" s="174"/>
      <c r="BZ139" s="35"/>
      <c r="CA139" s="36"/>
      <c r="CB139" s="151"/>
      <c r="CC139" s="151"/>
      <c r="CD139" s="435"/>
    </row>
    <row r="140" spans="2:82" ht="20.100000000000001" customHeight="1">
      <c r="B140" s="446" t="str">
        <f t="shared" si="60"/>
        <v>40-50</v>
      </c>
      <c r="C140" s="272">
        <f t="shared" si="61"/>
        <v>40</v>
      </c>
      <c r="D140" s="448">
        <f t="shared" si="62"/>
        <v>50</v>
      </c>
      <c r="E140" s="479">
        <f t="shared" si="63"/>
        <v>3</v>
      </c>
      <c r="F140" s="275">
        <f t="shared" si="65"/>
        <v>0.4</v>
      </c>
      <c r="G140" s="447">
        <f t="shared" si="64"/>
        <v>0.29699999999999999</v>
      </c>
      <c r="H140" s="275">
        <f t="shared" si="66"/>
        <v>0.34467375879228174</v>
      </c>
      <c r="I140" s="439">
        <f t="shared" si="67"/>
        <v>252525.25252525244</v>
      </c>
      <c r="J140" s="907"/>
      <c r="K140" s="925"/>
      <c r="L140" s="908"/>
      <c r="M140" s="447">
        <f t="shared" si="68"/>
        <v>0.44567423710107595</v>
      </c>
      <c r="N140" s="911">
        <f t="shared" si="69"/>
        <v>186.86278672204145</v>
      </c>
      <c r="O140" s="912"/>
      <c r="P140" s="483">
        <f t="shared" si="70"/>
        <v>16264.317948961234</v>
      </c>
      <c r="Q140" s="907"/>
      <c r="R140" s="908"/>
      <c r="S140" s="483">
        <f t="shared" si="71"/>
        <v>0.5942323161347679</v>
      </c>
      <c r="T140" s="894">
        <f t="shared" si="72"/>
        <v>44.619978133427459</v>
      </c>
      <c r="U140" s="895"/>
      <c r="V140" s="483">
        <f t="shared" si="73"/>
        <v>3883.670601130772</v>
      </c>
      <c r="W140" s="800"/>
      <c r="X140" s="800"/>
      <c r="Y140" s="110"/>
      <c r="Z140" s="48"/>
      <c r="AA140" s="37"/>
      <c r="BU140" s="35"/>
      <c r="BV140" s="35"/>
      <c r="BW140" s="152"/>
      <c r="BX140" s="35"/>
      <c r="BY140" s="174"/>
      <c r="BZ140" s="35"/>
      <c r="CA140" s="36"/>
      <c r="CB140" s="151"/>
      <c r="CC140" s="151"/>
      <c r="CD140" s="435"/>
    </row>
    <row r="141" spans="2:82" ht="20.100000000000001" customHeight="1">
      <c r="B141" s="446" t="str">
        <f t="shared" si="60"/>
        <v>50-60</v>
      </c>
      <c r="C141" s="272">
        <f t="shared" si="61"/>
        <v>50</v>
      </c>
      <c r="D141" s="448">
        <f t="shared" si="62"/>
        <v>60</v>
      </c>
      <c r="E141" s="479">
        <f t="shared" si="63"/>
        <v>2</v>
      </c>
      <c r="F141" s="275">
        <f t="shared" si="65"/>
        <v>0.29699999999999999</v>
      </c>
      <c r="G141" s="447">
        <f t="shared" si="64"/>
        <v>0.25</v>
      </c>
      <c r="H141" s="275">
        <f t="shared" si="66"/>
        <v>0.27248853186877425</v>
      </c>
      <c r="I141" s="439">
        <f t="shared" si="67"/>
        <v>269360.26936026936</v>
      </c>
      <c r="J141" s="907"/>
      <c r="K141" s="925"/>
      <c r="L141" s="908"/>
      <c r="M141" s="447">
        <f t="shared" si="68"/>
        <v>0.35233642092432949</v>
      </c>
      <c r="N141" s="911">
        <f t="shared" si="69"/>
        <v>235.90121202505017</v>
      </c>
      <c r="O141" s="912"/>
      <c r="P141" s="483">
        <f t="shared" si="70"/>
        <v>17314.579105931411</v>
      </c>
      <c r="Q141" s="907"/>
      <c r="R141" s="908"/>
      <c r="S141" s="483">
        <f t="shared" si="71"/>
        <v>0.46978189456577263</v>
      </c>
      <c r="T141" s="894">
        <f t="shared" si="72"/>
        <v>55.804502606298414</v>
      </c>
      <c r="U141" s="895"/>
      <c r="V141" s="483">
        <f t="shared" si="73"/>
        <v>4095.9156866956064</v>
      </c>
      <c r="W141" s="800"/>
      <c r="X141" s="800"/>
      <c r="Y141" s="110"/>
      <c r="Z141" s="48"/>
      <c r="AA141" s="37"/>
      <c r="BU141" s="35"/>
      <c r="BV141" s="35"/>
      <c r="BW141" s="152"/>
      <c r="BX141" s="35"/>
      <c r="BY141" s="174"/>
      <c r="BZ141" s="35"/>
      <c r="CA141" s="36"/>
      <c r="CB141" s="151"/>
      <c r="CC141" s="151"/>
      <c r="CD141" s="435"/>
    </row>
    <row r="142" spans="2:82" ht="20.100000000000001" customHeight="1">
      <c r="B142" s="446" t="str">
        <f t="shared" si="60"/>
        <v>60-70</v>
      </c>
      <c r="C142" s="272">
        <f t="shared" si="61"/>
        <v>60</v>
      </c>
      <c r="D142" s="448">
        <f t="shared" si="62"/>
        <v>70</v>
      </c>
      <c r="E142" s="479">
        <f t="shared" si="63"/>
        <v>1</v>
      </c>
      <c r="F142" s="275">
        <f t="shared" si="65"/>
        <v>0.25</v>
      </c>
      <c r="G142" s="447">
        <f t="shared" si="64"/>
        <v>0.21</v>
      </c>
      <c r="H142" s="275">
        <f t="shared" si="66"/>
        <v>0.229128784747792</v>
      </c>
      <c r="I142" s="439">
        <f t="shared" si="67"/>
        <v>190476.19047619047</v>
      </c>
      <c r="J142" s="907"/>
      <c r="K142" s="925"/>
      <c r="L142" s="908"/>
      <c r="M142" s="447">
        <f t="shared" si="68"/>
        <v>0.29627087567727983</v>
      </c>
      <c r="N142" s="911">
        <f t="shared" si="69"/>
        <v>280.21139048059894</v>
      </c>
      <c r="O142" s="912"/>
      <c r="P142" s="483">
        <f t="shared" si="70"/>
        <v>12229.427690154029</v>
      </c>
      <c r="Q142" s="907"/>
      <c r="R142" s="908"/>
      <c r="S142" s="483">
        <f t="shared" si="71"/>
        <v>0.39502783423637311</v>
      </c>
      <c r="T142" s="894">
        <f t="shared" si="72"/>
        <v>65.868388002212441</v>
      </c>
      <c r="U142" s="895"/>
      <c r="V142" s="483">
        <f t="shared" si="73"/>
        <v>2874.7321326177102</v>
      </c>
      <c r="W142" s="800"/>
      <c r="X142" s="800"/>
      <c r="Y142" s="110"/>
      <c r="Z142" s="48"/>
      <c r="AA142" s="37"/>
      <c r="BU142" s="35"/>
      <c r="BV142" s="35"/>
      <c r="BW142" s="152"/>
      <c r="BX142" s="35"/>
      <c r="BY142" s="174"/>
      <c r="BZ142" s="35"/>
      <c r="CA142" s="36"/>
      <c r="CB142" s="151"/>
      <c r="CC142" s="151"/>
      <c r="CD142" s="435"/>
    </row>
    <row r="143" spans="2:82" ht="20.100000000000001" customHeight="1">
      <c r="B143" s="446" t="str">
        <f t="shared" si="60"/>
        <v>70-100</v>
      </c>
      <c r="C143" s="272">
        <f t="shared" si="61"/>
        <v>70</v>
      </c>
      <c r="D143" s="448">
        <f t="shared" si="62"/>
        <v>100</v>
      </c>
      <c r="E143" s="479">
        <f t="shared" si="63"/>
        <v>0.49999999999998579</v>
      </c>
      <c r="F143" s="275">
        <f t="shared" si="65"/>
        <v>0.21</v>
      </c>
      <c r="G143" s="447">
        <f t="shared" si="64"/>
        <v>0.14899999999999999</v>
      </c>
      <c r="H143" s="275">
        <f t="shared" si="66"/>
        <v>0.17688979620091147</v>
      </c>
      <c r="I143" s="439">
        <f t="shared" si="67"/>
        <v>159795.46180888012</v>
      </c>
      <c r="J143" s="909"/>
      <c r="K143" s="926"/>
      <c r="L143" s="910"/>
      <c r="M143" s="447">
        <f t="shared" si="68"/>
        <v>0.2287241861667694</v>
      </c>
      <c r="N143" s="911">
        <f t="shared" si="69"/>
        <v>362.44644134550282</v>
      </c>
      <c r="O143" s="912"/>
      <c r="P143" s="483">
        <f t="shared" si="70"/>
        <v>10244.978770110227</v>
      </c>
      <c r="Q143" s="909"/>
      <c r="R143" s="910"/>
      <c r="S143" s="483">
        <f t="shared" si="71"/>
        <v>0.30496558155569253</v>
      </c>
      <c r="T143" s="894">
        <f t="shared" si="72"/>
        <v>84.469856674561228</v>
      </c>
      <c r="U143" s="895"/>
      <c r="V143" s="483">
        <f t="shared" si="73"/>
        <v>2387.6407370218785</v>
      </c>
      <c r="W143" s="800"/>
      <c r="X143" s="800"/>
      <c r="Y143" s="110"/>
      <c r="Z143" s="48"/>
      <c r="AA143" s="37"/>
      <c r="BU143" s="35"/>
      <c r="BV143" s="35"/>
      <c r="BW143" s="152"/>
      <c r="BX143" s="35"/>
      <c r="BY143" s="174"/>
      <c r="BZ143" s="35"/>
      <c r="CA143" s="36"/>
      <c r="CB143" s="151"/>
      <c r="CC143" s="151"/>
      <c r="CD143" s="435"/>
    </row>
    <row r="144" spans="2:82" ht="20.100000000000001" customHeight="1">
      <c r="B144" s="110"/>
      <c r="C144" s="480"/>
      <c r="D144" s="110"/>
      <c r="E144" s="19">
        <f>SUM(E135:E143)</f>
        <v>100</v>
      </c>
      <c r="F144" s="100"/>
      <c r="G144" s="110"/>
      <c r="H144" s="51"/>
      <c r="I144" s="1039">
        <f>SUM(I135:I143)</f>
        <v>2764822.8813574035</v>
      </c>
      <c r="J144" s="51"/>
      <c r="K144" s="51"/>
      <c r="L144" s="51"/>
      <c r="M144" s="455"/>
      <c r="N144" s="455"/>
      <c r="O144" s="455"/>
      <c r="P144" s="902">
        <f>SUM(P135:P143)</f>
        <v>179087.76588095623</v>
      </c>
      <c r="Q144" s="454"/>
      <c r="R144" s="455"/>
      <c r="S144" s="455"/>
      <c r="T144" s="455"/>
      <c r="U144" s="455"/>
      <c r="V144" s="903">
        <f>SUM(V135:V143)</f>
        <v>43596.220300662055</v>
      </c>
      <c r="W144" s="455"/>
      <c r="X144" s="38"/>
      <c r="Y144" s="110"/>
      <c r="Z144" s="48"/>
      <c r="AA144" s="37"/>
      <c r="BU144" s="35"/>
      <c r="BV144" s="35"/>
      <c r="BW144" s="152"/>
      <c r="BX144" s="35"/>
      <c r="BY144" s="174"/>
      <c r="BZ144" s="35"/>
      <c r="CA144" s="36"/>
      <c r="CB144" s="151"/>
      <c r="CC144" s="151"/>
      <c r="CD144" s="435"/>
    </row>
    <row r="145" spans="2:82" ht="20.100000000000001" customHeight="1">
      <c r="B145" s="110"/>
      <c r="C145" s="110"/>
      <c r="D145" s="110"/>
      <c r="E145" s="110"/>
      <c r="F145" s="110"/>
      <c r="G145" s="110"/>
      <c r="H145" s="51"/>
      <c r="I145" s="959"/>
      <c r="J145" s="51"/>
      <c r="K145" s="51"/>
      <c r="L145" s="51"/>
      <c r="M145" s="455"/>
      <c r="N145" s="455"/>
      <c r="O145" s="455"/>
      <c r="P145" s="902"/>
      <c r="Q145" s="454"/>
      <c r="R145" s="455"/>
      <c r="S145" s="455"/>
      <c r="T145" s="455"/>
      <c r="U145" s="455"/>
      <c r="V145" s="903"/>
      <c r="W145" s="455"/>
      <c r="X145" s="38"/>
      <c r="Y145" s="110"/>
      <c r="Z145" s="48"/>
      <c r="AA145" s="37"/>
      <c r="BU145" s="35"/>
      <c r="BV145" s="35"/>
      <c r="BW145" s="152"/>
      <c r="BX145" s="35"/>
      <c r="BY145" s="174"/>
      <c r="BZ145" s="35"/>
      <c r="CA145" s="36"/>
      <c r="CB145" s="151"/>
      <c r="CC145" s="151"/>
      <c r="CD145" s="435"/>
    </row>
    <row r="146" spans="2:82" ht="20.100000000000001" customHeight="1">
      <c r="B146" s="481"/>
      <c r="C146" s="482"/>
      <c r="D146" s="481"/>
      <c r="E146" s="481"/>
      <c r="F146" s="481"/>
      <c r="G146" s="481"/>
      <c r="H146" s="51"/>
      <c r="I146" s="959"/>
      <c r="J146" s="76"/>
      <c r="K146" s="76"/>
      <c r="L146" s="76"/>
      <c r="M146" s="455"/>
      <c r="N146" s="455"/>
      <c r="O146" s="455"/>
      <c r="P146" s="902"/>
      <c r="Q146" s="454"/>
      <c r="R146" s="456"/>
      <c r="S146" s="455"/>
      <c r="T146" s="455"/>
      <c r="U146" s="455"/>
      <c r="V146" s="904"/>
      <c r="W146" s="456"/>
      <c r="X146" s="38"/>
      <c r="Y146" s="110"/>
      <c r="Z146" s="48"/>
      <c r="AA146" s="37"/>
      <c r="BU146" s="35"/>
      <c r="BV146" s="35"/>
      <c r="BW146" s="152"/>
      <c r="BX146" s="35"/>
      <c r="BY146" s="174"/>
      <c r="BZ146" s="35"/>
      <c r="CA146" s="36"/>
      <c r="CB146" s="151"/>
      <c r="CC146" s="151"/>
      <c r="CD146" s="435"/>
    </row>
    <row r="147" spans="2:82" ht="20.100000000000001" customHeight="1">
      <c r="B147" s="39"/>
      <c r="C147" s="42"/>
      <c r="D147" s="39"/>
      <c r="E147" s="39"/>
      <c r="F147" s="39"/>
      <c r="G147" s="39"/>
      <c r="H147" s="38"/>
      <c r="I147" s="454"/>
      <c r="J147" s="2"/>
      <c r="K147" s="2"/>
      <c r="L147" s="2"/>
      <c r="M147" s="38"/>
      <c r="N147" s="38"/>
      <c r="O147" s="38"/>
      <c r="P147" s="433"/>
      <c r="Q147" s="433"/>
      <c r="R147" s="2"/>
      <c r="S147" s="38"/>
      <c r="T147" s="38"/>
      <c r="U147" s="38"/>
      <c r="V147" s="433"/>
      <c r="W147" s="2"/>
      <c r="X147" s="38"/>
      <c r="Y147" s="110"/>
      <c r="Z147" s="48"/>
      <c r="AA147" s="37"/>
      <c r="BU147" s="35"/>
      <c r="BV147" s="35"/>
      <c r="BW147" s="152"/>
      <c r="BX147" s="35"/>
      <c r="BY147" s="174"/>
      <c r="BZ147" s="35"/>
      <c r="CA147" s="36"/>
      <c r="CB147" s="151"/>
      <c r="CC147" s="151"/>
      <c r="CD147" s="435"/>
    </row>
    <row r="148" spans="2:82" ht="20.100000000000001" customHeight="1">
      <c r="B148" s="33" t="s">
        <v>489</v>
      </c>
      <c r="C148" s="42"/>
      <c r="D148" s="39"/>
      <c r="E148" s="39"/>
      <c r="F148" s="39"/>
      <c r="G148" s="39"/>
      <c r="H148" s="38"/>
      <c r="I148" s="433"/>
      <c r="J148" s="2"/>
      <c r="K148" s="2"/>
      <c r="L148" s="2"/>
      <c r="M148" s="38"/>
      <c r="N148" s="38"/>
      <c r="O148" s="38"/>
      <c r="P148" s="433"/>
      <c r="Q148" s="433"/>
      <c r="R148" s="2"/>
      <c r="S148" s="38"/>
      <c r="T148" s="38"/>
      <c r="U148" s="38"/>
      <c r="V148" s="433"/>
      <c r="W148" s="2"/>
      <c r="X148" s="38"/>
      <c r="Y148" s="110"/>
      <c r="Z148" s="48"/>
      <c r="AA148" s="37"/>
      <c r="BU148" s="35"/>
      <c r="BV148" s="35"/>
      <c r="BW148" s="152"/>
      <c r="BX148" s="35"/>
      <c r="BY148" s="174"/>
      <c r="BZ148" s="35"/>
      <c r="CA148" s="36"/>
      <c r="CB148" s="151"/>
      <c r="CC148" s="151"/>
      <c r="CD148" s="435"/>
    </row>
    <row r="149" spans="2:82" ht="20.100000000000001" customHeight="1">
      <c r="B149" s="802" t="s">
        <v>225</v>
      </c>
      <c r="C149" s="802"/>
      <c r="D149" s="802"/>
      <c r="E149" s="802"/>
      <c r="F149" s="802"/>
      <c r="G149" s="802"/>
      <c r="H149" s="438" t="s">
        <v>492</v>
      </c>
      <c r="I149" s="437">
        <f>G19</f>
        <v>120</v>
      </c>
      <c r="J149" s="449" t="s">
        <v>231</v>
      </c>
      <c r="K149" s="877"/>
      <c r="L149" s="878"/>
      <c r="M149" s="878"/>
      <c r="N149" s="879"/>
      <c r="O149" s="38"/>
      <c r="P149" s="433"/>
      <c r="Q149" s="433"/>
      <c r="R149" s="2"/>
      <c r="S149" s="38"/>
      <c r="T149" s="38"/>
      <c r="U149" s="38"/>
      <c r="V149" s="433"/>
      <c r="W149" s="2"/>
      <c r="X149" s="38"/>
      <c r="Y149" s="110"/>
      <c r="Z149" s="48"/>
      <c r="AA149" s="37"/>
      <c r="BU149" s="35"/>
      <c r="BV149" s="35"/>
      <c r="BW149" s="152"/>
      <c r="BX149" s="35"/>
      <c r="BY149" s="174"/>
      <c r="BZ149" s="35"/>
      <c r="CA149" s="36"/>
      <c r="CB149" s="151"/>
      <c r="CC149" s="151"/>
      <c r="CD149" s="435"/>
    </row>
    <row r="150" spans="2:82" ht="20.100000000000001" customHeight="1">
      <c r="B150" s="802" t="s">
        <v>226</v>
      </c>
      <c r="C150" s="802"/>
      <c r="D150" s="802"/>
      <c r="E150" s="802"/>
      <c r="F150" s="802"/>
      <c r="G150" s="802"/>
      <c r="H150" s="438" t="s">
        <v>493</v>
      </c>
      <c r="I150" s="437">
        <f>G20</f>
        <v>150</v>
      </c>
      <c r="J150" s="449" t="s">
        <v>231</v>
      </c>
      <c r="K150" s="877"/>
      <c r="L150" s="878"/>
      <c r="M150" s="878"/>
      <c r="N150" s="879"/>
      <c r="O150" s="38"/>
      <c r="P150" s="433"/>
      <c r="Q150" s="433"/>
      <c r="R150" s="2"/>
      <c r="S150" s="38"/>
      <c r="T150" s="38"/>
      <c r="U150" s="38"/>
      <c r="V150" s="433"/>
      <c r="W150" s="2"/>
      <c r="X150" s="38"/>
      <c r="Y150" s="110"/>
      <c r="Z150" s="48"/>
      <c r="AA150" s="37"/>
      <c r="BU150" s="35"/>
      <c r="BV150" s="35"/>
      <c r="BW150" s="152"/>
      <c r="BX150" s="35"/>
      <c r="BY150" s="174"/>
      <c r="BZ150" s="35"/>
      <c r="CA150" s="36"/>
      <c r="CB150" s="151"/>
      <c r="CC150" s="151"/>
      <c r="CD150" s="435"/>
    </row>
    <row r="151" spans="2:82" ht="20.100000000000001" customHeight="1">
      <c r="B151" s="802" t="s">
        <v>498</v>
      </c>
      <c r="C151" s="802"/>
      <c r="D151" s="802"/>
      <c r="E151" s="802"/>
      <c r="F151" s="802"/>
      <c r="G151" s="802"/>
      <c r="H151" s="438" t="s">
        <v>490</v>
      </c>
      <c r="I151" s="437" t="str">
        <f>LEFT(W117,5)</f>
        <v>0,198</v>
      </c>
      <c r="J151" s="441" t="s">
        <v>3</v>
      </c>
      <c r="K151" s="877"/>
      <c r="L151" s="878"/>
      <c r="M151" s="878"/>
      <c r="N151" s="879"/>
      <c r="O151" s="38"/>
      <c r="P151" s="433"/>
      <c r="Q151" s="433"/>
      <c r="R151" s="2"/>
      <c r="S151" s="38"/>
      <c r="T151" s="38"/>
      <c r="U151" s="38"/>
      <c r="V151" s="433"/>
      <c r="W151" s="2"/>
      <c r="X151" s="38"/>
      <c r="Y151" s="110"/>
      <c r="Z151" s="48"/>
      <c r="AA151" s="37"/>
      <c r="BU151" s="35"/>
      <c r="BV151" s="35"/>
      <c r="BW151" s="152"/>
      <c r="BX151" s="35"/>
      <c r="BY151" s="174"/>
      <c r="BZ151" s="35"/>
      <c r="CA151" s="36"/>
      <c r="CB151" s="151"/>
      <c r="CC151" s="151"/>
      <c r="CD151" s="435"/>
    </row>
    <row r="152" spans="2:82" ht="20.100000000000001" customHeight="1">
      <c r="B152" s="802" t="s">
        <v>499</v>
      </c>
      <c r="C152" s="802"/>
      <c r="D152" s="802"/>
      <c r="E152" s="802"/>
      <c r="F152" s="802"/>
      <c r="G152" s="802"/>
      <c r="H152" s="438" t="s">
        <v>508</v>
      </c>
      <c r="I152" s="440" t="str">
        <f>LEFT(W135,5)</f>
        <v>0,251</v>
      </c>
      <c r="J152" s="441" t="s">
        <v>3</v>
      </c>
      <c r="K152" s="877"/>
      <c r="L152" s="878"/>
      <c r="M152" s="878"/>
      <c r="N152" s="879"/>
      <c r="O152" s="38"/>
      <c r="P152" s="433"/>
      <c r="Q152" s="433"/>
      <c r="R152" s="2"/>
      <c r="S152" s="38"/>
      <c r="T152" s="38"/>
      <c r="U152" s="38"/>
      <c r="V152" s="433"/>
      <c r="W152" s="2"/>
      <c r="X152" s="38"/>
      <c r="Y152" s="110"/>
      <c r="Z152" s="48"/>
      <c r="AA152" s="37"/>
      <c r="BU152" s="35"/>
      <c r="BV152" s="35"/>
      <c r="BW152" s="152"/>
      <c r="BX152" s="35"/>
      <c r="BY152" s="174"/>
      <c r="BZ152" s="35"/>
      <c r="CA152" s="36"/>
      <c r="CB152" s="151"/>
      <c r="CC152" s="151"/>
      <c r="CD152" s="435"/>
    </row>
    <row r="153" spans="2:82" ht="20.100000000000001" customHeight="1">
      <c r="B153" s="39"/>
      <c r="C153" s="42"/>
      <c r="D153" s="39"/>
      <c r="E153" s="39"/>
      <c r="F153" s="39"/>
      <c r="G153" s="39"/>
      <c r="H153" s="38"/>
      <c r="I153" s="297"/>
      <c r="J153" s="2"/>
      <c r="K153" s="2"/>
      <c r="L153" s="2"/>
      <c r="M153" s="38"/>
      <c r="N153" s="38"/>
      <c r="O153" s="38"/>
      <c r="P153" s="297"/>
      <c r="Q153" s="297"/>
      <c r="R153" s="2"/>
      <c r="S153" s="38"/>
      <c r="T153" s="38"/>
      <c r="U153" s="38"/>
      <c r="V153" s="297"/>
      <c r="W153" s="2"/>
      <c r="X153" s="38"/>
      <c r="Y153" s="110"/>
      <c r="Z153" s="48"/>
      <c r="AA153" s="37"/>
      <c r="BU153" s="35"/>
      <c r="BV153" s="35"/>
      <c r="BW153" s="152"/>
      <c r="BX153" s="35"/>
      <c r="BY153" s="174"/>
      <c r="BZ153" s="35"/>
      <c r="CA153" s="36"/>
      <c r="CB153" s="151"/>
      <c r="CC153" s="151"/>
      <c r="CD153" s="296"/>
    </row>
    <row r="154" spans="2:82" s="47" customFormat="1" ht="20.100000000000001" customHeight="1">
      <c r="B154" s="33" t="s">
        <v>216</v>
      </c>
      <c r="C154" s="45"/>
      <c r="D154" s="74"/>
      <c r="E154" s="45"/>
      <c r="F154" s="49"/>
      <c r="G154" s="46"/>
      <c r="H154" s="50"/>
      <c r="I154" s="46"/>
      <c r="J154" s="50"/>
      <c r="K154" s="2"/>
      <c r="L154" s="2"/>
      <c r="M154" s="38"/>
      <c r="N154" s="38"/>
      <c r="O154" s="38"/>
      <c r="P154" s="84"/>
      <c r="Q154" s="116"/>
      <c r="R154" s="2"/>
      <c r="S154" s="38"/>
      <c r="T154" s="38"/>
      <c r="U154" s="38"/>
      <c r="V154" s="74"/>
      <c r="W154" s="2"/>
      <c r="X154" s="38"/>
      <c r="Y154" s="21"/>
      <c r="Z154" s="48"/>
      <c r="AA154" s="37"/>
    </row>
    <row r="155" spans="2:82" s="47" customFormat="1" ht="20.100000000000001" customHeight="1">
      <c r="B155" s="707" t="s">
        <v>18</v>
      </c>
      <c r="C155" s="708"/>
      <c r="D155" s="708"/>
      <c r="E155" s="708"/>
      <c r="F155" s="708"/>
      <c r="G155" s="709"/>
      <c r="H155" s="95" t="s">
        <v>0</v>
      </c>
      <c r="I155" s="258">
        <f>$I$11</f>
        <v>5.7252000000000004E-2</v>
      </c>
      <c r="J155" s="108" t="s">
        <v>164</v>
      </c>
      <c r="K155" s="877"/>
      <c r="L155" s="878"/>
      <c r="M155" s="878"/>
      <c r="N155" s="879"/>
      <c r="O155" s="38"/>
      <c r="P155" s="75"/>
      <c r="Q155" s="75"/>
      <c r="R155" s="2"/>
      <c r="S155" s="38"/>
      <c r="T155" s="38"/>
      <c r="U155" s="38"/>
      <c r="V155" s="74"/>
      <c r="W155" s="2"/>
      <c r="X155" s="38"/>
      <c r="Y155" s="21"/>
      <c r="Z155" s="48"/>
      <c r="AA155" s="37"/>
    </row>
    <row r="156" spans="2:82" s="47" customFormat="1" ht="20.100000000000001" customHeight="1">
      <c r="B156" s="707" t="s">
        <v>219</v>
      </c>
      <c r="C156" s="708"/>
      <c r="D156" s="708"/>
      <c r="E156" s="708"/>
      <c r="F156" s="708"/>
      <c r="G156" s="709"/>
      <c r="H156" s="80" t="s">
        <v>103</v>
      </c>
      <c r="I156" s="466">
        <f>G19</f>
        <v>120</v>
      </c>
      <c r="J156" s="108" t="s">
        <v>231</v>
      </c>
      <c r="K156" s="387"/>
      <c r="L156" s="388"/>
      <c r="M156" s="388"/>
      <c r="N156" s="389"/>
      <c r="O156" s="38"/>
      <c r="P156" s="75"/>
      <c r="Q156" s="75"/>
      <c r="R156" s="2"/>
      <c r="S156" s="38"/>
      <c r="T156" s="38"/>
      <c r="U156" s="38"/>
      <c r="V156" s="91"/>
      <c r="W156" s="2"/>
      <c r="X156" s="38"/>
      <c r="Y156" s="94"/>
      <c r="Z156" s="48"/>
      <c r="AA156" s="37"/>
    </row>
    <row r="157" spans="2:82" s="47" customFormat="1" ht="20.100000000000001" customHeight="1">
      <c r="B157" s="707" t="s">
        <v>407</v>
      </c>
      <c r="C157" s="708"/>
      <c r="D157" s="708"/>
      <c r="E157" s="708"/>
      <c r="F157" s="708"/>
      <c r="G157" s="709"/>
      <c r="H157" s="80" t="s">
        <v>509</v>
      </c>
      <c r="I157" s="466">
        <f>G20</f>
        <v>150</v>
      </c>
      <c r="J157" s="108" t="s">
        <v>231</v>
      </c>
      <c r="K157" s="387"/>
      <c r="L157" s="388"/>
      <c r="M157" s="388"/>
      <c r="N157" s="389"/>
      <c r="O157" s="38"/>
      <c r="P157" s="75"/>
      <c r="Q157" s="75"/>
      <c r="R157" s="2"/>
      <c r="S157" s="38"/>
      <c r="T157" s="38"/>
      <c r="U157" s="38"/>
      <c r="V157" s="91"/>
      <c r="W157" s="2"/>
      <c r="X157" s="38"/>
      <c r="Y157" s="94"/>
      <c r="Z157" s="48"/>
      <c r="AA157" s="37"/>
    </row>
    <row r="158" spans="2:82" s="47" customFormat="1" ht="20.100000000000001" customHeight="1">
      <c r="B158" s="741" t="s">
        <v>232</v>
      </c>
      <c r="C158" s="742"/>
      <c r="D158" s="742"/>
      <c r="E158" s="742"/>
      <c r="F158" s="742"/>
      <c r="G158" s="743"/>
      <c r="H158" s="750" t="s">
        <v>150</v>
      </c>
      <c r="I158" s="754">
        <f>(I155*86400)/I156</f>
        <v>41.221440000000001</v>
      </c>
      <c r="J158" s="750" t="s">
        <v>230</v>
      </c>
      <c r="K158" s="866"/>
      <c r="L158" s="867"/>
      <c r="M158" s="867"/>
      <c r="N158" s="868"/>
      <c r="O158" s="38"/>
      <c r="P158" s="75"/>
      <c r="Q158" s="75"/>
      <c r="R158" s="2"/>
      <c r="S158" s="38"/>
      <c r="T158" s="38"/>
      <c r="U158" s="38"/>
      <c r="V158" s="109"/>
      <c r="W158" s="2"/>
      <c r="X158" s="38"/>
      <c r="Y158" s="110"/>
      <c r="Z158" s="48"/>
      <c r="AA158" s="37"/>
    </row>
    <row r="159" spans="2:82" s="47" customFormat="1" ht="20.100000000000001" customHeight="1">
      <c r="B159" s="747"/>
      <c r="C159" s="748"/>
      <c r="D159" s="748"/>
      <c r="E159" s="748"/>
      <c r="F159" s="748"/>
      <c r="G159" s="749"/>
      <c r="H159" s="751"/>
      <c r="I159" s="755"/>
      <c r="J159" s="751"/>
      <c r="K159" s="869"/>
      <c r="L159" s="870"/>
      <c r="M159" s="870"/>
      <c r="N159" s="871"/>
      <c r="O159" s="38"/>
      <c r="P159" s="75"/>
      <c r="Q159" s="75"/>
      <c r="R159" s="2"/>
      <c r="S159" s="38"/>
      <c r="T159" s="38"/>
      <c r="U159" s="38"/>
      <c r="V159" s="91"/>
      <c r="W159" s="2"/>
      <c r="X159" s="38"/>
      <c r="Y159" s="94"/>
      <c r="Z159" s="48"/>
      <c r="AA159" s="37"/>
    </row>
    <row r="160" spans="2:82" s="47" customFormat="1" ht="20.100000000000001" customHeight="1">
      <c r="B160" s="741" t="s">
        <v>408</v>
      </c>
      <c r="C160" s="742"/>
      <c r="D160" s="742"/>
      <c r="E160" s="742"/>
      <c r="F160" s="742"/>
      <c r="G160" s="743"/>
      <c r="H160" s="750" t="s">
        <v>234</v>
      </c>
      <c r="I160" s="754">
        <f>(I155*86400)/I157</f>
        <v>32.977151999999997</v>
      </c>
      <c r="J160" s="750" t="s">
        <v>230</v>
      </c>
      <c r="K160" s="866"/>
      <c r="L160" s="867"/>
      <c r="M160" s="867"/>
      <c r="N160" s="868"/>
      <c r="O160" s="38"/>
      <c r="P160" s="75"/>
      <c r="Q160" s="75"/>
      <c r="R160" s="2"/>
      <c r="S160" s="38"/>
      <c r="T160" s="38"/>
      <c r="U160" s="38"/>
      <c r="V160" s="109"/>
      <c r="W160" s="2"/>
      <c r="X160" s="38"/>
      <c r="Y160" s="110"/>
      <c r="Z160" s="48"/>
      <c r="AA160" s="37"/>
    </row>
    <row r="161" spans="2:28" s="47" customFormat="1" ht="20.100000000000001" customHeight="1">
      <c r="B161" s="747"/>
      <c r="C161" s="748"/>
      <c r="D161" s="748"/>
      <c r="E161" s="748"/>
      <c r="F161" s="748"/>
      <c r="G161" s="749"/>
      <c r="H161" s="751"/>
      <c r="I161" s="755"/>
      <c r="J161" s="751"/>
      <c r="K161" s="869"/>
      <c r="L161" s="870"/>
      <c r="M161" s="870"/>
      <c r="N161" s="871"/>
      <c r="O161" s="38"/>
      <c r="P161" s="232"/>
      <c r="Q161" s="75"/>
      <c r="R161" s="2"/>
      <c r="S161" s="38"/>
      <c r="T161" s="38"/>
      <c r="U161" s="38"/>
      <c r="V161" s="109"/>
      <c r="W161" s="2"/>
      <c r="X161" s="38"/>
      <c r="Y161" s="110"/>
      <c r="Z161" s="48"/>
      <c r="AA161" s="37"/>
    </row>
    <row r="162" spans="2:28" s="47" customFormat="1" ht="20.100000000000001" customHeight="1">
      <c r="B162" s="707" t="s">
        <v>410</v>
      </c>
      <c r="C162" s="708"/>
      <c r="D162" s="708"/>
      <c r="E162" s="708"/>
      <c r="F162" s="708"/>
      <c r="G162" s="709"/>
      <c r="H162" s="251" t="s">
        <v>412</v>
      </c>
      <c r="I162" s="95">
        <f>ROUND((I158-I160),2)</f>
        <v>8.24</v>
      </c>
      <c r="J162" s="251" t="s">
        <v>230</v>
      </c>
      <c r="K162" s="877"/>
      <c r="L162" s="878"/>
      <c r="M162" s="878"/>
      <c r="N162" s="879"/>
      <c r="O162" s="38"/>
      <c r="P162" s="75"/>
      <c r="Q162" s="75"/>
      <c r="R162" s="2"/>
      <c r="S162" s="38"/>
      <c r="T162" s="38"/>
      <c r="U162" s="38"/>
      <c r="V162" s="109"/>
      <c r="W162" s="2"/>
      <c r="X162" s="38"/>
      <c r="Y162" s="110"/>
      <c r="Z162" s="48"/>
      <c r="AA162" s="37"/>
    </row>
    <row r="163" spans="2:28" s="47" customFormat="1" ht="20.100000000000001" customHeight="1">
      <c r="B163" s="741" t="s">
        <v>409</v>
      </c>
      <c r="C163" s="742"/>
      <c r="D163" s="742"/>
      <c r="E163" s="742"/>
      <c r="F163" s="742"/>
      <c r="G163" s="743"/>
      <c r="H163" s="750" t="s">
        <v>413</v>
      </c>
      <c r="I163" s="754">
        <f>IF(I158/I162&lt;3,3,ROUND(I158/I162,0))</f>
        <v>5</v>
      </c>
      <c r="J163" s="750"/>
      <c r="K163" s="866"/>
      <c r="L163" s="867"/>
      <c r="M163" s="867"/>
      <c r="N163" s="868"/>
      <c r="O163" s="38"/>
      <c r="P163" s="75"/>
      <c r="Q163" s="75"/>
      <c r="R163" s="2"/>
      <c r="S163" s="38"/>
      <c r="T163" s="38"/>
      <c r="U163" s="38"/>
      <c r="V163" s="109"/>
      <c r="W163" s="2"/>
      <c r="X163" s="38"/>
      <c r="Y163" s="110"/>
      <c r="Z163" s="48"/>
      <c r="AA163" s="37"/>
    </row>
    <row r="164" spans="2:28" s="47" customFormat="1" ht="20.100000000000001" customHeight="1">
      <c r="B164" s="747"/>
      <c r="C164" s="748"/>
      <c r="D164" s="748"/>
      <c r="E164" s="748"/>
      <c r="F164" s="748"/>
      <c r="G164" s="749"/>
      <c r="H164" s="751"/>
      <c r="I164" s="755"/>
      <c r="J164" s="751"/>
      <c r="K164" s="869"/>
      <c r="L164" s="870"/>
      <c r="M164" s="870"/>
      <c r="N164" s="871"/>
      <c r="O164" s="38"/>
      <c r="P164" s="75"/>
      <c r="Q164" s="75"/>
      <c r="R164" s="2"/>
      <c r="S164" s="38"/>
      <c r="T164" s="38"/>
      <c r="U164" s="38"/>
      <c r="V164" s="109"/>
      <c r="W164" s="2"/>
      <c r="X164" s="38"/>
      <c r="Y164" s="110"/>
      <c r="Z164" s="48"/>
      <c r="AA164" s="37"/>
    </row>
    <row r="165" spans="2:28" s="47" customFormat="1" ht="20.100000000000001" customHeight="1">
      <c r="B165" s="707" t="s">
        <v>217</v>
      </c>
      <c r="C165" s="708"/>
      <c r="D165" s="708"/>
      <c r="E165" s="708"/>
      <c r="F165" s="708"/>
      <c r="G165" s="709"/>
      <c r="H165" s="251" t="s">
        <v>242</v>
      </c>
      <c r="I165" s="254">
        <f>IF(0.044*SQRT(I155*86400)&lt;I163,I163,IF(0.044*SQRT(I155*86400)&gt;I163,ROUNDUP(0.044*SQRT(I155*86400),0)))</f>
        <v>5</v>
      </c>
      <c r="J165" s="251"/>
      <c r="K165" s="877"/>
      <c r="L165" s="878"/>
      <c r="M165" s="878"/>
      <c r="N165" s="879"/>
      <c r="O165" s="38"/>
      <c r="P165" s="75"/>
      <c r="Q165" s="75"/>
      <c r="R165" s="2"/>
      <c r="S165" s="38"/>
      <c r="T165" s="38"/>
      <c r="U165" s="38"/>
      <c r="V165" s="223"/>
      <c r="W165" s="2"/>
      <c r="X165" s="38"/>
      <c r="Y165" s="110"/>
      <c r="Z165" s="48"/>
      <c r="AA165" s="37"/>
    </row>
    <row r="166" spans="2:28" s="47" customFormat="1" ht="20.100000000000001" customHeight="1">
      <c r="B166" s="741" t="s">
        <v>411</v>
      </c>
      <c r="C166" s="742"/>
      <c r="D166" s="742"/>
      <c r="E166" s="742"/>
      <c r="F166" s="742"/>
      <c r="G166" s="743"/>
      <c r="H166" s="750" t="s">
        <v>233</v>
      </c>
      <c r="I166" s="798">
        <f>I158/I165</f>
        <v>8.2442880000000009</v>
      </c>
      <c r="J166" s="750" t="s">
        <v>230</v>
      </c>
      <c r="K166" s="866"/>
      <c r="L166" s="867"/>
      <c r="M166" s="867"/>
      <c r="N166" s="868"/>
      <c r="O166" s="38"/>
      <c r="P166" s="75"/>
      <c r="Q166" s="75"/>
      <c r="R166" s="2"/>
      <c r="S166" s="38"/>
      <c r="T166" s="38"/>
      <c r="U166" s="38"/>
      <c r="V166" s="223"/>
      <c r="W166" s="2"/>
      <c r="X166" s="38"/>
      <c r="Y166" s="110"/>
      <c r="Z166" s="48"/>
      <c r="AA166" s="37"/>
    </row>
    <row r="167" spans="2:28" s="47" customFormat="1" ht="20.100000000000001" customHeight="1">
      <c r="B167" s="747"/>
      <c r="C167" s="748"/>
      <c r="D167" s="748"/>
      <c r="E167" s="748"/>
      <c r="F167" s="748"/>
      <c r="G167" s="749"/>
      <c r="H167" s="751"/>
      <c r="I167" s="799"/>
      <c r="J167" s="751"/>
      <c r="K167" s="869"/>
      <c r="L167" s="870"/>
      <c r="M167" s="870"/>
      <c r="N167" s="871"/>
      <c r="O167" s="38"/>
      <c r="P167" s="75"/>
      <c r="Q167" s="75"/>
      <c r="R167" s="2"/>
      <c r="S167" s="38"/>
      <c r="T167" s="38"/>
      <c r="U167" s="38"/>
      <c r="V167" s="223"/>
      <c r="W167" s="2"/>
      <c r="X167" s="38"/>
      <c r="Y167" s="110"/>
      <c r="Z167" s="48"/>
      <c r="AA167" s="37"/>
    </row>
    <row r="168" spans="2:28" s="47" customFormat="1" ht="20.100000000000001" customHeight="1">
      <c r="B168" s="802" t="s">
        <v>236</v>
      </c>
      <c r="C168" s="802"/>
      <c r="D168" s="802"/>
      <c r="E168" s="802"/>
      <c r="F168" s="802"/>
      <c r="G168" s="802"/>
      <c r="H168" s="108" t="s">
        <v>235</v>
      </c>
      <c r="I168" s="471">
        <f>SQRT(I166)</f>
        <v>2.8712868195288328</v>
      </c>
      <c r="J168" s="108" t="s">
        <v>3</v>
      </c>
      <c r="K168" s="851"/>
      <c r="L168" s="851"/>
      <c r="M168" s="851"/>
      <c r="N168" s="851"/>
      <c r="O168" s="38"/>
      <c r="P168" s="75"/>
      <c r="Q168" s="75"/>
      <c r="R168" s="2"/>
      <c r="S168" s="38"/>
      <c r="T168" s="38"/>
      <c r="U168" s="38"/>
      <c r="V168" s="109"/>
      <c r="W168" s="2"/>
      <c r="X168" s="38"/>
      <c r="Y168" s="110"/>
      <c r="Z168" s="48"/>
      <c r="AA168" s="37"/>
    </row>
    <row r="169" spans="2:28" s="47" customFormat="1" ht="20.100000000000001" customHeight="1">
      <c r="B169" s="264"/>
      <c r="C169" s="264"/>
      <c r="D169" s="264"/>
      <c r="E169" s="264"/>
      <c r="F169" s="264"/>
      <c r="G169" s="264"/>
      <c r="H169" s="232"/>
      <c r="I169" s="48"/>
      <c r="J169" s="77"/>
      <c r="K169" s="45"/>
      <c r="L169" s="45"/>
      <c r="M169" s="45"/>
      <c r="N169" s="45"/>
      <c r="O169" s="38"/>
      <c r="P169" s="72"/>
      <c r="Q169" s="116"/>
      <c r="R169" s="123"/>
      <c r="S169" s="38"/>
      <c r="T169" s="38"/>
      <c r="U169" s="38"/>
      <c r="V169" s="72"/>
      <c r="W169" s="2"/>
      <c r="X169" s="38"/>
      <c r="Y169" s="21"/>
      <c r="Z169" s="48"/>
      <c r="AA169" s="37"/>
    </row>
    <row r="170" spans="2:28" s="47" customFormat="1" ht="20.100000000000001" customHeight="1">
      <c r="B170" s="23" t="s">
        <v>172</v>
      </c>
      <c r="C170" s="264"/>
      <c r="D170" s="264"/>
      <c r="E170" s="264"/>
      <c r="F170" s="264"/>
      <c r="G170" s="264"/>
      <c r="H170" s="232"/>
      <c r="I170" s="48"/>
      <c r="J170" s="77"/>
      <c r="K170" s="45"/>
      <c r="L170" s="45"/>
      <c r="M170" s="45"/>
      <c r="N170" s="45"/>
      <c r="O170" s="63"/>
      <c r="P170" s="72"/>
      <c r="Q170" s="116"/>
      <c r="R170" s="123"/>
      <c r="S170" s="38"/>
      <c r="T170" s="38"/>
      <c r="U170" s="38"/>
      <c r="V170" s="72"/>
      <c r="W170" s="2"/>
      <c r="X170" s="38"/>
      <c r="Y170" s="21"/>
      <c r="Z170" s="48"/>
      <c r="AA170" s="37"/>
    </row>
    <row r="171" spans="2:28" s="47" customFormat="1" ht="20.100000000000001" customHeight="1">
      <c r="B171" s="707" t="s">
        <v>237</v>
      </c>
      <c r="C171" s="708"/>
      <c r="D171" s="708"/>
      <c r="E171" s="708"/>
      <c r="F171" s="708"/>
      <c r="G171" s="709"/>
      <c r="H171" s="323" t="s">
        <v>477</v>
      </c>
      <c r="I171" s="319">
        <v>0.25</v>
      </c>
      <c r="J171" s="58" t="s">
        <v>238</v>
      </c>
      <c r="K171" s="1061"/>
      <c r="L171" s="943"/>
      <c r="M171" s="943"/>
      <c r="N171" s="944"/>
      <c r="O171" s="63"/>
      <c r="P171" s="121"/>
      <c r="Q171" s="121"/>
      <c r="R171" s="123"/>
      <c r="S171" s="38"/>
      <c r="T171" s="38"/>
      <c r="U171" s="38"/>
      <c r="V171" s="72"/>
      <c r="W171" s="2"/>
      <c r="X171" s="38"/>
      <c r="Y171" s="21"/>
      <c r="Z171" s="48"/>
      <c r="AA171" s="37"/>
    </row>
    <row r="172" spans="2:28" s="47" customFormat="1" ht="20.100000000000001" customHeight="1">
      <c r="B172" s="707" t="s">
        <v>239</v>
      </c>
      <c r="C172" s="708"/>
      <c r="D172" s="708"/>
      <c r="E172" s="708"/>
      <c r="F172" s="708"/>
      <c r="G172" s="709"/>
      <c r="H172" s="320" t="s">
        <v>469</v>
      </c>
      <c r="I172" s="321">
        <v>0.1</v>
      </c>
      <c r="J172" s="58" t="s">
        <v>3</v>
      </c>
      <c r="K172" s="942"/>
      <c r="L172" s="943"/>
      <c r="M172" s="943"/>
      <c r="N172" s="944"/>
      <c r="O172" s="63"/>
      <c r="P172" s="121"/>
      <c r="Q172" s="121"/>
      <c r="R172" s="123"/>
      <c r="S172" s="38"/>
      <c r="T172" s="38"/>
      <c r="U172" s="38"/>
      <c r="V172" s="72"/>
      <c r="W172" s="2"/>
      <c r="X172" s="38"/>
      <c r="Y172" s="21"/>
      <c r="Z172" s="48"/>
      <c r="AA172" s="37"/>
    </row>
    <row r="173" spans="2:28" s="47" customFormat="1" ht="20.100000000000001" customHeight="1">
      <c r="B173" s="707" t="s">
        <v>268</v>
      </c>
      <c r="C173" s="708"/>
      <c r="D173" s="708"/>
      <c r="E173" s="708"/>
      <c r="F173" s="708"/>
      <c r="G173" s="709"/>
      <c r="H173" s="274" t="s">
        <v>470</v>
      </c>
      <c r="I173" s="305" t="s">
        <v>248</v>
      </c>
      <c r="J173" s="58" t="s">
        <v>253</v>
      </c>
      <c r="K173" s="390"/>
      <c r="L173" s="391"/>
      <c r="M173" s="391"/>
      <c r="N173" s="392"/>
      <c r="O173" s="306"/>
      <c r="P173" s="121"/>
      <c r="Q173" s="121"/>
      <c r="R173" s="123"/>
      <c r="S173" s="38"/>
      <c r="T173" s="38"/>
      <c r="U173" s="38"/>
      <c r="V173" s="116"/>
      <c r="W173" s="2"/>
      <c r="X173" s="38"/>
      <c r="Y173" s="110"/>
      <c r="Z173" s="48"/>
      <c r="AA173" s="37"/>
    </row>
    <row r="174" spans="2:28" s="47" customFormat="1" ht="20.100000000000001" customHeight="1">
      <c r="B174" s="707" t="s">
        <v>269</v>
      </c>
      <c r="C174" s="708"/>
      <c r="D174" s="708"/>
      <c r="E174" s="708"/>
      <c r="F174" s="708"/>
      <c r="G174" s="709"/>
      <c r="H174" s="274" t="s">
        <v>471</v>
      </c>
      <c r="I174" s="286">
        <f>VLOOKUP(I173,BG8:BI16,3,FALSE)</f>
        <v>0.30479999999999996</v>
      </c>
      <c r="J174" s="58" t="s">
        <v>3</v>
      </c>
      <c r="K174" s="390"/>
      <c r="L174" s="391"/>
      <c r="M174" s="391"/>
      <c r="N174" s="392"/>
      <c r="O174" s="306"/>
      <c r="P174" s="121"/>
      <c r="Q174" s="121"/>
      <c r="R174" s="123"/>
      <c r="S174" s="38"/>
      <c r="T174" s="38"/>
      <c r="U174" s="38"/>
      <c r="V174" s="116"/>
      <c r="W174" s="2"/>
      <c r="X174" s="38"/>
      <c r="Y174" s="110"/>
      <c r="Z174" s="48"/>
      <c r="AA174" s="37"/>
    </row>
    <row r="175" spans="2:28" s="47" customFormat="1" ht="20.100000000000001" customHeight="1">
      <c r="B175" s="707" t="s">
        <v>267</v>
      </c>
      <c r="C175" s="708"/>
      <c r="D175" s="708"/>
      <c r="E175" s="708"/>
      <c r="F175" s="708"/>
      <c r="G175" s="709"/>
      <c r="H175" s="318" t="s">
        <v>472</v>
      </c>
      <c r="I175" s="274">
        <f>ROUND(I168/2-I174/2-0.05,2)</f>
        <v>1.23</v>
      </c>
      <c r="J175" s="58" t="s">
        <v>3</v>
      </c>
      <c r="K175" s="942"/>
      <c r="L175" s="943"/>
      <c r="M175" s="943"/>
      <c r="N175" s="944"/>
      <c r="O175" s="306"/>
      <c r="P175" s="121"/>
      <c r="Q175" s="121"/>
      <c r="R175" s="123"/>
      <c r="S175" s="38"/>
      <c r="T175" s="38"/>
      <c r="U175" s="38"/>
      <c r="V175" s="72"/>
      <c r="W175" s="2"/>
      <c r="X175" s="38"/>
      <c r="Y175" s="131"/>
      <c r="Z175" s="130"/>
      <c r="AA175" s="37"/>
    </row>
    <row r="176" spans="2:28" s="47" customFormat="1" ht="20.100000000000001" customHeight="1">
      <c r="B176" s="707" t="s">
        <v>240</v>
      </c>
      <c r="C176" s="708"/>
      <c r="D176" s="708"/>
      <c r="E176" s="708"/>
      <c r="F176" s="708"/>
      <c r="G176" s="709"/>
      <c r="H176" s="320" t="s">
        <v>473</v>
      </c>
      <c r="I176" s="322">
        <v>0.2</v>
      </c>
      <c r="J176" s="58" t="s">
        <v>3</v>
      </c>
      <c r="K176" s="942"/>
      <c r="L176" s="943"/>
      <c r="M176" s="943"/>
      <c r="N176" s="944"/>
      <c r="O176" s="306"/>
      <c r="P176" s="121"/>
      <c r="Q176" s="121"/>
      <c r="R176" s="123"/>
      <c r="S176" s="38"/>
      <c r="T176" s="38"/>
      <c r="U176" s="38"/>
      <c r="V176" s="128"/>
      <c r="W176" s="2"/>
      <c r="X176" s="38"/>
      <c r="Y176" s="131"/>
      <c r="Z176" s="130"/>
      <c r="AA176" s="37"/>
      <c r="AB176" s="132"/>
    </row>
    <row r="177" spans="2:27" s="47" customFormat="1" ht="20.100000000000001" customHeight="1">
      <c r="B177" s="707" t="s">
        <v>241</v>
      </c>
      <c r="C177" s="708"/>
      <c r="D177" s="708"/>
      <c r="E177" s="708"/>
      <c r="F177" s="708"/>
      <c r="G177" s="709"/>
      <c r="H177" s="323" t="s">
        <v>478</v>
      </c>
      <c r="I177" s="644">
        <v>2</v>
      </c>
      <c r="J177" s="58" t="s">
        <v>238</v>
      </c>
      <c r="K177" s="942"/>
      <c r="L177" s="943"/>
      <c r="M177" s="943"/>
      <c r="N177" s="944"/>
      <c r="O177" s="306"/>
      <c r="P177" s="121"/>
      <c r="Q177" s="121"/>
      <c r="R177" s="123"/>
      <c r="S177" s="63"/>
      <c r="T177" s="63"/>
      <c r="U177" s="63"/>
      <c r="V177" s="128"/>
      <c r="W177" s="2"/>
      <c r="X177" s="38"/>
      <c r="Y177" s="21"/>
      <c r="Z177" s="130"/>
      <c r="AA177" s="37"/>
    </row>
    <row r="178" spans="2:27" s="47" customFormat="1" ht="20.100000000000001" customHeight="1">
      <c r="B178" s="741" t="s">
        <v>243</v>
      </c>
      <c r="C178" s="742"/>
      <c r="D178" s="742"/>
      <c r="E178" s="742"/>
      <c r="F178" s="742"/>
      <c r="G178" s="743"/>
      <c r="H178" s="754" t="s">
        <v>474</v>
      </c>
      <c r="I178" s="875">
        <f>2*ROUND((I168/I176),0)</f>
        <v>28</v>
      </c>
      <c r="J178" s="796"/>
      <c r="K178" s="927"/>
      <c r="L178" s="928"/>
      <c r="M178" s="928"/>
      <c r="N178" s="929"/>
      <c r="O178" s="306"/>
      <c r="P178" s="121"/>
      <c r="Q178" s="121"/>
      <c r="R178" s="123"/>
      <c r="S178" s="44"/>
      <c r="T178" s="44"/>
      <c r="U178" s="44"/>
      <c r="V178" s="128"/>
      <c r="W178" s="2"/>
      <c r="X178" s="38"/>
      <c r="Y178" s="131"/>
      <c r="Z178" s="130"/>
      <c r="AA178" s="37"/>
    </row>
    <row r="179" spans="2:27" s="47" customFormat="1" ht="20.100000000000001" customHeight="1">
      <c r="B179" s="747"/>
      <c r="C179" s="748"/>
      <c r="D179" s="748"/>
      <c r="E179" s="748"/>
      <c r="F179" s="748"/>
      <c r="G179" s="749"/>
      <c r="H179" s="755"/>
      <c r="I179" s="876"/>
      <c r="J179" s="797"/>
      <c r="K179" s="930"/>
      <c r="L179" s="931"/>
      <c r="M179" s="931"/>
      <c r="N179" s="932"/>
      <c r="O179" s="306"/>
      <c r="P179" s="121"/>
      <c r="Q179" s="121"/>
      <c r="R179" s="123"/>
      <c r="S179" s="44"/>
      <c r="T179" s="44"/>
      <c r="U179" s="44"/>
      <c r="V179" s="128"/>
      <c r="W179" s="2"/>
      <c r="X179" s="38"/>
      <c r="Y179" s="110"/>
      <c r="Z179" s="130"/>
      <c r="AA179" s="37"/>
    </row>
    <row r="180" spans="2:27" s="47" customFormat="1" ht="20.100000000000001" customHeight="1">
      <c r="B180" s="741" t="s">
        <v>463</v>
      </c>
      <c r="C180" s="742"/>
      <c r="D180" s="742"/>
      <c r="E180" s="742"/>
      <c r="F180" s="742"/>
      <c r="G180" s="743"/>
      <c r="H180" s="754" t="s">
        <v>475</v>
      </c>
      <c r="I180" s="875">
        <f>2*ROUNDUP((I175/I172),0)</f>
        <v>26</v>
      </c>
      <c r="J180" s="796"/>
      <c r="K180" s="927"/>
      <c r="L180" s="928"/>
      <c r="M180" s="928"/>
      <c r="N180" s="929"/>
      <c r="O180" s="306"/>
      <c r="P180" s="121"/>
      <c r="Q180" s="121"/>
      <c r="R180" s="123"/>
      <c r="S180" s="44"/>
      <c r="T180" s="44"/>
      <c r="U180" s="44"/>
      <c r="V180" s="128"/>
      <c r="W180" s="2"/>
      <c r="X180" s="38"/>
      <c r="Y180" s="110"/>
      <c r="Z180" s="130"/>
      <c r="AA180" s="37"/>
    </row>
    <row r="181" spans="2:27" s="47" customFormat="1" ht="20.100000000000001" customHeight="1">
      <c r="B181" s="747"/>
      <c r="C181" s="748"/>
      <c r="D181" s="748"/>
      <c r="E181" s="748"/>
      <c r="F181" s="748"/>
      <c r="G181" s="749"/>
      <c r="H181" s="755"/>
      <c r="I181" s="876"/>
      <c r="J181" s="797"/>
      <c r="K181" s="930"/>
      <c r="L181" s="931"/>
      <c r="M181" s="931"/>
      <c r="N181" s="932"/>
      <c r="O181" s="306"/>
      <c r="P181" s="121"/>
      <c r="Q181" s="121"/>
      <c r="R181" s="123"/>
      <c r="S181" s="44"/>
      <c r="T181" s="44"/>
      <c r="U181" s="44"/>
      <c r="V181" s="128"/>
      <c r="W181" s="2"/>
      <c r="X181" s="38"/>
      <c r="Y181" s="110"/>
      <c r="Z181" s="130"/>
      <c r="AA181" s="37"/>
    </row>
    <row r="182" spans="2:27" s="47" customFormat="1" ht="20.100000000000001" customHeight="1">
      <c r="B182" s="741" t="s">
        <v>244</v>
      </c>
      <c r="C182" s="742"/>
      <c r="D182" s="742"/>
      <c r="E182" s="742"/>
      <c r="F182" s="742"/>
      <c r="G182" s="743"/>
      <c r="H182" s="754" t="s">
        <v>476</v>
      </c>
      <c r="I182" s="875">
        <f>I178*I180</f>
        <v>728</v>
      </c>
      <c r="J182" s="796"/>
      <c r="K182" s="927"/>
      <c r="L182" s="928"/>
      <c r="M182" s="928"/>
      <c r="N182" s="929"/>
      <c r="O182" s="306"/>
      <c r="P182" s="121"/>
      <c r="Q182" s="121"/>
      <c r="R182" s="123"/>
      <c r="S182" s="44"/>
      <c r="T182" s="44"/>
      <c r="U182" s="44"/>
      <c r="V182" s="129"/>
      <c r="W182" s="2"/>
      <c r="X182" s="38"/>
      <c r="Y182" s="131"/>
      <c r="Z182" s="133"/>
      <c r="AA182" s="37"/>
    </row>
    <row r="183" spans="2:27" s="47" customFormat="1" ht="20.100000000000001" customHeight="1">
      <c r="B183" s="747"/>
      <c r="C183" s="748"/>
      <c r="D183" s="748"/>
      <c r="E183" s="748"/>
      <c r="F183" s="748"/>
      <c r="G183" s="749"/>
      <c r="H183" s="755"/>
      <c r="I183" s="876"/>
      <c r="J183" s="797"/>
      <c r="K183" s="930"/>
      <c r="L183" s="931"/>
      <c r="M183" s="931"/>
      <c r="N183" s="932"/>
      <c r="O183" s="306"/>
      <c r="P183" s="121"/>
      <c r="Q183" s="317"/>
      <c r="R183" s="123"/>
      <c r="S183" s="44"/>
      <c r="T183" s="44"/>
      <c r="U183" s="44"/>
      <c r="V183" s="112"/>
      <c r="W183" s="2"/>
      <c r="X183" s="38"/>
      <c r="Y183" s="110"/>
      <c r="Z183" s="130"/>
      <c r="AA183" s="37"/>
    </row>
    <row r="184" spans="2:27" s="47" customFormat="1" ht="20.100000000000001" customHeight="1">
      <c r="B184" s="707" t="s">
        <v>254</v>
      </c>
      <c r="C184" s="708"/>
      <c r="D184" s="708"/>
      <c r="E184" s="708"/>
      <c r="F184" s="708"/>
      <c r="G184" s="709"/>
      <c r="H184" s="318" t="s">
        <v>265</v>
      </c>
      <c r="I184" s="220">
        <f>ROUND((I182*VLOOKUP(I171,AW8:AX12,2,FALSE)/I166),4)</f>
        <v>2.8E-3</v>
      </c>
      <c r="J184" s="253"/>
      <c r="K184" s="946" t="s">
        <v>262</v>
      </c>
      <c r="L184" s="947"/>
      <c r="M184" s="947"/>
      <c r="N184" s="948"/>
      <c r="O184" s="63" t="str">
        <f>IF(AND(I184&gt;0.0015,I184&lt;0.005),"¡ok!","¡error, revise cantidades, diámetros y distancias en orificios!")</f>
        <v>¡ok!</v>
      </c>
      <c r="P184" s="45"/>
      <c r="Q184" s="45"/>
      <c r="R184" s="123"/>
      <c r="S184" s="124"/>
      <c r="T184" s="63"/>
      <c r="U184" s="63"/>
      <c r="V184" s="112"/>
      <c r="W184" s="2"/>
      <c r="X184" s="38"/>
      <c r="Y184" s="110"/>
      <c r="Z184" s="48"/>
      <c r="AA184" s="37"/>
    </row>
    <row r="185" spans="2:27" s="47" customFormat="1" ht="20.100000000000001" customHeight="1">
      <c r="B185" s="707" t="s">
        <v>464</v>
      </c>
      <c r="C185" s="708"/>
      <c r="D185" s="708"/>
      <c r="E185" s="708"/>
      <c r="F185" s="708"/>
      <c r="G185" s="709"/>
      <c r="H185" s="318"/>
      <c r="I185" s="274">
        <f>ROUND((VLOOKUP(I177,BB8:BC12,2,FALSE)/(VLOOKUP(I171,AW8:AX12,2,FALSE)*I180)),2)</f>
        <v>2.46</v>
      </c>
      <c r="J185" s="253"/>
      <c r="K185" s="949" t="s">
        <v>263</v>
      </c>
      <c r="L185" s="950"/>
      <c r="M185" s="950"/>
      <c r="N185" s="951"/>
      <c r="O185" s="63" t="str">
        <f>IF(AND(I185&gt;2,I185&lt;4),"¡ok!","¡error, revise cantidades, diámetros y distancias en laterales y orificios, tenga en cuenta velocidad de flujo en el múltiple y laterales!")</f>
        <v>¡ok!</v>
      </c>
      <c r="P185" s="45"/>
      <c r="Q185" s="45"/>
      <c r="R185" s="123"/>
      <c r="S185" s="124"/>
      <c r="T185" s="63"/>
      <c r="U185" s="63"/>
      <c r="V185" s="112"/>
      <c r="W185" s="2"/>
      <c r="X185" s="38"/>
      <c r="Y185" s="110"/>
      <c r="Z185" s="48"/>
      <c r="AA185" s="37"/>
    </row>
    <row r="186" spans="2:27" s="47" customFormat="1" ht="20.100000000000001" customHeight="1">
      <c r="B186" s="707" t="s">
        <v>465</v>
      </c>
      <c r="C186" s="708"/>
      <c r="D186" s="708"/>
      <c r="E186" s="708"/>
      <c r="F186" s="708"/>
      <c r="G186" s="709"/>
      <c r="H186" s="318"/>
      <c r="I186" s="274">
        <f>ROUND((VLOOKUP(I173,BG8:BH16,2,FALSE)/(VLOOKUP(I177,BB8:BC12,2,FALSE)*I178)),2)</f>
        <v>1.64</v>
      </c>
      <c r="J186" s="58"/>
      <c r="K186" s="946" t="s">
        <v>264</v>
      </c>
      <c r="L186" s="947"/>
      <c r="M186" s="947"/>
      <c r="N186" s="948"/>
      <c r="O186" s="63" t="str">
        <f>IF(AND(I186&gt;1.5,I186&lt;3),"¡ok!"," ¡error, revise dimensiones de múltiple y laterales, tenga en cuenta velocidad de flujo en el múltiple y laterales!")</f>
        <v>¡ok!</v>
      </c>
      <c r="P186" s="122"/>
      <c r="Q186" s="122"/>
      <c r="R186" s="123"/>
      <c r="S186" s="124"/>
      <c r="T186" s="63"/>
      <c r="U186" s="63"/>
      <c r="V186" s="113"/>
      <c r="W186" s="2"/>
      <c r="X186" s="38"/>
      <c r="Y186" s="110"/>
      <c r="Z186" s="48"/>
      <c r="AA186" s="37"/>
    </row>
    <row r="187" spans="2:27" s="47" customFormat="1" ht="20.100000000000001" customHeight="1">
      <c r="B187" s="707" t="s">
        <v>467</v>
      </c>
      <c r="C187" s="708"/>
      <c r="D187" s="708"/>
      <c r="E187" s="708"/>
      <c r="F187" s="708"/>
      <c r="G187" s="709"/>
      <c r="H187" s="318"/>
      <c r="I187" s="274">
        <f>I175/(I177*0.0254)</f>
        <v>24.212598425196852</v>
      </c>
      <c r="J187" s="287"/>
      <c r="K187" s="946" t="s">
        <v>468</v>
      </c>
      <c r="L187" s="947"/>
      <c r="M187" s="947"/>
      <c r="N187" s="948"/>
      <c r="O187" s="63" t="str">
        <f>IF(AND(I187&lt;60),"¡ok!"," ¡error, revise diámetros de laterales!")</f>
        <v>¡ok!</v>
      </c>
      <c r="P187" s="122"/>
      <c r="Q187" s="122"/>
      <c r="R187" s="123"/>
      <c r="S187" s="124"/>
      <c r="T187" s="63"/>
      <c r="U187" s="63"/>
      <c r="V187" s="265"/>
      <c r="W187" s="2"/>
      <c r="X187" s="38"/>
      <c r="Y187" s="110"/>
      <c r="Z187" s="48"/>
      <c r="AA187" s="37"/>
    </row>
    <row r="188" spans="2:27" s="47" customFormat="1" ht="20.100000000000001" customHeight="1">
      <c r="B188" s="11"/>
      <c r="C188" s="11"/>
      <c r="D188" s="11"/>
      <c r="E188" s="11"/>
      <c r="F188" s="11"/>
      <c r="G188" s="11"/>
      <c r="H188" s="161"/>
      <c r="I188" s="48"/>
      <c r="J188" s="77"/>
      <c r="K188" s="230"/>
      <c r="L188" s="230"/>
      <c r="M188" s="230"/>
      <c r="N188" s="230"/>
      <c r="O188" s="63"/>
      <c r="P188" s="122"/>
      <c r="Q188" s="122"/>
      <c r="R188" s="123"/>
      <c r="S188" s="124"/>
      <c r="T188" s="63"/>
      <c r="U188" s="63"/>
      <c r="V188" s="230"/>
      <c r="W188" s="2"/>
      <c r="X188" s="38"/>
      <c r="Y188" s="110"/>
      <c r="Z188" s="48"/>
      <c r="AA188" s="37"/>
    </row>
    <row r="189" spans="2:27" s="47" customFormat="1" ht="20.100000000000001" customHeight="1">
      <c r="B189" s="33" t="s">
        <v>115</v>
      </c>
      <c r="C189" s="45"/>
      <c r="D189" s="116"/>
      <c r="E189" s="45"/>
      <c r="F189" s="49"/>
      <c r="G189" s="46"/>
      <c r="H189" s="50"/>
      <c r="I189" s="46"/>
      <c r="J189" s="50"/>
      <c r="K189" s="2"/>
      <c r="L189" s="2"/>
      <c r="M189" s="38"/>
      <c r="N189" s="38"/>
      <c r="O189" s="63"/>
      <c r="P189" s="122"/>
      <c r="Q189" s="122"/>
      <c r="R189" s="123"/>
      <c r="S189" s="124"/>
      <c r="T189" s="63"/>
      <c r="U189" s="63"/>
      <c r="V189" s="116"/>
      <c r="W189" s="2"/>
      <c r="X189" s="38"/>
      <c r="Y189" s="110"/>
      <c r="Z189" s="48"/>
      <c r="AA189" s="37"/>
    </row>
    <row r="190" spans="2:27" s="47" customFormat="1" ht="20.100000000000001" customHeight="1">
      <c r="B190" s="33"/>
      <c r="C190" s="45"/>
      <c r="D190" s="116"/>
      <c r="E190" s="45"/>
      <c r="F190" s="49"/>
      <c r="G190" s="46"/>
      <c r="H190" s="50"/>
      <c r="I190" s="33"/>
      <c r="J190" s="50"/>
      <c r="K190" s="2"/>
      <c r="L190" s="2"/>
      <c r="M190" s="38"/>
      <c r="N190" s="38"/>
      <c r="O190" s="63"/>
      <c r="P190" s="122"/>
      <c r="Q190" s="122"/>
      <c r="R190" s="123"/>
      <c r="S190" s="124"/>
      <c r="T190" s="63"/>
      <c r="U190" s="63"/>
      <c r="V190" s="116"/>
      <c r="W190" s="2"/>
      <c r="X190" s="38"/>
      <c r="Y190" s="110"/>
      <c r="Z190" s="48"/>
      <c r="AA190" s="37"/>
    </row>
    <row r="191" spans="2:27" s="47" customFormat="1" ht="20.100000000000001" customHeight="1">
      <c r="B191" s="33" t="s">
        <v>423</v>
      </c>
      <c r="C191" s="45"/>
      <c r="D191" s="116"/>
      <c r="E191" s="45"/>
      <c r="F191" s="49"/>
      <c r="G191" s="46"/>
      <c r="H191" s="50"/>
      <c r="I191" s="46"/>
      <c r="J191" s="50"/>
      <c r="K191" s="2"/>
      <c r="L191" s="2"/>
      <c r="M191" s="38"/>
      <c r="N191" s="38"/>
      <c r="O191" s="63"/>
      <c r="P191" s="122"/>
      <c r="Q191" s="122"/>
      <c r="R191" s="123"/>
      <c r="S191" s="124"/>
      <c r="T191" s="63"/>
      <c r="U191" s="63"/>
      <c r="V191" s="116"/>
      <c r="W191" s="2"/>
      <c r="X191" s="38"/>
      <c r="Y191" s="110"/>
      <c r="Z191" s="48"/>
      <c r="AA191" s="37"/>
    </row>
    <row r="192" spans="2:27" s="47" customFormat="1" ht="20.100000000000001" customHeight="1">
      <c r="B192" s="707" t="s">
        <v>118</v>
      </c>
      <c r="C192" s="708"/>
      <c r="D192" s="708"/>
      <c r="E192" s="708"/>
      <c r="F192" s="708"/>
      <c r="G192" s="709"/>
      <c r="H192" s="108" t="s">
        <v>8</v>
      </c>
      <c r="I192" s="472">
        <f>$I$76</f>
        <v>0.45</v>
      </c>
      <c r="J192" s="78"/>
      <c r="K192" s="877"/>
      <c r="L192" s="878"/>
      <c r="M192" s="878"/>
      <c r="N192" s="879"/>
      <c r="O192" s="63"/>
      <c r="P192" s="122"/>
      <c r="Q192" s="122"/>
      <c r="R192" s="123"/>
      <c r="S192" s="124"/>
      <c r="T192" s="63"/>
      <c r="U192" s="63"/>
      <c r="V192" s="116"/>
      <c r="W192" s="2"/>
      <c r="X192" s="38"/>
      <c r="Y192" s="110"/>
      <c r="Z192" s="48"/>
      <c r="AA192" s="37"/>
    </row>
    <row r="193" spans="2:27" s="47" customFormat="1" ht="20.100000000000001" customHeight="1">
      <c r="B193" s="707" t="str">
        <f>"Viscocidad dinámica del agua a "&amp;I30&amp;" °C"</f>
        <v>Viscocidad dinámica del agua a 20 °C</v>
      </c>
      <c r="C193" s="708"/>
      <c r="D193" s="708"/>
      <c r="E193" s="708"/>
      <c r="F193" s="708"/>
      <c r="G193" s="709"/>
      <c r="H193" s="108" t="s">
        <v>104</v>
      </c>
      <c r="I193" s="471">
        <f>I32*1000</f>
        <v>1.0050000000000001</v>
      </c>
      <c r="J193" s="79" t="s">
        <v>163</v>
      </c>
      <c r="K193" s="387"/>
      <c r="L193" s="388"/>
      <c r="M193" s="388"/>
      <c r="N193" s="389"/>
      <c r="O193" s="63"/>
      <c r="P193" s="122"/>
      <c r="Q193" s="122"/>
      <c r="R193" s="123"/>
      <c r="S193" s="124"/>
      <c r="T193" s="63"/>
      <c r="U193" s="63"/>
      <c r="V193" s="116"/>
      <c r="W193" s="2"/>
      <c r="X193" s="38"/>
      <c r="Y193" s="110"/>
      <c r="Z193" s="48"/>
      <c r="AA193" s="37"/>
    </row>
    <row r="194" spans="2:27" s="47" customFormat="1" ht="20.100000000000001" customHeight="1">
      <c r="B194" s="707" t="s">
        <v>127</v>
      </c>
      <c r="C194" s="708"/>
      <c r="D194" s="708"/>
      <c r="E194" s="708"/>
      <c r="F194" s="708"/>
      <c r="G194" s="709"/>
      <c r="H194" s="95" t="s">
        <v>381</v>
      </c>
      <c r="I194" s="471">
        <f>J56*F70</f>
        <v>0.74398243580665824</v>
      </c>
      <c r="J194" s="95" t="s">
        <v>128</v>
      </c>
      <c r="K194" s="952"/>
      <c r="L194" s="952"/>
      <c r="M194" s="952"/>
      <c r="N194" s="952"/>
      <c r="O194" s="63"/>
      <c r="P194" s="122"/>
      <c r="Q194" s="122"/>
      <c r="R194" s="123"/>
      <c r="S194" s="124"/>
      <c r="T194" s="63"/>
      <c r="U194" s="63"/>
      <c r="V194" s="116"/>
      <c r="W194" s="2"/>
      <c r="X194" s="38"/>
      <c r="Y194" s="110"/>
      <c r="Z194" s="48"/>
      <c r="AA194" s="37"/>
    </row>
    <row r="195" spans="2:27" s="47" customFormat="1" ht="20.100000000000001" customHeight="1">
      <c r="B195" s="707" t="s">
        <v>375</v>
      </c>
      <c r="C195" s="708"/>
      <c r="D195" s="708"/>
      <c r="E195" s="708"/>
      <c r="F195" s="708"/>
      <c r="G195" s="709"/>
      <c r="H195" s="95" t="s">
        <v>382</v>
      </c>
      <c r="I195" s="471">
        <f>10*I194</f>
        <v>7.4398243580665824</v>
      </c>
      <c r="J195" s="95" t="s">
        <v>126</v>
      </c>
      <c r="K195" s="952"/>
      <c r="L195" s="952"/>
      <c r="M195" s="952"/>
      <c r="N195" s="952"/>
      <c r="O195" s="63"/>
      <c r="P195" s="122"/>
      <c r="Q195" s="122"/>
      <c r="R195" s="123"/>
      <c r="S195" s="124"/>
      <c r="T195" s="63"/>
      <c r="U195" s="63"/>
      <c r="V195" s="116"/>
      <c r="W195" s="2"/>
      <c r="X195" s="38"/>
      <c r="Y195" s="110"/>
      <c r="Z195" s="48"/>
      <c r="AA195" s="37"/>
    </row>
    <row r="196" spans="2:27" s="47" customFormat="1" ht="20.100000000000001" customHeight="1">
      <c r="B196" s="707" t="str">
        <f>"Velocidad de asentamiento del medio filtrante a "&amp;I30&amp;" °C"</f>
        <v>Velocidad de asentamiento del medio filtrante a 20 °C</v>
      </c>
      <c r="C196" s="708"/>
      <c r="D196" s="708"/>
      <c r="E196" s="708"/>
      <c r="F196" s="708"/>
      <c r="G196" s="709"/>
      <c r="H196" s="95" t="s">
        <v>383</v>
      </c>
      <c r="I196" s="471">
        <f>IF(I71=20,I195,I195*((I193)^(-1/3)))</f>
        <v>7.4274658230905848</v>
      </c>
      <c r="J196" s="95" t="s">
        <v>126</v>
      </c>
      <c r="K196" s="1060"/>
      <c r="L196" s="1060"/>
      <c r="M196" s="1060"/>
      <c r="N196" s="1060"/>
      <c r="O196" s="63"/>
      <c r="P196" s="122"/>
      <c r="Q196" s="122"/>
      <c r="R196" s="123"/>
      <c r="S196" s="124"/>
      <c r="T196" s="63"/>
      <c r="U196" s="63"/>
      <c r="V196" s="116"/>
      <c r="W196" s="2"/>
      <c r="X196" s="38"/>
      <c r="Y196" s="110"/>
      <c r="Z196" s="48"/>
      <c r="AA196" s="37"/>
    </row>
    <row r="197" spans="2:27" s="47" customFormat="1" ht="20.100000000000001" customHeight="1">
      <c r="B197" s="707" t="str">
        <f>"Velocidad de fluidización del medio filtrante a "&amp;I30&amp;" °C"</f>
        <v>Velocidad de fluidización del medio filtrante a 20 °C</v>
      </c>
      <c r="C197" s="708"/>
      <c r="D197" s="708"/>
      <c r="E197" s="708"/>
      <c r="F197" s="708"/>
      <c r="G197" s="709"/>
      <c r="H197" s="95" t="s">
        <v>384</v>
      </c>
      <c r="I197" s="471">
        <f>I196*(I192^4.5)</f>
        <v>0.20431345791329167</v>
      </c>
      <c r="J197" s="95" t="s">
        <v>126</v>
      </c>
      <c r="K197" s="933"/>
      <c r="L197" s="934"/>
      <c r="M197" s="934"/>
      <c r="N197" s="935"/>
      <c r="O197" s="63"/>
      <c r="P197" s="122"/>
      <c r="Q197" s="122"/>
      <c r="R197" s="123"/>
      <c r="S197" s="124"/>
      <c r="T197" s="63"/>
      <c r="U197" s="63"/>
      <c r="V197" s="116"/>
      <c r="W197" s="2"/>
      <c r="X197" s="38"/>
      <c r="Y197" s="110"/>
      <c r="Z197" s="48"/>
      <c r="AA197" s="37"/>
    </row>
    <row r="198" spans="2:27" s="47" customFormat="1" ht="20.100000000000001" customHeight="1">
      <c r="B198" s="707" t="str">
        <f>"Velocidad óptima de lavado a "&amp;I30&amp;" °C"</f>
        <v>Velocidad óptima de lavado a 20 °C</v>
      </c>
      <c r="C198" s="708"/>
      <c r="D198" s="708"/>
      <c r="E198" s="708"/>
      <c r="F198" s="708"/>
      <c r="G198" s="709"/>
      <c r="H198" s="95" t="s">
        <v>385</v>
      </c>
      <c r="I198" s="471">
        <f>0.1*I196</f>
        <v>0.74274658230905855</v>
      </c>
      <c r="J198" s="95" t="s">
        <v>126</v>
      </c>
      <c r="K198" s="952"/>
      <c r="L198" s="952"/>
      <c r="M198" s="952"/>
      <c r="N198" s="952"/>
      <c r="O198" s="63" t="str">
        <f>IF(I198&lt;0.3,"¡Error, velocidad de lavado baja!",IF(I198&gt;0.84,"¡Error, velocidad de lavado alta!","¡ok!"))</f>
        <v>¡ok!</v>
      </c>
      <c r="P198" s="122"/>
      <c r="Q198" s="122"/>
      <c r="R198" s="123"/>
      <c r="S198" s="124"/>
      <c r="T198" s="63"/>
      <c r="U198" s="63"/>
      <c r="V198" s="116"/>
      <c r="W198" s="2"/>
      <c r="X198" s="38"/>
      <c r="Y198" s="110"/>
      <c r="Z198" s="48"/>
      <c r="AA198" s="37"/>
    </row>
    <row r="199" spans="2:27" s="47" customFormat="1" ht="20.100000000000001" customHeight="1">
      <c r="B199" s="741" t="s">
        <v>376</v>
      </c>
      <c r="C199" s="742"/>
      <c r="D199" s="742"/>
      <c r="E199" s="742"/>
      <c r="F199" s="742"/>
      <c r="G199" s="743"/>
      <c r="H199" s="754" t="s">
        <v>386</v>
      </c>
      <c r="I199" s="798">
        <f>(I198/I196)^0.22</f>
        <v>0.60255958607435778</v>
      </c>
      <c r="J199" s="754"/>
      <c r="K199" s="936"/>
      <c r="L199" s="937"/>
      <c r="M199" s="937"/>
      <c r="N199" s="938"/>
      <c r="O199" s="63"/>
      <c r="P199" s="122"/>
      <c r="Q199" s="122"/>
      <c r="R199" s="123"/>
      <c r="S199" s="124"/>
      <c r="T199" s="63"/>
      <c r="U199" s="63"/>
      <c r="V199" s="210"/>
      <c r="W199" s="2"/>
      <c r="X199" s="38"/>
      <c r="Y199" s="110"/>
      <c r="Z199" s="48"/>
      <c r="AA199" s="37"/>
    </row>
    <row r="200" spans="2:27" s="47" customFormat="1" ht="20.100000000000001" customHeight="1">
      <c r="B200" s="747"/>
      <c r="C200" s="748"/>
      <c r="D200" s="748"/>
      <c r="E200" s="748"/>
      <c r="F200" s="748"/>
      <c r="G200" s="749"/>
      <c r="H200" s="755"/>
      <c r="I200" s="799"/>
      <c r="J200" s="755"/>
      <c r="K200" s="939"/>
      <c r="L200" s="940"/>
      <c r="M200" s="940"/>
      <c r="N200" s="941"/>
      <c r="O200" s="63"/>
      <c r="P200" s="122"/>
      <c r="Q200" s="122"/>
      <c r="R200" s="123"/>
      <c r="S200" s="124"/>
      <c r="T200" s="63"/>
      <c r="U200" s="63"/>
      <c r="V200" s="210"/>
      <c r="W200" s="2"/>
      <c r="X200" s="38"/>
      <c r="Y200" s="110"/>
      <c r="Z200" s="48"/>
      <c r="AA200" s="37"/>
    </row>
    <row r="201" spans="2:27" s="47" customFormat="1" ht="20.100000000000001" customHeight="1">
      <c r="B201" s="707" t="s">
        <v>377</v>
      </c>
      <c r="C201" s="708"/>
      <c r="D201" s="708"/>
      <c r="E201" s="708"/>
      <c r="F201" s="708"/>
      <c r="G201" s="709"/>
      <c r="H201" s="95" t="s">
        <v>46</v>
      </c>
      <c r="I201" s="471">
        <f>$I$74</f>
        <v>0.64</v>
      </c>
      <c r="J201" s="95" t="s">
        <v>3</v>
      </c>
      <c r="K201" s="952"/>
      <c r="L201" s="952"/>
      <c r="M201" s="952"/>
      <c r="N201" s="952"/>
      <c r="O201" s="63"/>
      <c r="P201" s="122"/>
      <c r="Q201" s="122"/>
      <c r="R201" s="123"/>
      <c r="S201" s="124"/>
      <c r="T201" s="63"/>
      <c r="U201" s="63"/>
      <c r="V201" s="210"/>
      <c r="W201" s="2"/>
      <c r="X201" s="38"/>
      <c r="Y201" s="110"/>
      <c r="Z201" s="48"/>
      <c r="AA201" s="37"/>
    </row>
    <row r="202" spans="2:27" s="47" customFormat="1" ht="20.100000000000001" customHeight="1">
      <c r="B202" s="741" t="s">
        <v>378</v>
      </c>
      <c r="C202" s="742"/>
      <c r="D202" s="742"/>
      <c r="E202" s="742"/>
      <c r="F202" s="742"/>
      <c r="G202" s="743"/>
      <c r="H202" s="754" t="s">
        <v>387</v>
      </c>
      <c r="I202" s="798">
        <f>I201*(1-I192)/(1-I199)</f>
        <v>0.88566735456816503</v>
      </c>
      <c r="J202" s="754" t="s">
        <v>3</v>
      </c>
      <c r="K202" s="936"/>
      <c r="L202" s="937"/>
      <c r="M202" s="937"/>
      <c r="N202" s="938"/>
      <c r="O202" s="63"/>
      <c r="P202" s="122"/>
      <c r="Q202" s="122"/>
      <c r="R202" s="123"/>
      <c r="S202" s="124"/>
      <c r="T202" s="63"/>
      <c r="U202" s="63"/>
      <c r="V202" s="210"/>
      <c r="W202" s="2"/>
      <c r="X202" s="38"/>
      <c r="Y202" s="110"/>
      <c r="Z202" s="48"/>
      <c r="AA202" s="37"/>
    </row>
    <row r="203" spans="2:27" s="47" customFormat="1" ht="20.100000000000001" customHeight="1">
      <c r="B203" s="747"/>
      <c r="C203" s="748"/>
      <c r="D203" s="748"/>
      <c r="E203" s="748"/>
      <c r="F203" s="748"/>
      <c r="G203" s="749"/>
      <c r="H203" s="755"/>
      <c r="I203" s="799"/>
      <c r="J203" s="755"/>
      <c r="K203" s="939"/>
      <c r="L203" s="940"/>
      <c r="M203" s="940"/>
      <c r="N203" s="941"/>
      <c r="O203" s="63"/>
      <c r="P203" s="122"/>
      <c r="Q203" s="122"/>
      <c r="R203" s="123"/>
      <c r="S203" s="124"/>
      <c r="T203" s="63"/>
      <c r="U203" s="63"/>
      <c r="V203" s="210"/>
      <c r="W203" s="2"/>
      <c r="X203" s="38"/>
      <c r="Y203" s="110"/>
      <c r="Z203" s="48"/>
      <c r="AA203" s="37"/>
    </row>
    <row r="204" spans="2:27" s="47" customFormat="1" ht="20.100000000000001" customHeight="1">
      <c r="B204" s="741" t="s">
        <v>379</v>
      </c>
      <c r="C204" s="742"/>
      <c r="D204" s="742"/>
      <c r="E204" s="742"/>
      <c r="F204" s="742"/>
      <c r="G204" s="743"/>
      <c r="H204" s="754" t="s">
        <v>380</v>
      </c>
      <c r="I204" s="754">
        <f>(I199-I192)/(1-I199)*100</f>
        <v>38.385524151275767</v>
      </c>
      <c r="J204" s="754" t="s">
        <v>204</v>
      </c>
      <c r="K204" s="936"/>
      <c r="L204" s="937"/>
      <c r="M204" s="937"/>
      <c r="N204" s="938"/>
      <c r="O204" s="945" t="str">
        <f>IF(I204&lt;35,"¡Error, relación de expansión baja!",IF(I204&gt;41,"¡Error, relación de expansión alta!","¡ok!"))</f>
        <v>¡ok!</v>
      </c>
      <c r="P204" s="122"/>
      <c r="Q204" s="122"/>
      <c r="R204" s="123"/>
      <c r="S204" s="124"/>
      <c r="T204" s="63"/>
      <c r="U204" s="63"/>
      <c r="V204" s="210"/>
      <c r="W204" s="2"/>
      <c r="X204" s="38"/>
      <c r="Y204" s="110"/>
      <c r="Z204" s="48"/>
      <c r="AA204" s="37"/>
    </row>
    <row r="205" spans="2:27" s="47" customFormat="1" ht="20.100000000000001" customHeight="1">
      <c r="B205" s="747"/>
      <c r="C205" s="748"/>
      <c r="D205" s="748"/>
      <c r="E205" s="748"/>
      <c r="F205" s="748"/>
      <c r="G205" s="749"/>
      <c r="H205" s="755"/>
      <c r="I205" s="755"/>
      <c r="J205" s="755"/>
      <c r="K205" s="939"/>
      <c r="L205" s="940"/>
      <c r="M205" s="940"/>
      <c r="N205" s="941"/>
      <c r="O205" s="945"/>
      <c r="P205" s="122"/>
      <c r="Q205" s="122"/>
      <c r="R205" s="123"/>
      <c r="S205" s="124"/>
      <c r="T205" s="63"/>
      <c r="U205" s="63"/>
      <c r="V205" s="210"/>
      <c r="W205" s="2"/>
      <c r="X205" s="38"/>
      <c r="Y205" s="110"/>
      <c r="Z205" s="48"/>
      <c r="AA205" s="37"/>
    </row>
    <row r="206" spans="2:27" s="47" customFormat="1" ht="20.100000000000001" customHeight="1">
      <c r="B206" s="11"/>
      <c r="C206" s="11"/>
      <c r="D206" s="11"/>
      <c r="E206" s="11"/>
      <c r="F206" s="11"/>
      <c r="G206" s="11"/>
      <c r="H206" s="125"/>
      <c r="I206" s="134"/>
      <c r="J206" s="77"/>
      <c r="K206" s="126"/>
      <c r="L206" s="126"/>
      <c r="M206" s="126"/>
      <c r="N206" s="126"/>
      <c r="O206" s="63"/>
      <c r="P206" s="122"/>
      <c r="Q206" s="122"/>
      <c r="R206" s="123"/>
      <c r="S206" s="124"/>
      <c r="T206" s="63"/>
      <c r="U206" s="63"/>
      <c r="V206" s="116"/>
      <c r="W206" s="2"/>
      <c r="X206" s="38"/>
      <c r="Y206" s="110"/>
      <c r="Z206" s="48"/>
      <c r="AA206" s="37"/>
    </row>
    <row r="207" spans="2:27" s="47" customFormat="1" ht="20.100000000000001" customHeight="1">
      <c r="B207" s="15" t="s">
        <v>281</v>
      </c>
      <c r="C207" s="11"/>
      <c r="D207" s="11"/>
      <c r="E207" s="11"/>
      <c r="F207" s="11"/>
      <c r="G207" s="11"/>
      <c r="H207" s="125"/>
      <c r="I207" s="117"/>
      <c r="J207" s="77"/>
      <c r="K207" s="126"/>
      <c r="L207" s="126"/>
      <c r="M207" s="126"/>
      <c r="N207" s="126"/>
      <c r="O207" s="63"/>
      <c r="P207" s="122"/>
      <c r="Q207" s="122"/>
      <c r="R207" s="12"/>
      <c r="S207" s="124"/>
      <c r="T207" s="63"/>
      <c r="U207" s="63"/>
      <c r="V207" s="116"/>
      <c r="W207" s="2"/>
      <c r="X207" s="38"/>
      <c r="Y207" s="110"/>
      <c r="Z207" s="48"/>
      <c r="AA207" s="37"/>
    </row>
    <row r="208" spans="2:27" s="47" customFormat="1" ht="20.100000000000001" customHeight="1">
      <c r="B208" s="763" t="s">
        <v>270</v>
      </c>
      <c r="C208" s="764"/>
      <c r="D208" s="764"/>
      <c r="E208" s="764"/>
      <c r="F208" s="764"/>
      <c r="G208" s="765"/>
      <c r="H208" s="114" t="s">
        <v>272</v>
      </c>
      <c r="I208" s="307">
        <v>10</v>
      </c>
      <c r="J208" s="58" t="s">
        <v>38</v>
      </c>
      <c r="K208" s="942"/>
      <c r="L208" s="943"/>
      <c r="M208" s="943"/>
      <c r="N208" s="944"/>
      <c r="O208" s="63"/>
      <c r="P208" s="122"/>
      <c r="Q208" s="122"/>
      <c r="R208" s="12"/>
      <c r="S208" s="124"/>
      <c r="T208" s="63"/>
      <c r="U208" s="63"/>
      <c r="V208" s="116"/>
      <c r="W208" s="2"/>
      <c r="X208" s="38"/>
      <c r="Y208" s="110"/>
      <c r="Z208" s="48"/>
      <c r="AA208" s="37"/>
    </row>
    <row r="209" spans="2:27" s="47" customFormat="1" ht="20.100000000000001" customHeight="1">
      <c r="B209" s="763" t="s">
        <v>275</v>
      </c>
      <c r="C209" s="764"/>
      <c r="D209" s="764"/>
      <c r="E209" s="764"/>
      <c r="F209" s="764"/>
      <c r="G209" s="765"/>
      <c r="H209" s="114" t="s">
        <v>277</v>
      </c>
      <c r="I209" s="307">
        <v>36</v>
      </c>
      <c r="J209" s="58" t="s">
        <v>203</v>
      </c>
      <c r="K209" s="390"/>
      <c r="L209" s="391"/>
      <c r="M209" s="391"/>
      <c r="N209" s="392"/>
      <c r="O209" s="63"/>
      <c r="P209" s="122"/>
      <c r="Q209" s="122"/>
      <c r="R209" s="12"/>
      <c r="S209" s="124"/>
      <c r="T209" s="63"/>
      <c r="U209" s="63"/>
      <c r="V209" s="116"/>
      <c r="W209" s="2"/>
      <c r="X209" s="38"/>
      <c r="Y209" s="110"/>
      <c r="Z209" s="48"/>
      <c r="AA209" s="37"/>
    </row>
    <row r="210" spans="2:27" s="47" customFormat="1" ht="20.100000000000001" customHeight="1">
      <c r="B210" s="763" t="s">
        <v>354</v>
      </c>
      <c r="C210" s="764"/>
      <c r="D210" s="764"/>
      <c r="E210" s="764"/>
      <c r="F210" s="764"/>
      <c r="G210" s="765"/>
      <c r="H210" s="58" t="s">
        <v>355</v>
      </c>
      <c r="I210" s="277">
        <f>I198</f>
        <v>0.74274658230905855</v>
      </c>
      <c r="J210" s="58" t="s">
        <v>126</v>
      </c>
      <c r="K210" s="942"/>
      <c r="L210" s="943"/>
      <c r="M210" s="943"/>
      <c r="N210" s="944"/>
      <c r="O210" s="63"/>
      <c r="P210" s="122"/>
      <c r="Q210" s="122"/>
      <c r="R210" s="12"/>
      <c r="S210" s="124"/>
      <c r="T210" s="63"/>
      <c r="U210" s="63"/>
      <c r="V210" s="116"/>
      <c r="W210" s="2"/>
      <c r="X210" s="38"/>
      <c r="Y210" s="110"/>
      <c r="Z210" s="48"/>
      <c r="AA210" s="37"/>
    </row>
    <row r="211" spans="2:27" s="47" customFormat="1" ht="20.100000000000001" customHeight="1">
      <c r="B211" s="707" t="s">
        <v>219</v>
      </c>
      <c r="C211" s="708"/>
      <c r="D211" s="708"/>
      <c r="E211" s="708"/>
      <c r="F211" s="708"/>
      <c r="G211" s="709"/>
      <c r="H211" s="80" t="s">
        <v>103</v>
      </c>
      <c r="I211" s="252">
        <f>G19</f>
        <v>120</v>
      </c>
      <c r="J211" s="108" t="s">
        <v>231</v>
      </c>
      <c r="K211" s="942"/>
      <c r="L211" s="943"/>
      <c r="M211" s="943"/>
      <c r="N211" s="944"/>
      <c r="O211" s="63"/>
      <c r="P211" s="122"/>
      <c r="Q211" s="122"/>
      <c r="R211" s="12"/>
      <c r="S211" s="124"/>
      <c r="T211" s="63"/>
      <c r="U211" s="63"/>
      <c r="V211" s="116"/>
      <c r="W211" s="2"/>
      <c r="X211" s="38"/>
      <c r="Y211" s="110"/>
      <c r="Z211" s="48"/>
      <c r="AA211" s="37"/>
    </row>
    <row r="212" spans="2:27" s="47" customFormat="1" ht="20.100000000000001" customHeight="1">
      <c r="B212" s="707" t="s">
        <v>274</v>
      </c>
      <c r="C212" s="708"/>
      <c r="D212" s="708"/>
      <c r="E212" s="708"/>
      <c r="F212" s="708"/>
      <c r="G212" s="709"/>
      <c r="H212" s="251" t="s">
        <v>233</v>
      </c>
      <c r="I212" s="95">
        <f>I162</f>
        <v>8.24</v>
      </c>
      <c r="J212" s="251" t="s">
        <v>230</v>
      </c>
      <c r="K212" s="942"/>
      <c r="L212" s="943"/>
      <c r="M212" s="943"/>
      <c r="N212" s="944"/>
      <c r="O212" s="63"/>
      <c r="P212" s="122"/>
      <c r="Q212" s="122"/>
      <c r="R212" s="12"/>
      <c r="S212" s="124"/>
      <c r="T212" s="63"/>
      <c r="U212" s="63"/>
      <c r="V212" s="116"/>
      <c r="W212" s="2"/>
      <c r="X212" s="38"/>
      <c r="Y212" s="110"/>
      <c r="Z212" s="48"/>
      <c r="AA212" s="37"/>
    </row>
    <row r="213" spans="2:27" s="47" customFormat="1" ht="20.100000000000001" customHeight="1">
      <c r="B213" s="707" t="s">
        <v>336</v>
      </c>
      <c r="C213" s="708"/>
      <c r="D213" s="708"/>
      <c r="E213" s="708"/>
      <c r="F213" s="708"/>
      <c r="G213" s="709"/>
      <c r="H213" s="114" t="s">
        <v>314</v>
      </c>
      <c r="I213" s="258">
        <f>ROUND((I210/60)*I212,3)</f>
        <v>0.10199999999999999</v>
      </c>
      <c r="J213" s="58" t="s">
        <v>313</v>
      </c>
      <c r="K213" s="942"/>
      <c r="L213" s="943"/>
      <c r="M213" s="943"/>
      <c r="N213" s="944"/>
      <c r="O213" s="157"/>
      <c r="P213" s="122"/>
      <c r="Q213" s="122"/>
      <c r="R213" s="12"/>
      <c r="S213" s="124"/>
      <c r="T213" s="63"/>
      <c r="U213" s="63"/>
      <c r="V213" s="116"/>
      <c r="W213" s="2"/>
      <c r="X213" s="38"/>
      <c r="Y213" s="110"/>
      <c r="Z213" s="48"/>
      <c r="AA213" s="37"/>
    </row>
    <row r="214" spans="2:27" s="47" customFormat="1" ht="20.100000000000001" customHeight="1">
      <c r="B214" s="763" t="s">
        <v>280</v>
      </c>
      <c r="C214" s="764"/>
      <c r="D214" s="764"/>
      <c r="E214" s="764"/>
      <c r="F214" s="764"/>
      <c r="G214" s="765"/>
      <c r="H214" s="114" t="s">
        <v>315</v>
      </c>
      <c r="I214" s="202">
        <f>ROUND(I210*I212*I208,3)</f>
        <v>61.201999999999998</v>
      </c>
      <c r="J214" s="58" t="s">
        <v>278</v>
      </c>
      <c r="K214" s="942"/>
      <c r="L214" s="943"/>
      <c r="M214" s="943"/>
      <c r="N214" s="944"/>
      <c r="O214" s="63"/>
      <c r="P214" s="122"/>
      <c r="Q214" s="122"/>
      <c r="R214" s="12"/>
      <c r="S214" s="124"/>
      <c r="T214" s="63"/>
      <c r="U214" s="63"/>
      <c r="V214" s="116"/>
      <c r="W214" s="2"/>
      <c r="X214" s="38"/>
      <c r="Y214" s="110"/>
      <c r="Z214" s="48"/>
      <c r="AA214" s="37"/>
    </row>
    <row r="215" spans="2:27" s="47" customFormat="1" ht="20.100000000000001" customHeight="1">
      <c r="B215" s="763" t="s">
        <v>279</v>
      </c>
      <c r="C215" s="764"/>
      <c r="D215" s="764"/>
      <c r="E215" s="764"/>
      <c r="F215" s="764"/>
      <c r="G215" s="765"/>
      <c r="H215" s="114" t="s">
        <v>316</v>
      </c>
      <c r="I215" s="202">
        <f>ROUND((I211/24)*I212*I209,3)</f>
        <v>1483.2</v>
      </c>
      <c r="J215" s="58" t="s">
        <v>278</v>
      </c>
      <c r="K215" s="942"/>
      <c r="L215" s="943"/>
      <c r="M215" s="943"/>
      <c r="N215" s="944"/>
      <c r="O215" s="63"/>
      <c r="P215" s="122"/>
      <c r="Q215" s="122"/>
      <c r="R215" s="12"/>
      <c r="S215" s="124"/>
      <c r="T215" s="63"/>
      <c r="U215" s="63"/>
      <c r="V215" s="116"/>
      <c r="W215" s="2"/>
      <c r="X215" s="38"/>
      <c r="Y215" s="110"/>
      <c r="Z215" s="48"/>
      <c r="AA215" s="37"/>
    </row>
    <row r="216" spans="2:27" s="47" customFormat="1" ht="20.100000000000001" customHeight="1">
      <c r="B216" s="762" t="s">
        <v>276</v>
      </c>
      <c r="C216" s="762"/>
      <c r="D216" s="762"/>
      <c r="E216" s="762"/>
      <c r="F216" s="762"/>
      <c r="G216" s="762"/>
      <c r="H216" s="58" t="s">
        <v>317</v>
      </c>
      <c r="I216" s="58">
        <f>I214/I215*100</f>
        <v>4.1263484358144549</v>
      </c>
      <c r="J216" s="58" t="s">
        <v>204</v>
      </c>
      <c r="K216" s="994"/>
      <c r="L216" s="994"/>
      <c r="M216" s="994"/>
      <c r="N216" s="994"/>
      <c r="O216" s="63"/>
      <c r="P216" s="45"/>
      <c r="Q216" s="45"/>
      <c r="R216" s="12"/>
      <c r="S216" s="124"/>
      <c r="T216" s="63"/>
      <c r="U216" s="63"/>
      <c r="V216" s="116"/>
      <c r="W216" s="2"/>
      <c r="X216" s="38"/>
      <c r="Y216" s="110"/>
      <c r="Z216" s="48"/>
      <c r="AA216" s="37"/>
    </row>
    <row r="217" spans="2:27" s="47" customFormat="1" ht="20.100000000000001" customHeight="1">
      <c r="B217" s="11"/>
      <c r="C217" s="11"/>
      <c r="D217" s="11"/>
      <c r="E217" s="11"/>
      <c r="F217" s="11"/>
      <c r="G217" s="11"/>
      <c r="H217" s="77"/>
      <c r="I217" s="46"/>
      <c r="J217" s="45"/>
      <c r="K217" s="45"/>
      <c r="L217" s="45"/>
      <c r="M217" s="45"/>
      <c r="N217" s="45"/>
      <c r="O217" s="63"/>
      <c r="P217" s="45"/>
      <c r="Q217" s="45"/>
      <c r="R217" s="12"/>
      <c r="S217" s="124"/>
      <c r="T217" s="63"/>
      <c r="U217" s="63"/>
      <c r="V217" s="112"/>
      <c r="W217" s="2"/>
      <c r="X217" s="38"/>
      <c r="Y217" s="21"/>
      <c r="Z217" s="48"/>
      <c r="AA217" s="37"/>
    </row>
    <row r="218" spans="2:27" s="47" customFormat="1" ht="20.100000000000001" customHeight="1">
      <c r="B218" s="33" t="s">
        <v>117</v>
      </c>
      <c r="C218" s="45"/>
      <c r="D218" s="53"/>
      <c r="E218" s="45"/>
      <c r="F218" s="49"/>
      <c r="G218" s="46"/>
      <c r="H218" s="50"/>
      <c r="I218" s="46"/>
      <c r="J218" s="50"/>
      <c r="K218" s="2"/>
      <c r="L218" s="2"/>
      <c r="M218" s="38"/>
      <c r="N218" s="38"/>
      <c r="O218" s="38"/>
      <c r="P218" s="45"/>
      <c r="Q218" s="45"/>
      <c r="R218" s="12"/>
      <c r="S218" s="63"/>
      <c r="T218" s="63"/>
      <c r="U218" s="63"/>
      <c r="V218" s="112"/>
      <c r="W218" s="2"/>
      <c r="X218" s="38"/>
      <c r="Y218" s="21"/>
      <c r="Z218" s="48"/>
      <c r="AA218" s="37"/>
    </row>
    <row r="219" spans="2:27" s="47" customFormat="1" ht="20.100000000000001" customHeight="1">
      <c r="B219" s="763" t="s">
        <v>119</v>
      </c>
      <c r="C219" s="764"/>
      <c r="D219" s="764"/>
      <c r="E219" s="764"/>
      <c r="F219" s="764"/>
      <c r="G219" s="765"/>
      <c r="H219" s="58" t="s">
        <v>46</v>
      </c>
      <c r="I219" s="202">
        <f>I74</f>
        <v>0.64</v>
      </c>
      <c r="J219" s="58" t="s">
        <v>3</v>
      </c>
      <c r="K219" s="994"/>
      <c r="L219" s="994"/>
      <c r="M219" s="994"/>
      <c r="N219" s="994"/>
      <c r="O219" s="38"/>
      <c r="P219" s="63"/>
      <c r="Q219" s="63"/>
      <c r="R219" s="63"/>
      <c r="S219" s="124"/>
      <c r="T219" s="63"/>
      <c r="U219" s="63"/>
      <c r="V219" s="112"/>
      <c r="W219" s="2"/>
      <c r="X219" s="38"/>
      <c r="Y219" s="21"/>
      <c r="Z219" s="48"/>
      <c r="AA219" s="37"/>
    </row>
    <row r="220" spans="2:27" s="47" customFormat="1" ht="20.100000000000001" customHeight="1">
      <c r="B220" s="763" t="s">
        <v>118</v>
      </c>
      <c r="C220" s="764"/>
      <c r="D220" s="764"/>
      <c r="E220" s="764"/>
      <c r="F220" s="764"/>
      <c r="G220" s="765"/>
      <c r="H220" s="58" t="s">
        <v>8</v>
      </c>
      <c r="I220" s="202">
        <f>I76</f>
        <v>0.45</v>
      </c>
      <c r="J220" s="58"/>
      <c r="K220" s="994"/>
      <c r="L220" s="994"/>
      <c r="M220" s="994"/>
      <c r="N220" s="994"/>
      <c r="O220" s="38"/>
      <c r="P220" s="38"/>
      <c r="Q220" s="38"/>
      <c r="R220" s="38"/>
      <c r="S220" s="38"/>
      <c r="T220" s="38"/>
      <c r="U220" s="38"/>
      <c r="V220" s="112"/>
      <c r="W220" s="2"/>
      <c r="X220" s="38"/>
      <c r="Y220" s="21"/>
      <c r="Z220" s="48"/>
      <c r="AA220" s="37"/>
    </row>
    <row r="221" spans="2:27" s="47" customFormat="1" ht="20.100000000000001" customHeight="1">
      <c r="B221" s="763" t="s">
        <v>120</v>
      </c>
      <c r="C221" s="764"/>
      <c r="D221" s="764"/>
      <c r="E221" s="764"/>
      <c r="F221" s="764"/>
      <c r="G221" s="765"/>
      <c r="H221" s="58" t="s">
        <v>121</v>
      </c>
      <c r="I221" s="202">
        <f>I75</f>
        <v>2.65</v>
      </c>
      <c r="J221" s="58"/>
      <c r="K221" s="994"/>
      <c r="L221" s="994"/>
      <c r="M221" s="994"/>
      <c r="N221" s="994"/>
      <c r="O221" s="38"/>
      <c r="P221" s="38"/>
      <c r="Q221" s="38"/>
      <c r="R221" s="38"/>
      <c r="S221" s="62"/>
      <c r="T221" s="38"/>
      <c r="U221" s="38"/>
      <c r="V221" s="53"/>
      <c r="W221" s="2"/>
      <c r="X221" s="38"/>
      <c r="Y221" s="21"/>
      <c r="Z221" s="48"/>
      <c r="AA221" s="37"/>
    </row>
    <row r="222" spans="2:27" s="47" customFormat="1" ht="20.100000000000001" customHeight="1">
      <c r="B222" s="762" t="s">
        <v>123</v>
      </c>
      <c r="C222" s="762"/>
      <c r="D222" s="762"/>
      <c r="E222" s="762"/>
      <c r="F222" s="762"/>
      <c r="G222" s="762"/>
      <c r="H222" s="58" t="s">
        <v>122</v>
      </c>
      <c r="I222" s="202">
        <f>I219*(1-I220)*(I221-1)</f>
        <v>0.58079999999999998</v>
      </c>
      <c r="J222" s="58" t="s">
        <v>3</v>
      </c>
      <c r="K222" s="994"/>
      <c r="L222" s="994"/>
      <c r="M222" s="994"/>
      <c r="N222" s="994"/>
      <c r="O222" s="38"/>
      <c r="P222" s="38"/>
      <c r="Q222" s="38"/>
      <c r="R222" s="38"/>
      <c r="S222" s="38"/>
      <c r="T222" s="38"/>
      <c r="U222" s="38"/>
      <c r="V222" s="53"/>
      <c r="W222" s="2"/>
      <c r="X222" s="38"/>
      <c r="Y222" s="21"/>
      <c r="Z222" s="48"/>
      <c r="AA222" s="37"/>
    </row>
    <row r="223" spans="2:27" s="47" customFormat="1" ht="20.100000000000001" customHeight="1">
      <c r="B223" s="33"/>
      <c r="C223" s="45"/>
      <c r="D223" s="53"/>
      <c r="E223" s="45"/>
      <c r="F223" s="49"/>
      <c r="G223" s="46"/>
      <c r="H223" s="50"/>
      <c r="I223" s="46"/>
      <c r="J223" s="50"/>
      <c r="K223" s="2"/>
      <c r="L223" s="2"/>
      <c r="M223" s="38"/>
      <c r="N223" s="38"/>
      <c r="O223" s="38"/>
      <c r="P223" s="53"/>
      <c r="Q223" s="116"/>
      <c r="R223" s="2"/>
      <c r="S223" s="62"/>
      <c r="T223" s="38"/>
      <c r="U223" s="38"/>
      <c r="V223" s="53"/>
      <c r="W223" s="2"/>
      <c r="X223" s="38"/>
      <c r="Y223" s="21"/>
      <c r="Z223" s="48"/>
      <c r="AA223" s="37"/>
    </row>
    <row r="224" spans="2:27" s="47" customFormat="1" ht="20.100000000000001" customHeight="1">
      <c r="B224" s="33" t="s">
        <v>459</v>
      </c>
      <c r="C224" s="45"/>
      <c r="D224" s="55"/>
      <c r="E224" s="45"/>
      <c r="F224" s="49"/>
      <c r="G224" s="46"/>
      <c r="H224" s="50"/>
      <c r="I224" s="46"/>
      <c r="J224" s="50"/>
      <c r="K224" s="2"/>
      <c r="L224" s="2"/>
      <c r="M224" s="38"/>
      <c r="N224" s="38"/>
      <c r="O224" s="38"/>
      <c r="P224" s="55"/>
      <c r="Q224" s="116"/>
      <c r="R224" s="2"/>
      <c r="S224" s="38"/>
      <c r="T224" s="38"/>
      <c r="U224" s="38"/>
      <c r="V224" s="55"/>
      <c r="W224" s="2"/>
      <c r="X224" s="38"/>
      <c r="Y224" s="21"/>
      <c r="Z224" s="48"/>
      <c r="AA224" s="37"/>
    </row>
    <row r="225" spans="2:27" s="47" customFormat="1" ht="20.100000000000001" customHeight="1">
      <c r="B225" s="763" t="s">
        <v>354</v>
      </c>
      <c r="C225" s="764"/>
      <c r="D225" s="764"/>
      <c r="E225" s="764"/>
      <c r="F225" s="764"/>
      <c r="G225" s="765"/>
      <c r="H225" s="58" t="s">
        <v>355</v>
      </c>
      <c r="I225" s="202">
        <f>I210</f>
        <v>0.74274658230905855</v>
      </c>
      <c r="J225" s="58" t="s">
        <v>126</v>
      </c>
      <c r="K225" s="985"/>
      <c r="L225" s="986"/>
      <c r="M225" s="986"/>
      <c r="N225" s="987"/>
      <c r="O225" s="38"/>
      <c r="P225" s="116"/>
      <c r="Q225" s="116"/>
      <c r="R225" s="2"/>
      <c r="S225" s="38"/>
      <c r="T225" s="38"/>
      <c r="U225" s="38"/>
      <c r="V225" s="116"/>
      <c r="W225" s="2"/>
      <c r="X225" s="38"/>
      <c r="Y225" s="110"/>
      <c r="Z225" s="48"/>
      <c r="AA225" s="37"/>
    </row>
    <row r="226" spans="2:27" s="47" customFormat="1" ht="20.100000000000001" customHeight="1">
      <c r="B226" s="707" t="s">
        <v>168</v>
      </c>
      <c r="C226" s="708"/>
      <c r="D226" s="708"/>
      <c r="E226" s="708"/>
      <c r="F226" s="708"/>
      <c r="G226" s="709"/>
      <c r="H226" s="80" t="s">
        <v>169</v>
      </c>
      <c r="I226" s="58">
        <f>SUM(G88:G92)</f>
        <v>0.44999999999999996</v>
      </c>
      <c r="J226" s="58" t="s">
        <v>3</v>
      </c>
      <c r="K226" s="985"/>
      <c r="L226" s="986"/>
      <c r="M226" s="986"/>
      <c r="N226" s="987"/>
      <c r="O226" s="38"/>
      <c r="P226" s="116"/>
      <c r="Q226" s="116"/>
      <c r="R226" s="2"/>
      <c r="S226" s="38"/>
      <c r="T226" s="38"/>
      <c r="U226" s="38"/>
      <c r="V226" s="116"/>
      <c r="W226" s="2"/>
      <c r="X226" s="38"/>
      <c r="Y226" s="110"/>
      <c r="Z226" s="48"/>
      <c r="AA226" s="37"/>
    </row>
    <row r="227" spans="2:27" s="47" customFormat="1" ht="20.100000000000001" customHeight="1">
      <c r="B227" s="741" t="s">
        <v>356</v>
      </c>
      <c r="C227" s="742"/>
      <c r="D227" s="742"/>
      <c r="E227" s="742"/>
      <c r="F227" s="742"/>
      <c r="G227" s="743"/>
      <c r="H227" s="796" t="s">
        <v>357</v>
      </c>
      <c r="I227" s="981">
        <f>(I225*I226)/3</f>
        <v>0.11141198734635877</v>
      </c>
      <c r="J227" s="796" t="s">
        <v>3</v>
      </c>
      <c r="K227" s="988"/>
      <c r="L227" s="989"/>
      <c r="M227" s="989"/>
      <c r="N227" s="990"/>
      <c r="O227" s="38"/>
      <c r="P227" s="203"/>
      <c r="Q227" s="203"/>
      <c r="R227" s="2"/>
      <c r="S227" s="38"/>
      <c r="T227" s="38"/>
      <c r="U227" s="38"/>
      <c r="V227" s="203"/>
      <c r="W227" s="2"/>
      <c r="X227" s="38"/>
      <c r="Y227" s="110"/>
      <c r="Z227" s="48"/>
      <c r="AA227" s="37"/>
    </row>
    <row r="228" spans="2:27" s="47" customFormat="1" ht="20.100000000000001" customHeight="1">
      <c r="B228" s="747"/>
      <c r="C228" s="748"/>
      <c r="D228" s="748"/>
      <c r="E228" s="748"/>
      <c r="F228" s="748"/>
      <c r="G228" s="749"/>
      <c r="H228" s="797"/>
      <c r="I228" s="982"/>
      <c r="J228" s="797"/>
      <c r="K228" s="991"/>
      <c r="L228" s="992"/>
      <c r="M228" s="992"/>
      <c r="N228" s="993"/>
      <c r="O228" s="38"/>
      <c r="P228" s="116"/>
      <c r="Q228" s="116"/>
      <c r="R228" s="2"/>
      <c r="S228" s="38"/>
      <c r="T228" s="38"/>
      <c r="U228" s="38"/>
      <c r="V228" s="116"/>
      <c r="W228" s="2"/>
      <c r="X228" s="38"/>
      <c r="Y228" s="110"/>
      <c r="Z228" s="48"/>
      <c r="AA228" s="37"/>
    </row>
    <row r="229" spans="2:27" s="47" customFormat="1" ht="20.100000000000001" customHeight="1">
      <c r="B229" s="33"/>
      <c r="C229" s="45"/>
      <c r="D229" s="55"/>
      <c r="E229" s="45"/>
      <c r="F229" s="49"/>
      <c r="G229" s="46"/>
      <c r="H229" s="50"/>
      <c r="I229" s="46"/>
      <c r="J229" s="50"/>
      <c r="K229" s="2"/>
      <c r="L229" s="2"/>
      <c r="M229" s="38"/>
      <c r="N229" s="38"/>
      <c r="O229" s="38"/>
      <c r="P229" s="55"/>
      <c r="Q229" s="116"/>
      <c r="R229" s="2"/>
      <c r="S229" s="38"/>
      <c r="T229" s="38"/>
      <c r="U229" s="38"/>
      <c r="V229" s="55"/>
      <c r="W229" s="2"/>
      <c r="X229" s="38"/>
      <c r="Y229" s="21"/>
      <c r="Z229" s="48"/>
      <c r="AA229" s="37"/>
    </row>
    <row r="230" spans="2:27" s="47" customFormat="1" ht="20.100000000000001" customHeight="1">
      <c r="B230" s="33" t="s">
        <v>460</v>
      </c>
      <c r="C230" s="45"/>
      <c r="D230" s="1"/>
      <c r="E230" s="46"/>
      <c r="F230" s="1"/>
      <c r="G230" s="1"/>
      <c r="H230" s="38"/>
      <c r="I230" s="1"/>
      <c r="J230" s="2"/>
      <c r="K230" s="2"/>
      <c r="L230" s="2"/>
      <c r="M230" s="38"/>
      <c r="N230" s="38"/>
      <c r="O230" s="38"/>
      <c r="P230" s="1"/>
      <c r="Q230" s="116"/>
      <c r="R230" s="2"/>
      <c r="S230" s="62"/>
      <c r="T230" s="38"/>
      <c r="U230" s="38"/>
      <c r="V230" s="1"/>
      <c r="W230" s="2"/>
      <c r="X230" s="38"/>
      <c r="Y230" s="21"/>
      <c r="Z230" s="48"/>
      <c r="AA230" s="37"/>
    </row>
    <row r="231" spans="2:27" s="47" customFormat="1" ht="20.100000000000001" customHeight="1">
      <c r="B231" s="763" t="s">
        <v>354</v>
      </c>
      <c r="C231" s="764"/>
      <c r="D231" s="764"/>
      <c r="E231" s="764"/>
      <c r="F231" s="764"/>
      <c r="G231" s="765"/>
      <c r="H231" s="287" t="s">
        <v>355</v>
      </c>
      <c r="I231" s="277">
        <f>I198/60</f>
        <v>1.2379109705150975E-2</v>
      </c>
      <c r="J231" s="58" t="s">
        <v>5</v>
      </c>
      <c r="K231" s="985"/>
      <c r="L231" s="986"/>
      <c r="M231" s="986"/>
      <c r="N231" s="987"/>
      <c r="O231" s="38"/>
      <c r="P231" s="116"/>
      <c r="Q231" s="116"/>
      <c r="R231" s="2"/>
      <c r="S231" s="62"/>
      <c r="T231" s="38"/>
      <c r="U231" s="38"/>
      <c r="V231" s="116"/>
      <c r="W231" s="2"/>
      <c r="X231" s="38"/>
      <c r="Y231" s="110"/>
      <c r="Z231" s="48"/>
      <c r="AA231" s="37"/>
    </row>
    <row r="232" spans="2:27" s="47" customFormat="1" ht="20.100000000000001" customHeight="1">
      <c r="B232" s="763" t="s">
        <v>358</v>
      </c>
      <c r="C232" s="764"/>
      <c r="D232" s="764"/>
      <c r="E232" s="764"/>
      <c r="F232" s="764"/>
      <c r="G232" s="765"/>
      <c r="H232" s="155" t="s">
        <v>44</v>
      </c>
      <c r="I232" s="308">
        <v>0.6</v>
      </c>
      <c r="J232" s="155"/>
      <c r="K232" s="985"/>
      <c r="L232" s="986"/>
      <c r="M232" s="986"/>
      <c r="N232" s="987"/>
      <c r="O232" s="38"/>
      <c r="P232" s="116"/>
      <c r="Q232" s="116"/>
      <c r="R232" s="2"/>
      <c r="S232" s="62"/>
      <c r="T232" s="38"/>
      <c r="U232" s="38"/>
      <c r="V232" s="116"/>
      <c r="W232" s="2"/>
      <c r="X232" s="38"/>
      <c r="Y232" s="110"/>
      <c r="Z232" s="48"/>
      <c r="AA232" s="37"/>
    </row>
    <row r="233" spans="2:27" s="47" customFormat="1" ht="20.100000000000001" customHeight="1">
      <c r="B233" s="763" t="s">
        <v>254</v>
      </c>
      <c r="C233" s="764"/>
      <c r="D233" s="764"/>
      <c r="E233" s="764"/>
      <c r="F233" s="764"/>
      <c r="G233" s="765"/>
      <c r="H233" s="287" t="s">
        <v>265</v>
      </c>
      <c r="I233" s="277">
        <f>I184</f>
        <v>2.8E-3</v>
      </c>
      <c r="J233" s="155"/>
      <c r="K233" s="985"/>
      <c r="L233" s="986"/>
      <c r="M233" s="986"/>
      <c r="N233" s="987"/>
      <c r="O233" s="38"/>
      <c r="P233" s="116"/>
      <c r="Q233" s="116"/>
      <c r="R233" s="2"/>
      <c r="S233" s="62"/>
      <c r="T233" s="38"/>
      <c r="U233" s="38"/>
      <c r="V233" s="116"/>
      <c r="W233" s="2"/>
      <c r="X233" s="38"/>
      <c r="Y233" s="110"/>
      <c r="Z233" s="48"/>
      <c r="AA233" s="37"/>
    </row>
    <row r="234" spans="2:27" s="47" customFormat="1" ht="20.100000000000001" customHeight="1">
      <c r="B234" s="786" t="s">
        <v>360</v>
      </c>
      <c r="C234" s="787"/>
      <c r="D234" s="787"/>
      <c r="E234" s="787"/>
      <c r="F234" s="787"/>
      <c r="G234" s="788"/>
      <c r="H234" s="875" t="s">
        <v>361</v>
      </c>
      <c r="I234" s="798">
        <f>(1/(2*9.806))*(I231/(I232*I233))^2</f>
        <v>2.7684607803693799</v>
      </c>
      <c r="J234" s="796" t="s">
        <v>3</v>
      </c>
      <c r="K234" s="988"/>
      <c r="L234" s="989"/>
      <c r="M234" s="989"/>
      <c r="N234" s="990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21"/>
      <c r="Z234" s="48"/>
      <c r="AA234" s="37"/>
    </row>
    <row r="235" spans="2:27" s="47" customFormat="1" ht="20.100000000000001" customHeight="1">
      <c r="B235" s="789"/>
      <c r="C235" s="790"/>
      <c r="D235" s="790"/>
      <c r="E235" s="790"/>
      <c r="F235" s="790"/>
      <c r="G235" s="791"/>
      <c r="H235" s="876"/>
      <c r="I235" s="799"/>
      <c r="J235" s="797"/>
      <c r="K235" s="991"/>
      <c r="L235" s="992"/>
      <c r="M235" s="992"/>
      <c r="N235" s="993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110"/>
      <c r="Z235" s="48"/>
      <c r="AA235" s="37"/>
    </row>
    <row r="236" spans="2:27" s="47" customFormat="1" ht="20.100000000000001" customHeight="1">
      <c r="B236" s="27"/>
      <c r="C236" s="27"/>
      <c r="D236" s="27"/>
      <c r="E236" s="27"/>
      <c r="F236" s="28"/>
      <c r="G236" s="29"/>
      <c r="H236" s="30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110"/>
      <c r="Z236" s="48"/>
      <c r="AA236" s="37"/>
    </row>
    <row r="237" spans="2:27" s="47" customFormat="1" ht="20.100000000000001" customHeight="1">
      <c r="B237" s="33" t="s">
        <v>309</v>
      </c>
      <c r="C237" s="27"/>
      <c r="D237" s="27"/>
      <c r="E237" s="27"/>
      <c r="F237" s="28"/>
      <c r="G237" s="29"/>
      <c r="H237" s="30"/>
      <c r="I237" s="38"/>
      <c r="J237" s="38"/>
      <c r="K237" s="38"/>
      <c r="L237" s="38"/>
      <c r="M237" s="38"/>
      <c r="N237" s="38"/>
      <c r="O237" s="38"/>
      <c r="P237" s="33"/>
      <c r="Q237" s="38"/>
      <c r="R237" s="38"/>
      <c r="S237" s="38"/>
      <c r="T237" s="38"/>
      <c r="U237" s="38"/>
      <c r="V237" s="38"/>
      <c r="W237" s="38"/>
      <c r="X237" s="38"/>
      <c r="Y237" s="110"/>
      <c r="Z237" s="48"/>
      <c r="AA237" s="37"/>
    </row>
    <row r="238" spans="2:27" s="47" customFormat="1" ht="20.100000000000001" customHeight="1">
      <c r="B238" s="763" t="s">
        <v>310</v>
      </c>
      <c r="C238" s="764"/>
      <c r="D238" s="764"/>
      <c r="E238" s="764"/>
      <c r="F238" s="764"/>
      <c r="G238" s="765"/>
      <c r="H238" s="974" t="s">
        <v>285</v>
      </c>
      <c r="I238" s="975"/>
      <c r="J238" s="976"/>
      <c r="K238" s="759"/>
      <c r="L238" s="760"/>
      <c r="M238" s="760"/>
      <c r="N238" s="761"/>
      <c r="O238" s="38"/>
      <c r="P238" s="164"/>
      <c r="Q238" s="164"/>
      <c r="R238" s="164"/>
      <c r="S238" s="164"/>
      <c r="T238" s="38"/>
      <c r="U238" s="38"/>
      <c r="V238" s="38"/>
      <c r="W238" s="38"/>
      <c r="X238" s="38"/>
      <c r="Y238" s="110"/>
      <c r="Z238" s="48"/>
      <c r="AA238" s="37"/>
    </row>
    <row r="239" spans="2:27" s="47" customFormat="1" ht="20.100000000000001" customHeight="1">
      <c r="B239" s="763" t="s">
        <v>323</v>
      </c>
      <c r="C239" s="764"/>
      <c r="D239" s="764"/>
      <c r="E239" s="764"/>
      <c r="F239" s="764"/>
      <c r="G239" s="765"/>
      <c r="H239" s="248" t="s">
        <v>329</v>
      </c>
      <c r="I239" s="220">
        <f>VLOOKUP(H238,BQ9:BR16,2,FALSE)</f>
        <v>0.15</v>
      </c>
      <c r="J239" s="108" t="s">
        <v>128</v>
      </c>
      <c r="K239" s="393"/>
      <c r="L239" s="394"/>
      <c r="M239" s="394"/>
      <c r="N239" s="395"/>
      <c r="O239" s="38"/>
      <c r="P239" s="164"/>
      <c r="Q239" s="164"/>
      <c r="R239" s="164"/>
      <c r="S239" s="164"/>
      <c r="T239" s="38"/>
      <c r="U239" s="38"/>
      <c r="V239" s="38"/>
      <c r="W239" s="38"/>
      <c r="X239" s="38"/>
      <c r="Y239" s="110"/>
      <c r="Z239" s="48"/>
      <c r="AA239" s="37"/>
    </row>
    <row r="240" spans="2:27" s="47" customFormat="1" ht="20.100000000000001" customHeight="1">
      <c r="B240" s="763" t="s">
        <v>330</v>
      </c>
      <c r="C240" s="764"/>
      <c r="D240" s="764"/>
      <c r="E240" s="764"/>
      <c r="F240" s="764"/>
      <c r="G240" s="765"/>
      <c r="H240" s="248" t="s">
        <v>331</v>
      </c>
      <c r="I240" s="313">
        <v>20</v>
      </c>
      <c r="J240" s="108" t="s">
        <v>3</v>
      </c>
      <c r="K240" s="393"/>
      <c r="L240" s="394"/>
      <c r="M240" s="394"/>
      <c r="N240" s="395"/>
      <c r="O240" s="38"/>
      <c r="P240" s="164"/>
      <c r="Q240" s="164"/>
      <c r="R240" s="164"/>
      <c r="S240" s="164"/>
      <c r="T240" s="38"/>
      <c r="U240" s="38"/>
      <c r="V240" s="38"/>
      <c r="W240" s="38"/>
      <c r="X240" s="38"/>
      <c r="Y240" s="110"/>
      <c r="Z240" s="48"/>
      <c r="AA240" s="37"/>
    </row>
    <row r="241" spans="2:27" s="47" customFormat="1" ht="20.100000000000001" customHeight="1">
      <c r="B241" s="763" t="s">
        <v>311</v>
      </c>
      <c r="C241" s="764"/>
      <c r="D241" s="764"/>
      <c r="E241" s="764"/>
      <c r="F241" s="764"/>
      <c r="G241" s="765"/>
      <c r="H241" s="248" t="s">
        <v>319</v>
      </c>
      <c r="I241" s="303">
        <v>10</v>
      </c>
      <c r="J241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241" s="759"/>
      <c r="L241" s="760"/>
      <c r="M241" s="760"/>
      <c r="N241" s="761"/>
      <c r="O241" s="38"/>
      <c r="P241" s="164"/>
      <c r="Q241" s="164"/>
      <c r="R241" s="164"/>
      <c r="S241" s="164"/>
      <c r="T241" s="38"/>
      <c r="U241" s="38"/>
      <c r="V241" s="38"/>
      <c r="W241" s="38"/>
      <c r="X241" s="38"/>
      <c r="Y241" s="110"/>
      <c r="Z241" s="48"/>
      <c r="AA241" s="37"/>
    </row>
    <row r="242" spans="2:27" s="47" customFormat="1" ht="20.100000000000001" customHeight="1">
      <c r="B242" s="763" t="s">
        <v>312</v>
      </c>
      <c r="C242" s="764"/>
      <c r="D242" s="764"/>
      <c r="E242" s="764"/>
      <c r="F242" s="764"/>
      <c r="G242" s="765"/>
      <c r="H242" s="248" t="s">
        <v>320</v>
      </c>
      <c r="I242" s="249">
        <f>IF(H238=BU8,VLOOKUP(I241,BU9:CB18,7,FALSE),IF(H238=BU19,VLOOKUP(I241,BU20:CB30,7,FALSE),IF(H238=BU31,VLOOKUP(I241,BV32:CB38,6,FALSE),IF(H238=BU39,VLOOKUP(I241,BV40:CB49,6,FALSE),IF(H238=BU50,VLOOKUP(I241,BV51:CB57,6,FALSE),IF(H238=BU58,VLOOKUP(I241,BV59:CB65,6,FALSE),IF(H238=BU66,VLOOKUP(I241,BU67:CB76,7,FALSE),IF(H238=BU77,VLOOKUP(I241,BU78:CB87,7,FALSE)))))))))</f>
        <v>0.255</v>
      </c>
      <c r="J242" s="108" t="s">
        <v>3</v>
      </c>
      <c r="K242" s="759"/>
      <c r="L242" s="760"/>
      <c r="M242" s="760"/>
      <c r="N242" s="761"/>
      <c r="O242" s="38"/>
      <c r="P242" s="117"/>
      <c r="Q242" s="958"/>
      <c r="R242" s="958"/>
      <c r="S242" s="116"/>
      <c r="T242" s="159"/>
      <c r="U242" s="159"/>
      <c r="V242" s="38"/>
      <c r="W242" s="38"/>
      <c r="X242" s="38"/>
      <c r="Y242" s="110"/>
      <c r="Z242" s="48"/>
      <c r="AA242" s="37"/>
    </row>
    <row r="243" spans="2:27" s="47" customFormat="1" ht="20.100000000000001" customHeight="1">
      <c r="B243" s="741" t="s">
        <v>318</v>
      </c>
      <c r="C243" s="742"/>
      <c r="D243" s="742"/>
      <c r="E243" s="742"/>
      <c r="F243" s="742"/>
      <c r="G243" s="743"/>
      <c r="H243" s="875" t="s">
        <v>321</v>
      </c>
      <c r="I243" s="798">
        <f>(4*$I$213)/(PI()*I242^2)</f>
        <v>1.9972385015453531</v>
      </c>
      <c r="J243" s="750" t="s">
        <v>5</v>
      </c>
      <c r="K243" s="744"/>
      <c r="L243" s="745"/>
      <c r="M243" s="745"/>
      <c r="N243" s="746"/>
      <c r="O243" s="38"/>
      <c r="P243" s="160"/>
      <c r="Q243" s="958"/>
      <c r="R243" s="958"/>
      <c r="S243" s="116"/>
      <c r="T243" s="159"/>
      <c r="U243" s="159"/>
      <c r="V243" s="38"/>
      <c r="W243" s="38"/>
      <c r="X243" s="38"/>
      <c r="Y243" s="110"/>
      <c r="Z243" s="48"/>
      <c r="AA243" s="37"/>
    </row>
    <row r="244" spans="2:27" s="47" customFormat="1" ht="20.100000000000001" customHeight="1">
      <c r="B244" s="747"/>
      <c r="C244" s="748"/>
      <c r="D244" s="748"/>
      <c r="E244" s="748"/>
      <c r="F244" s="748"/>
      <c r="G244" s="749"/>
      <c r="H244" s="876"/>
      <c r="I244" s="799"/>
      <c r="J244" s="751"/>
      <c r="K244" s="756"/>
      <c r="L244" s="757"/>
      <c r="M244" s="757"/>
      <c r="N244" s="758"/>
      <c r="O244" s="38"/>
      <c r="P244" s="160"/>
      <c r="Q244" s="958"/>
      <c r="R244" s="958"/>
      <c r="S244" s="116"/>
      <c r="T244" s="159"/>
      <c r="U244" s="159"/>
      <c r="V244" s="38"/>
      <c r="W244" s="38"/>
      <c r="X244" s="38"/>
      <c r="Y244" s="110"/>
      <c r="Z244" s="48"/>
      <c r="AA244" s="37"/>
    </row>
    <row r="245" spans="2:27" s="47" customFormat="1" ht="20.100000000000001" customHeight="1">
      <c r="B245" s="741" t="s">
        <v>347</v>
      </c>
      <c r="C245" s="742"/>
      <c r="D245" s="742"/>
      <c r="E245" s="742"/>
      <c r="F245" s="742"/>
      <c r="G245" s="743"/>
      <c r="H245" s="875"/>
      <c r="I245" s="798">
        <f>(I243^2)/(2*9.806)</f>
        <v>0.20339392372298226</v>
      </c>
      <c r="J245" s="750" t="s">
        <v>3</v>
      </c>
      <c r="K245" s="744"/>
      <c r="L245" s="745"/>
      <c r="M245" s="745"/>
      <c r="N245" s="746"/>
      <c r="O245" s="38"/>
      <c r="P245" s="160"/>
      <c r="Q245" s="203"/>
      <c r="R245" s="203"/>
      <c r="S245" s="203"/>
      <c r="T245" s="159"/>
      <c r="U245" s="159"/>
      <c r="V245" s="38"/>
      <c r="W245" s="38"/>
      <c r="X245" s="38"/>
      <c r="Y245" s="110"/>
      <c r="Z245" s="48"/>
      <c r="AA245" s="37"/>
    </row>
    <row r="246" spans="2:27" s="47" customFormat="1" ht="20.100000000000001" customHeight="1">
      <c r="B246" s="747"/>
      <c r="C246" s="748"/>
      <c r="D246" s="748"/>
      <c r="E246" s="748"/>
      <c r="F246" s="748"/>
      <c r="G246" s="749"/>
      <c r="H246" s="876"/>
      <c r="I246" s="799"/>
      <c r="J246" s="751"/>
      <c r="K246" s="756"/>
      <c r="L246" s="757"/>
      <c r="M246" s="757"/>
      <c r="N246" s="758"/>
      <c r="O246" s="38"/>
      <c r="P246" s="160"/>
      <c r="Q246" s="203"/>
      <c r="R246" s="203"/>
      <c r="S246" s="203"/>
      <c r="T246" s="159"/>
      <c r="U246" s="159"/>
      <c r="V246" s="38"/>
      <c r="W246" s="38"/>
      <c r="X246" s="38"/>
      <c r="Y246" s="110"/>
      <c r="Z246" s="48"/>
      <c r="AA246" s="37"/>
    </row>
    <row r="247" spans="2:27" s="47" customFormat="1" ht="20.100000000000001" customHeight="1">
      <c r="B247" s="707" t="str">
        <f>"Viscocidad cinemática del agua a "&amp;I30&amp;" °C"</f>
        <v>Viscocidad cinemática del agua a 20 °C</v>
      </c>
      <c r="C247" s="708"/>
      <c r="D247" s="708"/>
      <c r="E247" s="708"/>
      <c r="F247" s="708"/>
      <c r="G247" s="709"/>
      <c r="H247" s="18" t="s">
        <v>2</v>
      </c>
      <c r="I247" s="234">
        <f>$I$33</f>
        <v>1.0070000000000001E-6</v>
      </c>
      <c r="J247" s="79" t="s">
        <v>167</v>
      </c>
      <c r="K247" s="759"/>
      <c r="L247" s="760"/>
      <c r="M247" s="760"/>
      <c r="N247" s="761"/>
      <c r="O247" s="38"/>
      <c r="P247" s="160"/>
      <c r="Q247" s="958"/>
      <c r="R247" s="958"/>
      <c r="S247" s="116"/>
      <c r="T247" s="159"/>
      <c r="U247" s="159"/>
      <c r="V247" s="38"/>
      <c r="W247" s="38"/>
      <c r="X247" s="38"/>
      <c r="Y247" s="110"/>
      <c r="Z247" s="48"/>
      <c r="AA247" s="37"/>
    </row>
    <row r="248" spans="2:27" s="47" customFormat="1" ht="20.100000000000001" customHeight="1">
      <c r="B248" s="741" t="s">
        <v>53</v>
      </c>
      <c r="C248" s="742"/>
      <c r="D248" s="742"/>
      <c r="E248" s="742"/>
      <c r="F248" s="742"/>
      <c r="G248" s="743"/>
      <c r="H248" s="750" t="s">
        <v>1</v>
      </c>
      <c r="I248" s="983">
        <f>I243*I242/I247</f>
        <v>505755.52918973687</v>
      </c>
      <c r="J248" s="774"/>
      <c r="K248" s="866"/>
      <c r="L248" s="867"/>
      <c r="M248" s="867"/>
      <c r="N248" s="868"/>
      <c r="O248" s="38"/>
      <c r="P248" s="160"/>
      <c r="Q248" s="958"/>
      <c r="R248" s="958"/>
      <c r="S248" s="116"/>
      <c r="T248" s="159"/>
      <c r="U248" s="159"/>
      <c r="V248" s="38"/>
      <c r="W248" s="38"/>
      <c r="X248" s="38"/>
      <c r="Y248" s="110"/>
      <c r="Z248" s="48"/>
      <c r="AA248" s="37"/>
    </row>
    <row r="249" spans="2:27" s="47" customFormat="1" ht="20.100000000000001" customHeight="1">
      <c r="B249" s="747"/>
      <c r="C249" s="748"/>
      <c r="D249" s="748"/>
      <c r="E249" s="748"/>
      <c r="F249" s="748"/>
      <c r="G249" s="749"/>
      <c r="H249" s="751"/>
      <c r="I249" s="984"/>
      <c r="J249" s="775"/>
      <c r="K249" s="869"/>
      <c r="L249" s="870"/>
      <c r="M249" s="870"/>
      <c r="N249" s="871"/>
      <c r="O249" s="38"/>
      <c r="P249" s="158"/>
      <c r="Q249" s="158"/>
      <c r="R249" s="38"/>
      <c r="S249" s="38"/>
      <c r="T249" s="38"/>
      <c r="U249" s="38"/>
      <c r="V249" s="38"/>
      <c r="W249" s="38"/>
      <c r="X249" s="38"/>
      <c r="Y249" s="110"/>
      <c r="Z249" s="48"/>
      <c r="AA249" s="37"/>
    </row>
    <row r="250" spans="2:27" s="47" customFormat="1" ht="20.100000000000001" customHeight="1">
      <c r="B250" s="707" t="s">
        <v>324</v>
      </c>
      <c r="C250" s="708"/>
      <c r="D250" s="708"/>
      <c r="E250" s="708"/>
      <c r="F250" s="708"/>
      <c r="G250" s="709"/>
      <c r="H250" s="240" t="s">
        <v>322</v>
      </c>
      <c r="I250" s="315">
        <v>0.02</v>
      </c>
      <c r="J250" s="243"/>
      <c r="K250" s="396"/>
      <c r="L250" s="397"/>
      <c r="M250" s="397"/>
      <c r="N250" s="398"/>
      <c r="O250" s="38"/>
      <c r="P250" s="158"/>
      <c r="Q250" s="158"/>
      <c r="R250" s="38"/>
      <c r="S250" s="38"/>
      <c r="T250" s="38"/>
      <c r="U250" s="38"/>
      <c r="V250" s="38"/>
      <c r="W250" s="38"/>
      <c r="X250" s="38"/>
      <c r="Y250" s="110"/>
      <c r="Z250" s="48"/>
      <c r="AA250" s="37"/>
    </row>
    <row r="251" spans="2:27" s="47" customFormat="1" ht="20.100000000000001" customHeight="1">
      <c r="B251" s="741" t="s">
        <v>325</v>
      </c>
      <c r="C251" s="742"/>
      <c r="D251" s="742"/>
      <c r="E251" s="742"/>
      <c r="F251" s="742"/>
      <c r="G251" s="743"/>
      <c r="H251" s="750" t="s">
        <v>322</v>
      </c>
      <c r="I251" s="979">
        <f>(1/(-2*LOG10(($I$239/1000)/(3.7*$I$242)+2.51/($I$248*SQRT(I250)))))^2</f>
        <v>1.8143335227955335E-2</v>
      </c>
      <c r="J251" s="774"/>
      <c r="K251" s="896"/>
      <c r="L251" s="897"/>
      <c r="M251" s="897"/>
      <c r="N251" s="898"/>
      <c r="O251" s="38"/>
      <c r="P251" s="158"/>
      <c r="Q251" s="158"/>
      <c r="R251" s="38"/>
      <c r="S251" s="38"/>
      <c r="T251" s="38"/>
      <c r="U251" s="38"/>
      <c r="V251" s="38"/>
      <c r="W251" s="38"/>
      <c r="X251" s="38"/>
      <c r="Y251" s="110"/>
      <c r="Z251" s="48"/>
      <c r="AA251" s="37"/>
    </row>
    <row r="252" spans="2:27" s="47" customFormat="1" ht="20.100000000000001" customHeight="1">
      <c r="B252" s="747"/>
      <c r="C252" s="748"/>
      <c r="D252" s="748"/>
      <c r="E252" s="748"/>
      <c r="F252" s="748"/>
      <c r="G252" s="749"/>
      <c r="H252" s="751"/>
      <c r="I252" s="980"/>
      <c r="J252" s="775"/>
      <c r="K252" s="899"/>
      <c r="L252" s="900"/>
      <c r="M252" s="900"/>
      <c r="N252" s="901"/>
      <c r="O252" s="38"/>
      <c r="P252" s="158"/>
      <c r="Q252" s="158"/>
      <c r="R252" s="38"/>
      <c r="S252" s="38"/>
      <c r="T252" s="38"/>
      <c r="U252" s="38"/>
      <c r="V252" s="38"/>
      <c r="W252" s="38"/>
      <c r="X252" s="38"/>
      <c r="Y252" s="110"/>
      <c r="Z252" s="48"/>
      <c r="AA252" s="37"/>
    </row>
    <row r="253" spans="2:27" s="47" customFormat="1" ht="20.100000000000001" customHeight="1">
      <c r="B253" s="707" t="s">
        <v>326</v>
      </c>
      <c r="C253" s="708"/>
      <c r="D253" s="708"/>
      <c r="E253" s="708"/>
      <c r="F253" s="708"/>
      <c r="G253" s="709"/>
      <c r="H253" s="240" t="s">
        <v>322</v>
      </c>
      <c r="I253" s="247">
        <f>(1/(-2*LOG10(($I$239/1000)/(3.7*$I$242)+2.51/($I$248*SQRT(I251)))))^2</f>
        <v>1.8181545457363533E-2</v>
      </c>
      <c r="J253" s="243"/>
      <c r="K253" s="396"/>
      <c r="L253" s="397"/>
      <c r="M253" s="397"/>
      <c r="N253" s="398"/>
      <c r="O253" s="38"/>
      <c r="P253" s="158"/>
      <c r="Q253" s="158"/>
      <c r="R253" s="38"/>
      <c r="S253" s="38"/>
      <c r="T253" s="38"/>
      <c r="U253" s="38"/>
      <c r="V253" s="38"/>
      <c r="W253" s="38"/>
      <c r="X253" s="38"/>
      <c r="Y253" s="110"/>
      <c r="Z253" s="48"/>
      <c r="AA253" s="37"/>
    </row>
    <row r="254" spans="2:27" s="47" customFormat="1" ht="20.100000000000001" customHeight="1">
      <c r="B254" s="707" t="s">
        <v>327</v>
      </c>
      <c r="C254" s="708"/>
      <c r="D254" s="708"/>
      <c r="E254" s="708"/>
      <c r="F254" s="708"/>
      <c r="G254" s="709"/>
      <c r="H254" s="240" t="s">
        <v>322</v>
      </c>
      <c r="I254" s="247">
        <f>(1/(-2*LOG10(($I$239/1000)/(3.7*$I$242)+2.51/($I$248*SQRT(I253)))))^2</f>
        <v>1.8180702962725101E-2</v>
      </c>
      <c r="J254" s="243"/>
      <c r="K254" s="396"/>
      <c r="L254" s="397"/>
      <c r="M254" s="397"/>
      <c r="N254" s="398"/>
      <c r="O254" s="38"/>
      <c r="P254" s="158"/>
      <c r="Q254" s="158"/>
      <c r="R254" s="38"/>
      <c r="S254" s="38"/>
      <c r="T254" s="38"/>
      <c r="U254" s="38"/>
      <c r="V254" s="38"/>
      <c r="W254" s="38"/>
      <c r="X254" s="38"/>
      <c r="Y254" s="110"/>
      <c r="Z254" s="48"/>
      <c r="AA254" s="37"/>
    </row>
    <row r="255" spans="2:27" s="47" customFormat="1" ht="20.100000000000001" customHeight="1">
      <c r="B255" s="707" t="s">
        <v>328</v>
      </c>
      <c r="C255" s="708"/>
      <c r="D255" s="708"/>
      <c r="E255" s="708"/>
      <c r="F255" s="708"/>
      <c r="G255" s="709"/>
      <c r="H255" s="240" t="s">
        <v>322</v>
      </c>
      <c r="I255" s="247">
        <f>(1/(-2*LOG10(($I$239/1000)/(3.7*$I$242)+2.51/($I$248*SQRT(I254)))))^2</f>
        <v>1.8180721511353401E-2</v>
      </c>
      <c r="J255" s="155"/>
      <c r="K255" s="877"/>
      <c r="L255" s="878"/>
      <c r="M255" s="878"/>
      <c r="N255" s="879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110"/>
      <c r="Z255" s="48"/>
      <c r="AA255" s="37"/>
    </row>
    <row r="256" spans="2:27" s="47" customFormat="1" ht="20.100000000000001" customHeight="1">
      <c r="B256" s="741" t="s">
        <v>353</v>
      </c>
      <c r="C256" s="742"/>
      <c r="D256" s="742"/>
      <c r="E256" s="742"/>
      <c r="F256" s="742"/>
      <c r="G256" s="743"/>
      <c r="H256" s="875" t="s">
        <v>332</v>
      </c>
      <c r="I256" s="981">
        <f>I255*(I240/I242)*(I243^2)/(2*9.806)</f>
        <v>0.2900273164163919</v>
      </c>
      <c r="J256" s="774" t="s">
        <v>3</v>
      </c>
      <c r="K256" s="866"/>
      <c r="L256" s="867"/>
      <c r="M256" s="867"/>
      <c r="N256" s="86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110"/>
      <c r="Z256" s="48"/>
      <c r="AA256" s="37"/>
    </row>
    <row r="257" spans="2:27" s="47" customFormat="1" ht="20.100000000000001" customHeight="1">
      <c r="B257" s="747"/>
      <c r="C257" s="748"/>
      <c r="D257" s="748"/>
      <c r="E257" s="748"/>
      <c r="F257" s="748"/>
      <c r="G257" s="749"/>
      <c r="H257" s="876"/>
      <c r="I257" s="982"/>
      <c r="J257" s="775"/>
      <c r="K257" s="869"/>
      <c r="L257" s="870"/>
      <c r="M257" s="870"/>
      <c r="N257" s="871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110"/>
      <c r="Z257" s="48"/>
      <c r="AA257" s="37"/>
    </row>
    <row r="258" spans="2:27" s="47" customFormat="1" ht="20.100000000000001" customHeight="1">
      <c r="B258" s="156"/>
      <c r="C258" s="156"/>
      <c r="D258" s="156"/>
      <c r="E258" s="156"/>
      <c r="F258" s="156"/>
      <c r="G258" s="156"/>
      <c r="H258" s="161"/>
      <c r="I258" s="162"/>
      <c r="J258" s="163"/>
      <c r="K258" s="116"/>
      <c r="L258" s="203"/>
      <c r="M258" s="116"/>
      <c r="N258" s="116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110"/>
      <c r="Z258" s="48"/>
      <c r="AA258" s="37"/>
    </row>
    <row r="259" spans="2:27" s="47" customFormat="1" ht="20.100000000000001" customHeight="1">
      <c r="B259" s="33" t="s">
        <v>333</v>
      </c>
      <c r="C259" s="156"/>
      <c r="D259" s="156"/>
      <c r="E259" s="156"/>
      <c r="F259" s="156"/>
      <c r="G259" s="156"/>
      <c r="H259" s="161"/>
      <c r="I259" s="162"/>
      <c r="J259" s="163"/>
      <c r="K259" s="116"/>
      <c r="L259" s="203"/>
      <c r="M259" s="116"/>
      <c r="N259" s="116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110"/>
      <c r="Z259" s="48"/>
      <c r="AA259" s="37"/>
    </row>
    <row r="260" spans="2:27" s="47" customFormat="1" ht="20.100000000000001" customHeight="1">
      <c r="B260" s="763" t="s">
        <v>310</v>
      </c>
      <c r="C260" s="764"/>
      <c r="D260" s="764"/>
      <c r="E260" s="764"/>
      <c r="F260" s="764"/>
      <c r="G260" s="765"/>
      <c r="H260" s="974" t="str">
        <f>$H$238</f>
        <v>Acero al carbono API 5L SCH-40</v>
      </c>
      <c r="I260" s="975"/>
      <c r="J260" s="976"/>
      <c r="K260" s="877"/>
      <c r="L260" s="878"/>
      <c r="M260" s="878"/>
      <c r="N260" s="879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110"/>
      <c r="Z260" s="48"/>
      <c r="AA260" s="37"/>
    </row>
    <row r="261" spans="2:27" s="47" customFormat="1" ht="20.100000000000001" customHeight="1">
      <c r="B261" s="763" t="s">
        <v>334</v>
      </c>
      <c r="C261" s="764"/>
      <c r="D261" s="764"/>
      <c r="E261" s="764"/>
      <c r="F261" s="764"/>
      <c r="G261" s="765"/>
      <c r="H261" s="106" t="s">
        <v>335</v>
      </c>
      <c r="I261" s="218">
        <f>VLOOKUP(H260,BQ9:BS16,3,FALSE)</f>
        <v>140</v>
      </c>
      <c r="J261" s="155" t="s">
        <v>370</v>
      </c>
      <c r="K261" s="960"/>
      <c r="L261" s="961"/>
      <c r="M261" s="961"/>
      <c r="N261" s="962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110"/>
      <c r="Z261" s="48"/>
      <c r="AA261" s="37"/>
    </row>
    <row r="262" spans="2:27" s="47" customFormat="1" ht="20.100000000000001" customHeight="1">
      <c r="B262" s="763" t="s">
        <v>330</v>
      </c>
      <c r="C262" s="764"/>
      <c r="D262" s="764"/>
      <c r="E262" s="764"/>
      <c r="F262" s="764"/>
      <c r="G262" s="765"/>
      <c r="H262" s="106" t="s">
        <v>331</v>
      </c>
      <c r="I262" s="95">
        <f>I240</f>
        <v>20</v>
      </c>
      <c r="J262" s="108" t="s">
        <v>3</v>
      </c>
      <c r="K262" s="877"/>
      <c r="L262" s="878"/>
      <c r="M262" s="878"/>
      <c r="N262" s="879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110"/>
      <c r="Z262" s="48"/>
      <c r="AA262" s="37"/>
    </row>
    <row r="263" spans="2:27" s="47" customFormat="1" ht="20.100000000000001" customHeight="1">
      <c r="B263" s="763" t="s">
        <v>311</v>
      </c>
      <c r="C263" s="764"/>
      <c r="D263" s="764"/>
      <c r="E263" s="764"/>
      <c r="F263" s="764"/>
      <c r="G263" s="765"/>
      <c r="H263" s="106" t="s">
        <v>319</v>
      </c>
      <c r="I263" s="95">
        <f>$I$241</f>
        <v>10</v>
      </c>
      <c r="J263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263" s="877"/>
      <c r="L263" s="878"/>
      <c r="M263" s="878"/>
      <c r="N263" s="879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110"/>
      <c r="Z263" s="48"/>
      <c r="AA263" s="37"/>
    </row>
    <row r="264" spans="2:27" s="47" customFormat="1" ht="20.100000000000001" customHeight="1">
      <c r="B264" s="763" t="s">
        <v>312</v>
      </c>
      <c r="C264" s="764"/>
      <c r="D264" s="764"/>
      <c r="E264" s="764"/>
      <c r="F264" s="764"/>
      <c r="G264" s="765"/>
      <c r="H264" s="106" t="s">
        <v>320</v>
      </c>
      <c r="I264" s="219">
        <f>$I$242</f>
        <v>0.255</v>
      </c>
      <c r="J264" s="108" t="s">
        <v>3</v>
      </c>
      <c r="K264" s="877"/>
      <c r="L264" s="878"/>
      <c r="M264" s="878"/>
      <c r="N264" s="879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110"/>
      <c r="Z264" s="48"/>
      <c r="AA264" s="37"/>
    </row>
    <row r="265" spans="2:27" s="47" customFormat="1" ht="20.100000000000001" customHeight="1">
      <c r="B265" s="802" t="s">
        <v>318</v>
      </c>
      <c r="C265" s="802"/>
      <c r="D265" s="802"/>
      <c r="E265" s="802"/>
      <c r="F265" s="802"/>
      <c r="G265" s="802"/>
      <c r="H265" s="106" t="s">
        <v>321</v>
      </c>
      <c r="I265" s="219">
        <f>I243</f>
        <v>1.9972385015453531</v>
      </c>
      <c r="J265" s="108" t="s">
        <v>5</v>
      </c>
      <c r="K265" s="960"/>
      <c r="L265" s="961"/>
      <c r="M265" s="961"/>
      <c r="N265" s="962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110"/>
      <c r="Z265" s="48"/>
      <c r="AA265" s="37"/>
    </row>
    <row r="266" spans="2:27" s="47" customFormat="1" ht="20.100000000000001" customHeight="1">
      <c r="B266" s="741" t="s">
        <v>337</v>
      </c>
      <c r="C266" s="742"/>
      <c r="D266" s="742"/>
      <c r="E266" s="742"/>
      <c r="F266" s="742"/>
      <c r="G266" s="743"/>
      <c r="H266" s="875" t="s">
        <v>338</v>
      </c>
      <c r="I266" s="981">
        <f>(I265/(0.354597213*I261*(I264^0.63)))^(1/0.54)</f>
        <v>1.2830211602756722E-2</v>
      </c>
      <c r="J266" s="774" t="s">
        <v>339</v>
      </c>
      <c r="K266" s="866"/>
      <c r="L266" s="867"/>
      <c r="M266" s="867"/>
      <c r="N266" s="868"/>
      <c r="O266" s="38"/>
      <c r="P266" s="168"/>
      <c r="Q266" s="38"/>
      <c r="R266" s="38"/>
      <c r="S266" s="38"/>
      <c r="T266" s="38"/>
      <c r="U266" s="38"/>
      <c r="V266" s="38"/>
      <c r="W266" s="38"/>
      <c r="X266" s="38"/>
      <c r="Y266" s="110"/>
      <c r="Z266" s="48"/>
      <c r="AA266" s="37"/>
    </row>
    <row r="267" spans="2:27" s="47" customFormat="1" ht="20.100000000000001" customHeight="1">
      <c r="B267" s="747"/>
      <c r="C267" s="748"/>
      <c r="D267" s="748"/>
      <c r="E267" s="748"/>
      <c r="F267" s="748"/>
      <c r="G267" s="749"/>
      <c r="H267" s="876"/>
      <c r="I267" s="982"/>
      <c r="J267" s="775"/>
      <c r="K267" s="869"/>
      <c r="L267" s="870"/>
      <c r="M267" s="870"/>
      <c r="N267" s="871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110"/>
      <c r="Z267" s="48"/>
      <c r="AA267" s="37"/>
    </row>
    <row r="268" spans="2:27" s="47" customFormat="1" ht="20.100000000000001" customHeight="1">
      <c r="B268" s="707" t="s">
        <v>353</v>
      </c>
      <c r="C268" s="708"/>
      <c r="D268" s="708"/>
      <c r="E268" s="708"/>
      <c r="F268" s="708"/>
      <c r="G268" s="709"/>
      <c r="H268" s="106" t="s">
        <v>332</v>
      </c>
      <c r="I268" s="202">
        <f>I266*I262</f>
        <v>0.25660423205513444</v>
      </c>
      <c r="J268" s="155" t="s">
        <v>3</v>
      </c>
      <c r="K268" s="877"/>
      <c r="L268" s="878"/>
      <c r="M268" s="878"/>
      <c r="N268" s="879"/>
      <c r="O268" s="38"/>
      <c r="P268" s="167"/>
      <c r="Q268" s="38"/>
      <c r="R268" s="38"/>
      <c r="S268" s="38"/>
      <c r="T268" s="38"/>
      <c r="U268" s="38"/>
      <c r="V268" s="38"/>
      <c r="W268" s="38"/>
      <c r="X268" s="38"/>
      <c r="Y268" s="110"/>
      <c r="Z268" s="48"/>
      <c r="AA268" s="37"/>
    </row>
    <row r="269" spans="2:27" s="47" customFormat="1" ht="20.100000000000001" customHeight="1">
      <c r="B269" s="156"/>
      <c r="C269" s="156"/>
      <c r="D269" s="156"/>
      <c r="E269" s="156"/>
      <c r="F269" s="156"/>
      <c r="G269" s="156"/>
      <c r="H269" s="161"/>
      <c r="I269" s="162"/>
      <c r="J269" s="163"/>
      <c r="K269" s="116"/>
      <c r="L269" s="203"/>
      <c r="M269" s="116"/>
      <c r="N269" s="116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110"/>
      <c r="Z269" s="48"/>
      <c r="AA269" s="37"/>
    </row>
    <row r="270" spans="2:27" s="47" customFormat="1" ht="20.100000000000001" customHeight="1">
      <c r="B270" s="23" t="s">
        <v>348</v>
      </c>
      <c r="C270" s="166"/>
      <c r="D270" s="166"/>
      <c r="E270" s="166"/>
      <c r="F270" s="166"/>
      <c r="G270" s="166"/>
      <c r="H270" s="161"/>
      <c r="I270" s="162"/>
      <c r="J270" s="163"/>
      <c r="K270" s="165"/>
      <c r="L270" s="203"/>
      <c r="M270" s="165"/>
      <c r="N270" s="165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110"/>
      <c r="Z270" s="48"/>
      <c r="AA270" s="37"/>
    </row>
    <row r="271" spans="2:27" s="47" customFormat="1" ht="20.100000000000001" customHeight="1">
      <c r="B271" s="963" t="s">
        <v>298</v>
      </c>
      <c r="C271" s="963"/>
      <c r="D271" s="963"/>
      <c r="E271" s="963"/>
      <c r="F271" s="963"/>
      <c r="G271" s="955"/>
      <c r="H271" s="864" t="s">
        <v>344</v>
      </c>
      <c r="I271" s="847" t="s">
        <v>340</v>
      </c>
      <c r="J271" s="852" t="s">
        <v>362</v>
      </c>
      <c r="K271" s="205"/>
      <c r="L271" s="81"/>
      <c r="M271" s="81"/>
      <c r="N271" s="245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110"/>
      <c r="Z271" s="48"/>
      <c r="AA271" s="37"/>
    </row>
    <row r="272" spans="2:27" s="47" customFormat="1" ht="20.100000000000001" customHeight="1">
      <c r="B272" s="963"/>
      <c r="C272" s="963"/>
      <c r="D272" s="963"/>
      <c r="E272" s="963"/>
      <c r="F272" s="963"/>
      <c r="G272" s="955"/>
      <c r="H272" s="865"/>
      <c r="I272" s="847"/>
      <c r="J272" s="852"/>
      <c r="K272" s="205"/>
      <c r="L272" s="38"/>
      <c r="M272" s="38"/>
      <c r="N272" s="245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110"/>
      <c r="Z272" s="48"/>
      <c r="AA272" s="37"/>
    </row>
    <row r="273" spans="2:27" s="47" customFormat="1" ht="20.100000000000001" customHeight="1">
      <c r="B273" s="963"/>
      <c r="C273" s="963"/>
      <c r="D273" s="963"/>
      <c r="E273" s="963"/>
      <c r="F273" s="963"/>
      <c r="G273" s="955"/>
      <c r="H273" s="194" t="str">
        <f>IF(H238=BQ9,"(pulgadas)",IF(H238=BQ10,"(pulgadas)",IF(H238=BQ11,"(mm)",IF(H238=BQ12,"(mm)",IF(H238=BQ13,"(mm)",IF(H238=BQ14,"(mm)",IF(H238=BQ15,"(pulgadas)",IF(H238=BQ16,"(pulgadas)"))))))))</f>
        <v>(pulgadas)</v>
      </c>
      <c r="I273" s="847"/>
      <c r="J273" s="852"/>
      <c r="K273" s="206"/>
      <c r="L273" s="38"/>
      <c r="M273" s="38"/>
      <c r="N273" s="245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110"/>
      <c r="Z273" s="48"/>
      <c r="AA273" s="37"/>
    </row>
    <row r="274" spans="2:27" s="47" customFormat="1" ht="20.100000000000001" customHeight="1">
      <c r="B274" s="707" t="s">
        <v>302</v>
      </c>
      <c r="C274" s="708"/>
      <c r="D274" s="708"/>
      <c r="E274" s="708"/>
      <c r="F274" s="708"/>
      <c r="G274" s="709"/>
      <c r="H274" s="242">
        <f>$I$241</f>
        <v>10</v>
      </c>
      <c r="I274" s="314">
        <v>1</v>
      </c>
      <c r="J274" s="58">
        <f>IF(B274=CE9,HLOOKUP(H274,$CH$7:$DK$23,3,FALSE))</f>
        <v>0.11</v>
      </c>
      <c r="K274" s="46"/>
      <c r="L274" s="167"/>
      <c r="M274" s="245"/>
      <c r="N274" s="245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110"/>
      <c r="Z274" s="48"/>
      <c r="AA274" s="37"/>
    </row>
    <row r="275" spans="2:27" s="47" customFormat="1" ht="20.100000000000001" customHeight="1">
      <c r="B275" s="707" t="s">
        <v>301</v>
      </c>
      <c r="C275" s="708"/>
      <c r="D275" s="708"/>
      <c r="E275" s="708"/>
      <c r="F275" s="708"/>
      <c r="G275" s="709"/>
      <c r="H275" s="248">
        <f t="shared" ref="H275:H280" si="74">$I$241</f>
        <v>10</v>
      </c>
      <c r="I275" s="314">
        <v>1</v>
      </c>
      <c r="J275" s="202">
        <f>IF(B275=CE11,HLOOKUP(H275,$CH$7:$DK$23,5,FALSE),IF(B275=CE12,HLOOKUP(H275,$CH$7:$DK$23,6,FALSE)))</f>
        <v>0.28000000000000003</v>
      </c>
      <c r="K275" s="46"/>
      <c r="L275" s="167"/>
      <c r="M275" s="245"/>
      <c r="N275" s="245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110"/>
      <c r="Z275" s="48"/>
      <c r="AA275" s="37"/>
    </row>
    <row r="276" spans="2:27" s="47" customFormat="1" ht="20.100000000000001" customHeight="1">
      <c r="B276" s="707" t="s">
        <v>303</v>
      </c>
      <c r="C276" s="708"/>
      <c r="D276" s="708"/>
      <c r="E276" s="708"/>
      <c r="F276" s="708"/>
      <c r="G276" s="709"/>
      <c r="H276" s="248">
        <f t="shared" si="74"/>
        <v>10</v>
      </c>
      <c r="I276" s="314">
        <v>1</v>
      </c>
      <c r="J276" s="58">
        <f>IF(B276=CE14,HLOOKUP(H276,$CH$7:$DK$23,8,FALSE))</f>
        <v>0.28000000000000003</v>
      </c>
      <c r="K276" s="46"/>
      <c r="L276" s="167"/>
      <c r="M276" s="245"/>
      <c r="N276" s="245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110"/>
      <c r="Z276" s="48"/>
      <c r="AA276" s="37"/>
    </row>
    <row r="277" spans="2:27" s="47" customFormat="1" ht="20.100000000000001" customHeight="1">
      <c r="B277" s="707" t="s">
        <v>304</v>
      </c>
      <c r="C277" s="708"/>
      <c r="D277" s="708"/>
      <c r="E277" s="708"/>
      <c r="F277" s="708"/>
      <c r="G277" s="709"/>
      <c r="H277" s="248">
        <f t="shared" si="74"/>
        <v>10</v>
      </c>
      <c r="I277" s="314">
        <v>1</v>
      </c>
      <c r="J277" s="58">
        <f>IF(B277=CE16,HLOOKUP(H277,$CH$7:$DK$23,10,FALSE))</f>
        <v>0.84</v>
      </c>
      <c r="K277" s="46"/>
      <c r="L277" s="167"/>
      <c r="M277" s="245"/>
      <c r="N277" s="245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110"/>
      <c r="Z277" s="48"/>
      <c r="AA277" s="37"/>
    </row>
    <row r="278" spans="2:27" s="47" customFormat="1" ht="20.100000000000001" customHeight="1">
      <c r="B278" s="707" t="s">
        <v>307</v>
      </c>
      <c r="C278" s="708"/>
      <c r="D278" s="708"/>
      <c r="E278" s="708"/>
      <c r="F278" s="708"/>
      <c r="G278" s="709"/>
      <c r="H278" s="248">
        <f t="shared" si="74"/>
        <v>10</v>
      </c>
      <c r="I278" s="314">
        <v>1</v>
      </c>
      <c r="J278" s="58">
        <f>IF(B278=CE18,HLOOKUP(H278,$CH$7:$DK$23,12,FALSE))</f>
        <v>0.3</v>
      </c>
      <c r="K278" s="46"/>
      <c r="L278" s="167"/>
      <c r="M278" s="245"/>
      <c r="N278" s="245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110"/>
      <c r="Z278" s="48"/>
      <c r="AA278" s="37"/>
    </row>
    <row r="279" spans="2:27" s="47" customFormat="1" ht="20.100000000000001" customHeight="1">
      <c r="B279" s="707" t="s">
        <v>305</v>
      </c>
      <c r="C279" s="708"/>
      <c r="D279" s="708"/>
      <c r="E279" s="708"/>
      <c r="F279" s="708"/>
      <c r="G279" s="709"/>
      <c r="H279" s="248">
        <f t="shared" si="74"/>
        <v>10</v>
      </c>
      <c r="I279" s="314">
        <v>1</v>
      </c>
      <c r="J279" s="58">
        <f>IF(B279=CE20,HLOOKUP(H279,$CH$7:$DK$23,14,FALSE),IF(B279=CE21,HLOOKUP(H279,$CH$7:$DK$23,15,FALSE)))</f>
        <v>0.5</v>
      </c>
      <c r="K279" s="46"/>
      <c r="L279" s="167"/>
      <c r="M279" s="245"/>
      <c r="N279" s="245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110"/>
      <c r="Z279" s="48"/>
      <c r="AA279" s="37"/>
    </row>
    <row r="280" spans="2:27" s="47" customFormat="1" ht="20.100000000000001" customHeight="1">
      <c r="B280" s="707" t="s">
        <v>343</v>
      </c>
      <c r="C280" s="708"/>
      <c r="D280" s="708"/>
      <c r="E280" s="708"/>
      <c r="F280" s="708"/>
      <c r="G280" s="709"/>
      <c r="H280" s="248">
        <f t="shared" si="74"/>
        <v>10</v>
      </c>
      <c r="I280" s="314">
        <v>1</v>
      </c>
      <c r="J280" s="58">
        <f>IF(B280=CE23,HLOOKUP(H280,$CH$7:$DK$23,17,FALSE))</f>
        <v>1</v>
      </c>
      <c r="K280" s="46"/>
      <c r="L280" s="167"/>
      <c r="M280" s="245"/>
      <c r="N280" s="245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110"/>
      <c r="Z280" s="48"/>
      <c r="AA280" s="37"/>
    </row>
    <row r="281" spans="2:27" s="47" customFormat="1" ht="20.100000000000001" customHeight="1">
      <c r="B281" s="27"/>
      <c r="C281" s="27"/>
      <c r="D281" s="27"/>
      <c r="E281" s="27"/>
      <c r="F281" s="28"/>
      <c r="G281" s="29"/>
      <c r="H281" s="147"/>
      <c r="I281" s="38"/>
      <c r="J281" s="38"/>
      <c r="K281" s="38"/>
      <c r="L281" s="38"/>
      <c r="M281" s="38"/>
      <c r="N281" s="38"/>
      <c r="O281" s="38"/>
      <c r="P281" s="62"/>
      <c r="Q281" s="38"/>
      <c r="R281" s="38"/>
      <c r="S281" s="38"/>
      <c r="T281" s="38"/>
      <c r="U281" s="38"/>
      <c r="V281" s="38"/>
      <c r="W281" s="38"/>
      <c r="X281" s="38"/>
      <c r="Y281" s="110"/>
      <c r="Z281" s="48"/>
      <c r="AA281" s="37"/>
    </row>
    <row r="282" spans="2:27" s="47" customFormat="1" ht="20.100000000000001" customHeight="1">
      <c r="B282" s="802" t="s">
        <v>349</v>
      </c>
      <c r="C282" s="802"/>
      <c r="D282" s="802"/>
      <c r="E282" s="802"/>
      <c r="F282" s="802"/>
      <c r="G282" s="802"/>
      <c r="H282" s="248" t="s">
        <v>352</v>
      </c>
      <c r="I282" s="95">
        <f>SUM(J274:J280)</f>
        <v>3.31</v>
      </c>
      <c r="J282" s="244" t="s">
        <v>370</v>
      </c>
      <c r="K282" s="851"/>
      <c r="L282" s="851"/>
      <c r="M282" s="851"/>
      <c r="N282" s="851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110"/>
      <c r="Z282" s="48"/>
      <c r="AA282" s="37"/>
    </row>
    <row r="283" spans="2:27" s="47" customFormat="1" ht="20.100000000000001" customHeight="1">
      <c r="B283" s="802" t="s">
        <v>350</v>
      </c>
      <c r="C283" s="802"/>
      <c r="D283" s="802"/>
      <c r="E283" s="802"/>
      <c r="F283" s="802"/>
      <c r="G283" s="802"/>
      <c r="H283" s="862" t="s">
        <v>351</v>
      </c>
      <c r="I283" s="863">
        <f>I282*I245</f>
        <v>0.67323388752307134</v>
      </c>
      <c r="J283" s="959" t="s">
        <v>3</v>
      </c>
      <c r="K283" s="851"/>
      <c r="L283" s="851"/>
      <c r="M283" s="851"/>
      <c r="N283" s="851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110"/>
      <c r="Z283" s="48"/>
      <c r="AA283" s="37"/>
    </row>
    <row r="284" spans="2:27" s="47" customFormat="1" ht="20.100000000000001" customHeight="1">
      <c r="B284" s="802"/>
      <c r="C284" s="802"/>
      <c r="D284" s="802"/>
      <c r="E284" s="802"/>
      <c r="F284" s="802"/>
      <c r="G284" s="802"/>
      <c r="H284" s="862"/>
      <c r="I284" s="863"/>
      <c r="J284" s="959"/>
      <c r="K284" s="851"/>
      <c r="L284" s="851"/>
      <c r="M284" s="851"/>
      <c r="N284" s="851"/>
      <c r="O284" s="38"/>
      <c r="P284" s="38"/>
      <c r="Q284" s="207"/>
      <c r="R284" s="38"/>
      <c r="S284" s="38"/>
      <c r="T284" s="38"/>
      <c r="U284" s="38"/>
      <c r="V284" s="38"/>
      <c r="W284" s="38"/>
      <c r="X284" s="38"/>
      <c r="Y284" s="110"/>
      <c r="Z284" s="48"/>
      <c r="AA284" s="37"/>
    </row>
    <row r="285" spans="2:27" s="47" customFormat="1" ht="20.100000000000001" customHeight="1">
      <c r="B285" s="27"/>
      <c r="C285" s="27"/>
      <c r="D285" s="27"/>
      <c r="E285" s="27"/>
      <c r="F285" s="28"/>
      <c r="G285" s="29"/>
      <c r="H285" s="147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110"/>
      <c r="Z285" s="48"/>
      <c r="AA285" s="37"/>
    </row>
    <row r="286" spans="2:27" s="47" customFormat="1" ht="20.100000000000001" customHeight="1">
      <c r="B286" s="23" t="s">
        <v>505</v>
      </c>
      <c r="C286" s="27"/>
      <c r="D286" s="27"/>
      <c r="E286" s="27"/>
      <c r="F286" s="28"/>
      <c r="G286" s="29"/>
      <c r="H286" s="30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110"/>
      <c r="Z286" s="48"/>
      <c r="AA286" s="37"/>
    </row>
    <row r="287" spans="2:27" s="47" customFormat="1" ht="20.100000000000001" customHeight="1">
      <c r="B287" s="707" t="s">
        <v>123</v>
      </c>
      <c r="C287" s="708"/>
      <c r="D287" s="708"/>
      <c r="E287" s="708"/>
      <c r="F287" s="708"/>
      <c r="G287" s="709"/>
      <c r="H287" s="106" t="s">
        <v>363</v>
      </c>
      <c r="I287" s="202">
        <f>I222</f>
        <v>0.58079999999999998</v>
      </c>
      <c r="J287" s="155" t="s">
        <v>3</v>
      </c>
      <c r="K287" s="958"/>
      <c r="L287" s="958"/>
      <c r="M287" s="958"/>
      <c r="N287" s="95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110"/>
      <c r="Z287" s="48"/>
      <c r="AA287" s="37"/>
    </row>
    <row r="288" spans="2:27" s="47" customFormat="1" ht="20.100000000000001" customHeight="1">
      <c r="B288" s="707" t="s">
        <v>356</v>
      </c>
      <c r="C288" s="708"/>
      <c r="D288" s="708"/>
      <c r="E288" s="708"/>
      <c r="F288" s="708"/>
      <c r="G288" s="709"/>
      <c r="H288" s="106" t="s">
        <v>364</v>
      </c>
      <c r="I288" s="202">
        <f>I227</f>
        <v>0.11141198734635877</v>
      </c>
      <c r="J288" s="155" t="s">
        <v>3</v>
      </c>
      <c r="K288" s="958"/>
      <c r="L288" s="958"/>
      <c r="M288" s="958"/>
      <c r="N288" s="95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110"/>
      <c r="Z288" s="48"/>
      <c r="AA288" s="37"/>
    </row>
    <row r="289" spans="2:27" s="47" customFormat="1" ht="20.100000000000001" customHeight="1">
      <c r="B289" s="707" t="s">
        <v>360</v>
      </c>
      <c r="C289" s="708"/>
      <c r="D289" s="708"/>
      <c r="E289" s="708"/>
      <c r="F289" s="708"/>
      <c r="G289" s="709"/>
      <c r="H289" s="106" t="s">
        <v>361</v>
      </c>
      <c r="I289" s="202">
        <f>I234</f>
        <v>2.7684607803693799</v>
      </c>
      <c r="J289" s="155" t="s">
        <v>3</v>
      </c>
      <c r="K289" s="958"/>
      <c r="L289" s="958"/>
      <c r="M289" s="958"/>
      <c r="N289" s="95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110"/>
      <c r="Z289" s="48"/>
      <c r="AA289" s="37"/>
    </row>
    <row r="290" spans="2:27" s="47" customFormat="1" ht="20.100000000000001" customHeight="1">
      <c r="B290" s="707" t="s">
        <v>365</v>
      </c>
      <c r="C290" s="708"/>
      <c r="D290" s="708"/>
      <c r="E290" s="708"/>
      <c r="F290" s="708"/>
      <c r="G290" s="709"/>
      <c r="H290" s="106" t="s">
        <v>332</v>
      </c>
      <c r="I290" s="202">
        <f>IF(B290=DM8,I256,IF(B290=DM9,I268))</f>
        <v>0.2900273164163919</v>
      </c>
      <c r="J290" s="155" t="s">
        <v>3</v>
      </c>
      <c r="K290" s="958"/>
      <c r="L290" s="958"/>
      <c r="M290" s="958"/>
      <c r="N290" s="95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110"/>
      <c r="Z290" s="48"/>
      <c r="AA290" s="37"/>
    </row>
    <row r="291" spans="2:27" s="47" customFormat="1" ht="20.100000000000001" customHeight="1">
      <c r="B291" s="707" t="s">
        <v>368</v>
      </c>
      <c r="C291" s="708"/>
      <c r="D291" s="708"/>
      <c r="E291" s="708"/>
      <c r="F291" s="708"/>
      <c r="G291" s="709"/>
      <c r="H291" s="106" t="s">
        <v>351</v>
      </c>
      <c r="I291" s="202">
        <f>SUM(J274:J280)*I245</f>
        <v>0.67323388752307134</v>
      </c>
      <c r="J291" s="155" t="s">
        <v>3</v>
      </c>
      <c r="K291" s="958"/>
      <c r="L291" s="958"/>
      <c r="M291" s="958"/>
      <c r="N291" s="95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110"/>
      <c r="Z291" s="48"/>
      <c r="AA291" s="37"/>
    </row>
    <row r="292" spans="2:27" s="47" customFormat="1" ht="20.100000000000001" customHeight="1">
      <c r="B292" s="707" t="s">
        <v>369</v>
      </c>
      <c r="C292" s="708"/>
      <c r="D292" s="708"/>
      <c r="E292" s="708"/>
      <c r="F292" s="708"/>
      <c r="G292" s="709"/>
      <c r="H292" s="208" t="s">
        <v>392</v>
      </c>
      <c r="I292" s="202">
        <f>SUM(I287:I291)</f>
        <v>4.4239339716552024</v>
      </c>
      <c r="J292" s="155" t="s">
        <v>3</v>
      </c>
      <c r="K292" s="958"/>
      <c r="L292" s="958"/>
      <c r="M292" s="958"/>
      <c r="N292" s="95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110"/>
      <c r="Z292" s="48"/>
      <c r="AA292" s="37"/>
    </row>
    <row r="293" spans="2:27" s="47" customFormat="1" ht="20.100000000000001" customHeight="1">
      <c r="B293" s="255"/>
      <c r="C293" s="255"/>
      <c r="D293" s="255"/>
      <c r="E293" s="255"/>
      <c r="F293" s="255"/>
      <c r="G293" s="255"/>
      <c r="H293" s="216"/>
      <c r="I293" s="217"/>
      <c r="J293" s="163"/>
      <c r="K293" s="256"/>
      <c r="L293" s="256"/>
      <c r="M293" s="256"/>
      <c r="N293" s="256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110"/>
      <c r="Z293" s="48"/>
      <c r="AA293" s="37"/>
    </row>
    <row r="294" spans="2:27" s="47" customFormat="1" ht="20.100000000000001" customHeight="1">
      <c r="B294" s="23" t="s">
        <v>458</v>
      </c>
      <c r="C294" s="255"/>
      <c r="D294" s="255"/>
      <c r="E294" s="255"/>
      <c r="F294" s="255"/>
      <c r="G294" s="255"/>
      <c r="H294" s="216"/>
      <c r="I294" s="217"/>
      <c r="J294" s="163"/>
      <c r="K294" s="256"/>
      <c r="L294" s="256"/>
      <c r="M294" s="256"/>
      <c r="N294" s="256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110"/>
      <c r="Z294" s="48"/>
      <c r="AA294" s="37"/>
    </row>
    <row r="295" spans="2:27" s="47" customFormat="1" ht="20.100000000000001" customHeight="1">
      <c r="B295" s="963" t="s">
        <v>450</v>
      </c>
      <c r="C295" s="963"/>
      <c r="D295" s="963"/>
      <c r="E295" s="963"/>
      <c r="F295" s="963"/>
      <c r="G295" s="963"/>
      <c r="H295" s="963"/>
      <c r="I295" s="1076" t="s">
        <v>451</v>
      </c>
      <c r="J295" s="1077" t="s">
        <v>449</v>
      </c>
      <c r="K295" s="1081"/>
      <c r="L295" s="1081"/>
      <c r="M295" s="1081"/>
      <c r="N295" s="1081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110"/>
      <c r="Z295" s="48"/>
      <c r="AA295" s="37"/>
    </row>
    <row r="296" spans="2:27" s="47" customFormat="1" ht="20.100000000000001" customHeight="1">
      <c r="B296" s="963"/>
      <c r="C296" s="963"/>
      <c r="D296" s="963"/>
      <c r="E296" s="963"/>
      <c r="F296" s="963"/>
      <c r="G296" s="963"/>
      <c r="H296" s="963"/>
      <c r="I296" s="1076"/>
      <c r="J296" s="1077"/>
      <c r="K296" s="1081"/>
      <c r="L296" s="1081"/>
      <c r="M296" s="1081"/>
      <c r="N296" s="1081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110"/>
      <c r="Z296" s="48"/>
      <c r="AA296" s="37"/>
    </row>
    <row r="297" spans="2:27" s="47" customFormat="1" ht="20.100000000000001" customHeight="1">
      <c r="B297" s="802" t="s">
        <v>452</v>
      </c>
      <c r="C297" s="802"/>
      <c r="D297" s="802"/>
      <c r="E297" s="802"/>
      <c r="F297" s="802"/>
      <c r="G297" s="802"/>
      <c r="H297" s="257" t="s">
        <v>321</v>
      </c>
      <c r="I297" s="202" t="s">
        <v>264</v>
      </c>
      <c r="J297" s="202">
        <f>$I$243</f>
        <v>1.9972385015453531</v>
      </c>
      <c r="K297" s="1078"/>
      <c r="L297" s="1079"/>
      <c r="M297" s="1079"/>
      <c r="N297" s="1080"/>
      <c r="O297" s="38" t="str">
        <f>IF(J297&lt;1.5,"Velocidad baja en la tubería de lavado, seleccione otro diámetro",IF(J297&gt;3,"Velocidad alta en la tubería de lavado, seleccione otro diámetro","¡Ok!"))</f>
        <v>¡Ok!</v>
      </c>
      <c r="P297" s="38"/>
      <c r="Q297" s="38"/>
      <c r="R297" s="38"/>
      <c r="S297" s="38"/>
      <c r="T297" s="38"/>
      <c r="U297" s="38"/>
      <c r="V297" s="38"/>
      <c r="W297" s="38"/>
      <c r="X297" s="38"/>
      <c r="Y297" s="110"/>
      <c r="Z297" s="48"/>
      <c r="AA297" s="37"/>
    </row>
    <row r="298" spans="2:27" s="47" customFormat="1" ht="20.100000000000001" customHeight="1">
      <c r="B298" s="741" t="s">
        <v>456</v>
      </c>
      <c r="C298" s="742"/>
      <c r="D298" s="742"/>
      <c r="E298" s="742"/>
      <c r="F298" s="742"/>
      <c r="G298" s="743"/>
      <c r="H298" s="875" t="s">
        <v>454</v>
      </c>
      <c r="I298" s="981" t="s">
        <v>453</v>
      </c>
      <c r="J298" s="981">
        <f>$I$213/(VLOOKUP(I173,BG8:BH16,2,FALSE))</f>
        <v>1.0979188625043919</v>
      </c>
      <c r="K298" s="1070"/>
      <c r="L298" s="1071"/>
      <c r="M298" s="1071"/>
      <c r="N298" s="1072"/>
      <c r="O298" s="1059" t="str">
        <f>IF(J298&lt;0.9,"Velocidad baja en el múltiple, seleccione otra sección",IF(J298&gt;2.4,"Velocidad alta en el múltiple, seleccione otra sección","¡Ok!"))</f>
        <v>¡Ok!</v>
      </c>
      <c r="P298" s="958"/>
      <c r="Q298" s="38"/>
      <c r="R298" s="38"/>
      <c r="S298" s="38"/>
      <c r="T298" s="38"/>
      <c r="U298" s="38"/>
      <c r="V298" s="38"/>
      <c r="W298" s="38"/>
      <c r="X298" s="38"/>
      <c r="Y298" s="110"/>
      <c r="Z298" s="48"/>
      <c r="AA298" s="37"/>
    </row>
    <row r="299" spans="2:27" s="47" customFormat="1" ht="20.100000000000001" customHeight="1">
      <c r="B299" s="747"/>
      <c r="C299" s="748"/>
      <c r="D299" s="748"/>
      <c r="E299" s="748"/>
      <c r="F299" s="748"/>
      <c r="G299" s="749"/>
      <c r="H299" s="876"/>
      <c r="I299" s="982"/>
      <c r="J299" s="982"/>
      <c r="K299" s="1073"/>
      <c r="L299" s="1074"/>
      <c r="M299" s="1074"/>
      <c r="N299" s="1075"/>
      <c r="O299" s="1059"/>
      <c r="P299" s="958"/>
      <c r="Q299" s="38"/>
      <c r="R299" s="38"/>
      <c r="S299" s="38"/>
      <c r="T299" s="38"/>
      <c r="U299" s="38"/>
      <c r="V299" s="38"/>
      <c r="W299" s="38"/>
      <c r="X299" s="38"/>
      <c r="Y299" s="110"/>
      <c r="Z299" s="48"/>
      <c r="AA299" s="37"/>
    </row>
    <row r="300" spans="2:27" s="47" customFormat="1" ht="20.100000000000001" customHeight="1">
      <c r="B300" s="741" t="s">
        <v>457</v>
      </c>
      <c r="C300" s="742"/>
      <c r="D300" s="742"/>
      <c r="E300" s="742"/>
      <c r="F300" s="742"/>
      <c r="G300" s="743"/>
      <c r="H300" s="884" t="s">
        <v>455</v>
      </c>
      <c r="I300" s="981" t="s">
        <v>453</v>
      </c>
      <c r="J300" s="981">
        <f>$I$213/(VLOOKUP(I177,BB8:BC12,2,FALSE)*I178)</f>
        <v>1.7973176305515934</v>
      </c>
      <c r="K300" s="1070"/>
      <c r="L300" s="1071"/>
      <c r="M300" s="1071"/>
      <c r="N300" s="1072"/>
      <c r="O300" s="1059" t="str">
        <f>IF(J300&lt;0.9,"Velocidad baja en el lateral, seleccione otro diámetro o distanciamiento",IF(J300&gt;2.4,"Velocidad alta en el lateral, seleccione otro diámetro o distanciamiento","¡Ok!"))</f>
        <v>¡Ok!</v>
      </c>
      <c r="P300" s="38"/>
      <c r="Q300" s="38"/>
      <c r="R300" s="38"/>
      <c r="S300" s="38"/>
      <c r="T300" s="38"/>
      <c r="U300" s="38"/>
      <c r="V300" s="38"/>
      <c r="W300" s="38"/>
      <c r="X300" s="38"/>
      <c r="Y300" s="110"/>
      <c r="Z300" s="48"/>
      <c r="AA300" s="37"/>
    </row>
    <row r="301" spans="2:27" s="47" customFormat="1" ht="20.100000000000001" customHeight="1">
      <c r="B301" s="747"/>
      <c r="C301" s="748"/>
      <c r="D301" s="748"/>
      <c r="E301" s="748"/>
      <c r="F301" s="748"/>
      <c r="G301" s="749"/>
      <c r="H301" s="885"/>
      <c r="I301" s="982"/>
      <c r="J301" s="982"/>
      <c r="K301" s="1073"/>
      <c r="L301" s="1074"/>
      <c r="M301" s="1074"/>
      <c r="N301" s="1075"/>
      <c r="O301" s="1059"/>
      <c r="P301" s="38"/>
      <c r="Q301" s="38"/>
      <c r="R301" s="38"/>
      <c r="S301" s="38"/>
      <c r="T301" s="38"/>
      <c r="U301" s="38"/>
      <c r="V301" s="38"/>
      <c r="W301" s="38"/>
      <c r="X301" s="38"/>
      <c r="Y301" s="110"/>
      <c r="Z301" s="48"/>
      <c r="AA301" s="37"/>
    </row>
    <row r="302" spans="2:27" s="47" customFormat="1" ht="20.100000000000001" customHeight="1">
      <c r="B302" s="255"/>
      <c r="C302" s="255"/>
      <c r="D302" s="255"/>
      <c r="E302" s="255"/>
      <c r="F302" s="255"/>
      <c r="G302" s="255"/>
      <c r="H302" s="216"/>
      <c r="I302" s="217"/>
      <c r="J302" s="163"/>
      <c r="K302" s="256"/>
      <c r="L302" s="256"/>
      <c r="M302" s="256"/>
      <c r="N302" s="256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110"/>
      <c r="Z302" s="48"/>
      <c r="AA302" s="37"/>
    </row>
    <row r="303" spans="2:27" s="47" customFormat="1" ht="20.100000000000001" customHeight="1">
      <c r="B303" s="15" t="s">
        <v>524</v>
      </c>
      <c r="C303" s="235"/>
      <c r="D303" s="235"/>
      <c r="E303" s="235"/>
      <c r="F303" s="235"/>
      <c r="G303" s="235"/>
      <c r="H303" s="216"/>
      <c r="I303" s="217"/>
      <c r="J303" s="163"/>
      <c r="K303" s="236"/>
      <c r="L303" s="236"/>
      <c r="M303" s="236"/>
      <c r="N303" s="236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110"/>
      <c r="Z303" s="48"/>
      <c r="AA303" s="37"/>
    </row>
    <row r="304" spans="2:27" s="47" customFormat="1" ht="20.100000000000001" customHeight="1">
      <c r="B304" s="235"/>
      <c r="C304" s="235"/>
      <c r="D304" s="235"/>
      <c r="E304" s="235"/>
      <c r="F304" s="235"/>
      <c r="G304" s="235"/>
      <c r="H304" s="216"/>
      <c r="I304" s="217"/>
      <c r="J304" s="163"/>
      <c r="K304" s="236"/>
      <c r="L304" s="236"/>
      <c r="M304" s="236"/>
      <c r="N304" s="236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110"/>
      <c r="Z304" s="48"/>
      <c r="AA304" s="37"/>
    </row>
    <row r="305" spans="2:29" s="47" customFormat="1" ht="20.100000000000001" customHeight="1">
      <c r="B305" s="33" t="s">
        <v>510</v>
      </c>
      <c r="C305" s="32"/>
      <c r="D305" s="32"/>
      <c r="E305" s="32"/>
      <c r="F305" s="32"/>
      <c r="G305" s="32"/>
      <c r="H305" s="34"/>
      <c r="I305" s="46"/>
      <c r="J305" s="50"/>
      <c r="K305" s="2"/>
      <c r="L305" s="2"/>
      <c r="M305" s="38"/>
      <c r="N305" s="38"/>
      <c r="O305" s="38"/>
      <c r="P305" s="33" t="s">
        <v>515</v>
      </c>
      <c r="Q305" s="38"/>
      <c r="R305" s="38"/>
      <c r="S305" s="38"/>
      <c r="T305" s="38"/>
      <c r="U305" s="38"/>
      <c r="V305" s="38"/>
      <c r="W305" s="38"/>
      <c r="X305" s="38"/>
      <c r="Y305" s="110"/>
      <c r="Z305" s="484"/>
      <c r="AA305" s="37"/>
      <c r="AB305" s="497"/>
      <c r="AC305" s="497"/>
    </row>
    <row r="306" spans="2:29" s="47" customFormat="1" ht="20.100000000000001" customHeight="1">
      <c r="B306" s="802" t="s">
        <v>76</v>
      </c>
      <c r="C306" s="802"/>
      <c r="D306" s="802"/>
      <c r="E306" s="802"/>
      <c r="F306" s="802"/>
      <c r="G306" s="802"/>
      <c r="H306" s="80" t="s">
        <v>103</v>
      </c>
      <c r="I306" s="471">
        <f>$G$19/(24*60)</f>
        <v>8.3333333333333329E-2</v>
      </c>
      <c r="J306" s="108" t="s">
        <v>126</v>
      </c>
      <c r="K306" s="877"/>
      <c r="L306" s="878"/>
      <c r="M306" s="878"/>
      <c r="N306" s="879"/>
      <c r="O306" s="38"/>
      <c r="P306" s="707" t="s">
        <v>76</v>
      </c>
      <c r="Q306" s="708"/>
      <c r="R306" s="708"/>
      <c r="S306" s="708"/>
      <c r="T306" s="80" t="s">
        <v>509</v>
      </c>
      <c r="U306" s="471">
        <f>$G$20/(24*60)</f>
        <v>0.10416666666666667</v>
      </c>
      <c r="V306" s="472" t="s">
        <v>126</v>
      </c>
      <c r="W306" s="877"/>
      <c r="X306" s="878"/>
      <c r="Y306" s="878"/>
      <c r="Z306" s="879"/>
      <c r="AA306" s="38"/>
      <c r="AB306" s="38"/>
      <c r="AC306" s="38"/>
    </row>
    <row r="307" spans="2:29" s="47" customFormat="1" ht="20.100000000000001" customHeight="1">
      <c r="B307" s="707" t="s">
        <v>168</v>
      </c>
      <c r="C307" s="708"/>
      <c r="D307" s="708"/>
      <c r="E307" s="708"/>
      <c r="F307" s="708"/>
      <c r="G307" s="709"/>
      <c r="H307" s="80" t="s">
        <v>169</v>
      </c>
      <c r="I307" s="202">
        <f>SUM(G88:G92)</f>
        <v>0.44999999999999996</v>
      </c>
      <c r="J307" s="58" t="s">
        <v>3</v>
      </c>
      <c r="K307" s="877"/>
      <c r="L307" s="878"/>
      <c r="M307" s="878"/>
      <c r="N307" s="879"/>
      <c r="O307" s="38"/>
      <c r="P307" s="707" t="s">
        <v>168</v>
      </c>
      <c r="Q307" s="708"/>
      <c r="R307" s="708"/>
      <c r="S307" s="708"/>
      <c r="T307" s="80" t="s">
        <v>169</v>
      </c>
      <c r="U307" s="471">
        <f>SUM(G88:G92)</f>
        <v>0.44999999999999996</v>
      </c>
      <c r="V307" s="287" t="s">
        <v>3</v>
      </c>
      <c r="W307" s="877"/>
      <c r="X307" s="878"/>
      <c r="Y307" s="878"/>
      <c r="Z307" s="879"/>
      <c r="AA307" s="38"/>
      <c r="AB307" s="38"/>
      <c r="AC307" s="38"/>
    </row>
    <row r="308" spans="2:29" s="47" customFormat="1" ht="20.100000000000001" customHeight="1">
      <c r="B308" s="741" t="s">
        <v>170</v>
      </c>
      <c r="C308" s="742"/>
      <c r="D308" s="742"/>
      <c r="E308" s="742"/>
      <c r="F308" s="742"/>
      <c r="G308" s="743"/>
      <c r="H308" s="796" t="s">
        <v>171</v>
      </c>
      <c r="I308" s="981">
        <f>I306*I307/3</f>
        <v>1.2499999999999997E-2</v>
      </c>
      <c r="J308" s="796" t="s">
        <v>3</v>
      </c>
      <c r="K308" s="866"/>
      <c r="L308" s="867"/>
      <c r="M308" s="867"/>
      <c r="N308" s="868"/>
      <c r="O308" s="38"/>
      <c r="P308" s="741" t="s">
        <v>170</v>
      </c>
      <c r="Q308" s="742"/>
      <c r="R308" s="742"/>
      <c r="S308" s="742"/>
      <c r="T308" s="796" t="s">
        <v>517</v>
      </c>
      <c r="U308" s="798">
        <f>U306*U307/3</f>
        <v>1.5625E-2</v>
      </c>
      <c r="V308" s="796" t="s">
        <v>3</v>
      </c>
      <c r="W308" s="866"/>
      <c r="X308" s="867"/>
      <c r="Y308" s="867"/>
      <c r="Z308" s="868"/>
      <c r="AA308" s="38"/>
      <c r="AB308" s="38"/>
      <c r="AC308" s="38"/>
    </row>
    <row r="309" spans="2:29" s="47" customFormat="1" ht="20.100000000000001" customHeight="1">
      <c r="B309" s="747"/>
      <c r="C309" s="748"/>
      <c r="D309" s="748"/>
      <c r="E309" s="748"/>
      <c r="F309" s="748"/>
      <c r="G309" s="749"/>
      <c r="H309" s="797"/>
      <c r="I309" s="982"/>
      <c r="J309" s="797"/>
      <c r="K309" s="869"/>
      <c r="L309" s="870"/>
      <c r="M309" s="870"/>
      <c r="N309" s="871"/>
      <c r="O309" s="38"/>
      <c r="P309" s="747"/>
      <c r="Q309" s="748"/>
      <c r="R309" s="748"/>
      <c r="S309" s="748"/>
      <c r="T309" s="797"/>
      <c r="U309" s="799"/>
      <c r="V309" s="797"/>
      <c r="W309" s="869"/>
      <c r="X309" s="870"/>
      <c r="Y309" s="870"/>
      <c r="Z309" s="871"/>
      <c r="AA309" s="38"/>
      <c r="AB309" s="38"/>
      <c r="AC309" s="38"/>
    </row>
    <row r="310" spans="2:29" s="47" customFormat="1" ht="20.100000000000001" customHeight="1">
      <c r="B310" s="235"/>
      <c r="C310" s="235"/>
      <c r="D310" s="235"/>
      <c r="E310" s="235"/>
      <c r="F310" s="235"/>
      <c r="G310" s="235"/>
      <c r="H310" s="216"/>
      <c r="I310" s="217"/>
      <c r="J310" s="163"/>
      <c r="K310" s="236"/>
      <c r="L310" s="236"/>
      <c r="M310" s="236"/>
      <c r="N310" s="236"/>
      <c r="O310" s="38"/>
      <c r="P310" s="473"/>
      <c r="Q310" s="473"/>
      <c r="R310" s="473"/>
      <c r="S310" s="473"/>
      <c r="T310" s="216"/>
      <c r="U310" s="217"/>
      <c r="V310" s="163"/>
      <c r="W310" s="468"/>
      <c r="X310" s="468"/>
      <c r="Y310" s="468"/>
      <c r="Z310" s="468"/>
      <c r="AA310" s="468"/>
      <c r="AB310" s="468"/>
      <c r="AC310" s="468"/>
    </row>
    <row r="311" spans="2:29" s="47" customFormat="1" ht="20.100000000000001" customHeight="1">
      <c r="B311" s="15" t="s">
        <v>511</v>
      </c>
      <c r="C311" s="11"/>
      <c r="D311" s="11"/>
      <c r="E311" s="11"/>
      <c r="F311" s="11"/>
      <c r="G311" s="11"/>
      <c r="H311" s="125"/>
      <c r="I311" s="134"/>
      <c r="J311" s="77"/>
      <c r="K311" s="126"/>
      <c r="L311" s="126"/>
      <c r="M311" s="126"/>
      <c r="N311" s="126"/>
      <c r="O311" s="38"/>
      <c r="P311" s="15" t="s">
        <v>514</v>
      </c>
      <c r="Q311" s="11"/>
      <c r="R311" s="11"/>
      <c r="S311" s="11"/>
      <c r="T311" s="125"/>
      <c r="U311" s="134"/>
      <c r="V311" s="77"/>
      <c r="W311" s="126"/>
      <c r="X311" s="126"/>
      <c r="Y311" s="126"/>
      <c r="Z311" s="126"/>
      <c r="AA311" s="126"/>
      <c r="AB311" s="126"/>
      <c r="AC311" s="126"/>
    </row>
    <row r="312" spans="2:29" s="47" customFormat="1" ht="20.100000000000001" customHeight="1">
      <c r="B312" s="802" t="s">
        <v>76</v>
      </c>
      <c r="C312" s="802"/>
      <c r="D312" s="802"/>
      <c r="E312" s="802"/>
      <c r="F312" s="802"/>
      <c r="G312" s="802"/>
      <c r="H312" s="58" t="s">
        <v>374</v>
      </c>
      <c r="I312" s="220">
        <f>$G$19/(86400)</f>
        <v>1.3888888888888889E-3</v>
      </c>
      <c r="J312" s="108" t="s">
        <v>5</v>
      </c>
      <c r="K312" s="877"/>
      <c r="L312" s="878"/>
      <c r="M312" s="878"/>
      <c r="N312" s="879"/>
      <c r="O312" s="38"/>
      <c r="P312" s="802" t="s">
        <v>76</v>
      </c>
      <c r="Q312" s="802"/>
      <c r="R312" s="802"/>
      <c r="S312" s="707"/>
      <c r="T312" s="287" t="s">
        <v>518</v>
      </c>
      <c r="U312" s="220">
        <f>$G$20/(86400)</f>
        <v>1.736111111111111E-3</v>
      </c>
      <c r="V312" s="472" t="s">
        <v>5</v>
      </c>
      <c r="W312" s="877"/>
      <c r="X312" s="878"/>
      <c r="Y312" s="878"/>
      <c r="Z312" s="879"/>
      <c r="AA312" s="38"/>
      <c r="AB312" s="38"/>
      <c r="AC312" s="38"/>
    </row>
    <row r="313" spans="2:29" s="47" customFormat="1" ht="20.100000000000001" customHeight="1">
      <c r="B313" s="763" t="s">
        <v>358</v>
      </c>
      <c r="C313" s="764"/>
      <c r="D313" s="764"/>
      <c r="E313" s="764"/>
      <c r="F313" s="764"/>
      <c r="G313" s="765"/>
      <c r="H313" s="155" t="s">
        <v>44</v>
      </c>
      <c r="I313" s="155">
        <f>$I$232</f>
        <v>0.6</v>
      </c>
      <c r="J313" s="155"/>
      <c r="K313" s="877"/>
      <c r="L313" s="878"/>
      <c r="M313" s="878"/>
      <c r="N313" s="879"/>
      <c r="O313" s="38"/>
      <c r="P313" s="762" t="s">
        <v>358</v>
      </c>
      <c r="Q313" s="762"/>
      <c r="R313" s="762"/>
      <c r="S313" s="763"/>
      <c r="T313" s="475" t="s">
        <v>44</v>
      </c>
      <c r="U313" s="472">
        <f>$I$232</f>
        <v>0.6</v>
      </c>
      <c r="V313" s="475"/>
      <c r="W313" s="877"/>
      <c r="X313" s="878"/>
      <c r="Y313" s="878"/>
      <c r="Z313" s="879"/>
      <c r="AA313" s="38"/>
      <c r="AB313" s="38"/>
      <c r="AC313" s="38"/>
    </row>
    <row r="314" spans="2:29" s="47" customFormat="1" ht="20.100000000000001" customHeight="1">
      <c r="B314" s="763" t="s">
        <v>254</v>
      </c>
      <c r="C314" s="764"/>
      <c r="D314" s="764"/>
      <c r="E314" s="764"/>
      <c r="F314" s="764"/>
      <c r="G314" s="765"/>
      <c r="H314" s="114" t="s">
        <v>265</v>
      </c>
      <c r="I314" s="277">
        <f>$I$184</f>
        <v>2.8E-3</v>
      </c>
      <c r="J314" s="155"/>
      <c r="K314" s="877"/>
      <c r="L314" s="878"/>
      <c r="M314" s="878"/>
      <c r="N314" s="879"/>
      <c r="O314" s="38"/>
      <c r="P314" s="762" t="s">
        <v>254</v>
      </c>
      <c r="Q314" s="762"/>
      <c r="R314" s="762"/>
      <c r="S314" s="763"/>
      <c r="T314" s="114" t="s">
        <v>265</v>
      </c>
      <c r="U314" s="220">
        <f>$I$184</f>
        <v>2.8E-3</v>
      </c>
      <c r="V314" s="475"/>
      <c r="W314" s="877"/>
      <c r="X314" s="878"/>
      <c r="Y314" s="878"/>
      <c r="Z314" s="879"/>
      <c r="AA314" s="38"/>
      <c r="AB314" s="38"/>
      <c r="AC314" s="38"/>
    </row>
    <row r="315" spans="2:29" s="47" customFormat="1" ht="20.100000000000001" customHeight="1">
      <c r="B315" s="786" t="s">
        <v>436</v>
      </c>
      <c r="C315" s="787"/>
      <c r="D315" s="787"/>
      <c r="E315" s="787"/>
      <c r="F315" s="787"/>
      <c r="G315" s="788"/>
      <c r="H315" s="884" t="s">
        <v>443</v>
      </c>
      <c r="I315" s="798">
        <f>(1/(2*9.806))*(I312/(I313*I314))^2</f>
        <v>3.4849340124994715E-2</v>
      </c>
      <c r="J315" s="796" t="s">
        <v>3</v>
      </c>
      <c r="K315" s="866"/>
      <c r="L315" s="867"/>
      <c r="M315" s="867"/>
      <c r="N315" s="868"/>
      <c r="O315" s="38"/>
      <c r="P315" s="762" t="s">
        <v>436</v>
      </c>
      <c r="Q315" s="762"/>
      <c r="R315" s="762"/>
      <c r="S315" s="763"/>
      <c r="T315" s="884" t="s">
        <v>519</v>
      </c>
      <c r="U315" s="798">
        <f>(1/(2*9.806))*(U312/(U313*U314))^2</f>
        <v>5.4452093945304231E-2</v>
      </c>
      <c r="V315" s="796" t="s">
        <v>3</v>
      </c>
      <c r="W315" s="866"/>
      <c r="X315" s="867"/>
      <c r="Y315" s="867"/>
      <c r="Z315" s="868"/>
      <c r="AA315" s="38"/>
      <c r="AB315" s="38"/>
      <c r="AC315" s="38"/>
    </row>
    <row r="316" spans="2:29" s="47" customFormat="1" ht="20.100000000000001" customHeight="1">
      <c r="B316" s="789"/>
      <c r="C316" s="790"/>
      <c r="D316" s="790"/>
      <c r="E316" s="790"/>
      <c r="F316" s="790"/>
      <c r="G316" s="791"/>
      <c r="H316" s="885"/>
      <c r="I316" s="799"/>
      <c r="J316" s="797"/>
      <c r="K316" s="869"/>
      <c r="L316" s="870"/>
      <c r="M316" s="870"/>
      <c r="N316" s="871"/>
      <c r="O316" s="38"/>
      <c r="P316" s="762"/>
      <c r="Q316" s="762"/>
      <c r="R316" s="762"/>
      <c r="S316" s="763"/>
      <c r="T316" s="885"/>
      <c r="U316" s="799"/>
      <c r="V316" s="797"/>
      <c r="W316" s="869"/>
      <c r="X316" s="870"/>
      <c r="Y316" s="870"/>
      <c r="Z316" s="871"/>
      <c r="AA316" s="38"/>
      <c r="AB316" s="38"/>
      <c r="AC316" s="38"/>
    </row>
    <row r="317" spans="2:29" s="47" customFormat="1" ht="20.100000000000001" customHeight="1">
      <c r="B317" s="235"/>
      <c r="C317" s="235"/>
      <c r="D317" s="235"/>
      <c r="E317" s="235"/>
      <c r="F317" s="235"/>
      <c r="G317" s="235"/>
      <c r="H317" s="216"/>
      <c r="I317" s="217"/>
      <c r="J317" s="163"/>
      <c r="K317" s="236"/>
      <c r="L317" s="236"/>
      <c r="M317" s="236"/>
      <c r="N317" s="236"/>
      <c r="O317" s="38"/>
      <c r="P317" s="473"/>
      <c r="Q317" s="473"/>
      <c r="R317" s="473"/>
      <c r="S317" s="473"/>
      <c r="T317" s="216"/>
      <c r="U317" s="217"/>
      <c r="V317" s="163"/>
      <c r="W317" s="468"/>
      <c r="X317" s="468"/>
      <c r="Y317" s="468"/>
      <c r="Z317" s="468"/>
      <c r="AA317" s="468"/>
      <c r="AB317" s="468"/>
      <c r="AC317" s="468"/>
    </row>
    <row r="318" spans="2:29" s="47" customFormat="1" ht="20.100000000000001" customHeight="1">
      <c r="B318" s="33" t="s">
        <v>512</v>
      </c>
      <c r="C318" s="27"/>
      <c r="D318" s="27"/>
      <c r="E318" s="27"/>
      <c r="F318" s="28"/>
      <c r="G318" s="29"/>
      <c r="H318" s="30"/>
      <c r="I318" s="38"/>
      <c r="J318" s="38"/>
      <c r="K318" s="38"/>
      <c r="L318" s="38"/>
      <c r="M318" s="38"/>
      <c r="N318" s="38"/>
      <c r="O318" s="38"/>
      <c r="P318" s="33" t="s">
        <v>516</v>
      </c>
      <c r="Q318" s="27"/>
      <c r="R318" s="27"/>
      <c r="S318" s="27"/>
      <c r="T318" s="30"/>
      <c r="U318" s="38"/>
      <c r="V318" s="38"/>
      <c r="W318" s="38"/>
      <c r="X318" s="38"/>
      <c r="Y318" s="38"/>
      <c r="Z318" s="38"/>
      <c r="AA318" s="38"/>
      <c r="AB318" s="38"/>
      <c r="AC318" s="38"/>
    </row>
    <row r="319" spans="2:29" s="47" customFormat="1" ht="20.100000000000001" customHeight="1">
      <c r="B319" s="763" t="s">
        <v>426</v>
      </c>
      <c r="C319" s="764"/>
      <c r="D319" s="764"/>
      <c r="E319" s="764"/>
      <c r="F319" s="764"/>
      <c r="G319" s="765"/>
      <c r="H319" s="974" t="str">
        <f>$H$238</f>
        <v>Acero al carbono API 5L SCH-40</v>
      </c>
      <c r="I319" s="975"/>
      <c r="J319" s="976"/>
      <c r="K319" s="759"/>
      <c r="L319" s="760"/>
      <c r="M319" s="760"/>
      <c r="N319" s="761"/>
      <c r="O319" s="38"/>
      <c r="P319" s="762" t="s">
        <v>426</v>
      </c>
      <c r="Q319" s="762"/>
      <c r="R319" s="762"/>
      <c r="S319" s="763"/>
      <c r="T319" s="872" t="str">
        <f>$H$238</f>
        <v>Acero al carbono API 5L SCH-40</v>
      </c>
      <c r="U319" s="873"/>
      <c r="V319" s="874"/>
      <c r="W319" s="759"/>
      <c r="X319" s="760"/>
      <c r="Y319" s="760"/>
      <c r="Z319" s="761"/>
      <c r="AA319" s="51"/>
      <c r="AB319" s="51"/>
      <c r="AC319" s="51"/>
    </row>
    <row r="320" spans="2:29" s="47" customFormat="1" ht="20.100000000000001" customHeight="1">
      <c r="B320" s="763" t="s">
        <v>323</v>
      </c>
      <c r="C320" s="764"/>
      <c r="D320" s="764"/>
      <c r="E320" s="764"/>
      <c r="F320" s="764"/>
      <c r="G320" s="765"/>
      <c r="H320" s="248" t="s">
        <v>329</v>
      </c>
      <c r="I320" s="220">
        <f>$I$239</f>
        <v>0.15</v>
      </c>
      <c r="J320" s="108" t="s">
        <v>128</v>
      </c>
      <c r="K320" s="393"/>
      <c r="L320" s="394"/>
      <c r="M320" s="394"/>
      <c r="N320" s="395"/>
      <c r="O320" s="38"/>
      <c r="P320" s="762" t="s">
        <v>323</v>
      </c>
      <c r="Q320" s="762"/>
      <c r="R320" s="762"/>
      <c r="S320" s="763"/>
      <c r="T320" s="470" t="s">
        <v>329</v>
      </c>
      <c r="U320" s="220">
        <f>$I$239</f>
        <v>0.15</v>
      </c>
      <c r="V320" s="472" t="s">
        <v>128</v>
      </c>
      <c r="W320" s="460"/>
      <c r="X320" s="461"/>
      <c r="Y320" s="461"/>
      <c r="Z320" s="462"/>
      <c r="AA320" s="110"/>
      <c r="AB320" s="110"/>
      <c r="AC320" s="110"/>
    </row>
    <row r="321" spans="2:29" s="47" customFormat="1" ht="20.100000000000001" customHeight="1">
      <c r="B321" s="763" t="s">
        <v>427</v>
      </c>
      <c r="C321" s="764"/>
      <c r="D321" s="764"/>
      <c r="E321" s="764"/>
      <c r="F321" s="764"/>
      <c r="G321" s="765"/>
      <c r="H321" s="248" t="s">
        <v>431</v>
      </c>
      <c r="I321" s="313">
        <v>1.5</v>
      </c>
      <c r="J321" s="108" t="s">
        <v>3</v>
      </c>
      <c r="K321" s="393"/>
      <c r="L321" s="394"/>
      <c r="M321" s="394"/>
      <c r="N321" s="395"/>
      <c r="O321" s="38"/>
      <c r="P321" s="763" t="s">
        <v>427</v>
      </c>
      <c r="Q321" s="764"/>
      <c r="R321" s="764"/>
      <c r="S321" s="764"/>
      <c r="T321" s="470" t="s">
        <v>431</v>
      </c>
      <c r="U321" s="474">
        <f>I321</f>
        <v>1.5</v>
      </c>
      <c r="V321" s="472" t="s">
        <v>3</v>
      </c>
      <c r="W321" s="460"/>
      <c r="X321" s="461"/>
      <c r="Y321" s="461"/>
      <c r="Z321" s="462"/>
      <c r="AA321" s="110"/>
      <c r="AB321" s="110"/>
      <c r="AC321" s="110"/>
    </row>
    <row r="322" spans="2:29" s="47" customFormat="1" ht="20.100000000000001" customHeight="1">
      <c r="B322" s="763" t="s">
        <v>428</v>
      </c>
      <c r="C322" s="764"/>
      <c r="D322" s="764"/>
      <c r="E322" s="764"/>
      <c r="F322" s="764"/>
      <c r="G322" s="765"/>
      <c r="H322" s="248" t="s">
        <v>434</v>
      </c>
      <c r="I322" s="95">
        <f>$I$241</f>
        <v>10</v>
      </c>
      <c r="J322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322" s="759"/>
      <c r="L322" s="760"/>
      <c r="M322" s="760"/>
      <c r="N322" s="761"/>
      <c r="O322" s="38"/>
      <c r="P322" s="763" t="s">
        <v>428</v>
      </c>
      <c r="Q322" s="764"/>
      <c r="R322" s="764"/>
      <c r="S322" s="764"/>
      <c r="T322" s="470" t="s">
        <v>434</v>
      </c>
      <c r="U322" s="474">
        <f>$I$241</f>
        <v>10</v>
      </c>
      <c r="V322" s="472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W322" s="759"/>
      <c r="X322" s="760"/>
      <c r="Y322" s="760"/>
      <c r="Z322" s="761"/>
      <c r="AA322" s="51"/>
      <c r="AB322" s="51"/>
      <c r="AC322" s="51"/>
    </row>
    <row r="323" spans="2:29" s="47" customFormat="1" ht="20.100000000000001" customHeight="1">
      <c r="B323" s="763" t="s">
        <v>429</v>
      </c>
      <c r="C323" s="764"/>
      <c r="D323" s="764"/>
      <c r="E323" s="764"/>
      <c r="F323" s="764"/>
      <c r="G323" s="765"/>
      <c r="H323" s="248" t="s">
        <v>432</v>
      </c>
      <c r="I323" s="249">
        <f>$I$242</f>
        <v>0.255</v>
      </c>
      <c r="J323" s="108" t="s">
        <v>3</v>
      </c>
      <c r="K323" s="759"/>
      <c r="L323" s="760"/>
      <c r="M323" s="760"/>
      <c r="N323" s="761"/>
      <c r="O323" s="38"/>
      <c r="P323" s="763" t="s">
        <v>429</v>
      </c>
      <c r="Q323" s="764"/>
      <c r="R323" s="764"/>
      <c r="S323" s="764"/>
      <c r="T323" s="470" t="s">
        <v>432</v>
      </c>
      <c r="U323" s="471">
        <f>$I$242</f>
        <v>0.255</v>
      </c>
      <c r="V323" s="472" t="s">
        <v>3</v>
      </c>
      <c r="W323" s="759"/>
      <c r="X323" s="760"/>
      <c r="Y323" s="760"/>
      <c r="Z323" s="761"/>
      <c r="AA323" s="51"/>
      <c r="AB323" s="51"/>
      <c r="AC323" s="51"/>
    </row>
    <row r="324" spans="2:29" s="47" customFormat="1" ht="20.100000000000001" customHeight="1">
      <c r="B324" s="763" t="s">
        <v>424</v>
      </c>
      <c r="C324" s="764"/>
      <c r="D324" s="764"/>
      <c r="E324" s="764"/>
      <c r="F324" s="764"/>
      <c r="G324" s="765"/>
      <c r="H324" s="241" t="s">
        <v>425</v>
      </c>
      <c r="I324" s="469">
        <f>$G$19/(86400)*I166</f>
        <v>1.1450400000000001E-2</v>
      </c>
      <c r="J324" s="239" t="s">
        <v>164</v>
      </c>
      <c r="K324" s="759"/>
      <c r="L324" s="760"/>
      <c r="M324" s="760"/>
      <c r="N324" s="761"/>
      <c r="O324" s="38"/>
      <c r="P324" s="763" t="s">
        <v>424</v>
      </c>
      <c r="Q324" s="764"/>
      <c r="R324" s="764"/>
      <c r="S324" s="764"/>
      <c r="T324" s="466" t="s">
        <v>520</v>
      </c>
      <c r="U324" s="469">
        <f>$G$20/(86400)*I166</f>
        <v>1.4313000000000001E-2</v>
      </c>
      <c r="V324" s="463" t="s">
        <v>164</v>
      </c>
      <c r="W324" s="759"/>
      <c r="X324" s="760"/>
      <c r="Y324" s="760"/>
      <c r="Z324" s="761"/>
      <c r="AA324" s="51"/>
      <c r="AB324" s="51"/>
      <c r="AC324" s="51"/>
    </row>
    <row r="325" spans="2:29" s="47" customFormat="1" ht="20.100000000000001" customHeight="1">
      <c r="B325" s="741" t="s">
        <v>430</v>
      </c>
      <c r="C325" s="742"/>
      <c r="D325" s="742"/>
      <c r="E325" s="742"/>
      <c r="F325" s="742"/>
      <c r="G325" s="743"/>
      <c r="H325" s="875" t="s">
        <v>433</v>
      </c>
      <c r="I325" s="798">
        <f>(4*I324)/(PI()*(I323^2))</f>
        <v>0.22420764449112662</v>
      </c>
      <c r="J325" s="750" t="s">
        <v>5</v>
      </c>
      <c r="K325" s="744"/>
      <c r="L325" s="745"/>
      <c r="M325" s="745"/>
      <c r="N325" s="746"/>
      <c r="O325" s="38"/>
      <c r="P325" s="741" t="s">
        <v>430</v>
      </c>
      <c r="Q325" s="742"/>
      <c r="R325" s="742"/>
      <c r="S325" s="742"/>
      <c r="T325" s="875" t="s">
        <v>521</v>
      </c>
      <c r="U325" s="798">
        <f>(4*U324)/(PI()*(U323^2))</f>
        <v>0.28025955561390825</v>
      </c>
      <c r="V325" s="750" t="s">
        <v>5</v>
      </c>
      <c r="W325" s="744"/>
      <c r="X325" s="745"/>
      <c r="Y325" s="745"/>
      <c r="Z325" s="746"/>
      <c r="AA325" s="51"/>
      <c r="AB325" s="51"/>
      <c r="AC325" s="51"/>
    </row>
    <row r="326" spans="2:29" s="47" customFormat="1" ht="20.100000000000001" customHeight="1">
      <c r="B326" s="747"/>
      <c r="C326" s="748"/>
      <c r="D326" s="748"/>
      <c r="E326" s="748"/>
      <c r="F326" s="748"/>
      <c r="G326" s="749"/>
      <c r="H326" s="876"/>
      <c r="I326" s="799"/>
      <c r="J326" s="751"/>
      <c r="K326" s="756"/>
      <c r="L326" s="757"/>
      <c r="M326" s="757"/>
      <c r="N326" s="758"/>
      <c r="O326" s="38"/>
      <c r="P326" s="747"/>
      <c r="Q326" s="748"/>
      <c r="R326" s="748"/>
      <c r="S326" s="748"/>
      <c r="T326" s="876"/>
      <c r="U326" s="799"/>
      <c r="V326" s="751"/>
      <c r="W326" s="756"/>
      <c r="X326" s="757"/>
      <c r="Y326" s="757"/>
      <c r="Z326" s="758"/>
      <c r="AA326" s="51"/>
      <c r="AB326" s="51"/>
      <c r="AC326" s="51"/>
    </row>
    <row r="327" spans="2:29" s="47" customFormat="1" ht="20.100000000000001" customHeight="1">
      <c r="B327" s="741" t="s">
        <v>347</v>
      </c>
      <c r="C327" s="742"/>
      <c r="D327" s="742"/>
      <c r="E327" s="742"/>
      <c r="F327" s="742"/>
      <c r="G327" s="743"/>
      <c r="H327" s="875"/>
      <c r="I327" s="798">
        <f>(I325^2)/(2*9.806)</f>
        <v>2.5631790662991754E-3</v>
      </c>
      <c r="J327" s="750" t="s">
        <v>3</v>
      </c>
      <c r="K327" s="744"/>
      <c r="L327" s="745"/>
      <c r="M327" s="745"/>
      <c r="N327" s="746"/>
      <c r="O327" s="38"/>
      <c r="P327" s="741" t="s">
        <v>347</v>
      </c>
      <c r="Q327" s="742"/>
      <c r="R327" s="742"/>
      <c r="S327" s="742"/>
      <c r="T327" s="875"/>
      <c r="U327" s="798">
        <f>(U325^2)/(2*9.806)</f>
        <v>4.0049672910924608E-3</v>
      </c>
      <c r="V327" s="750" t="s">
        <v>3</v>
      </c>
      <c r="W327" s="744"/>
      <c r="X327" s="745"/>
      <c r="Y327" s="745"/>
      <c r="Z327" s="746"/>
      <c r="AA327" s="51"/>
      <c r="AB327" s="51"/>
      <c r="AC327" s="51"/>
    </row>
    <row r="328" spans="2:29" s="47" customFormat="1" ht="20.100000000000001" customHeight="1">
      <c r="B328" s="747"/>
      <c r="C328" s="748"/>
      <c r="D328" s="748"/>
      <c r="E328" s="748"/>
      <c r="F328" s="748"/>
      <c r="G328" s="749"/>
      <c r="H328" s="876"/>
      <c r="I328" s="799"/>
      <c r="J328" s="751"/>
      <c r="K328" s="756"/>
      <c r="L328" s="757"/>
      <c r="M328" s="757"/>
      <c r="N328" s="758"/>
      <c r="O328" s="38"/>
      <c r="P328" s="747"/>
      <c r="Q328" s="748"/>
      <c r="R328" s="748"/>
      <c r="S328" s="748"/>
      <c r="T328" s="876"/>
      <c r="U328" s="799"/>
      <c r="V328" s="751"/>
      <c r="W328" s="756"/>
      <c r="X328" s="757"/>
      <c r="Y328" s="757"/>
      <c r="Z328" s="758"/>
      <c r="AA328" s="51"/>
      <c r="AB328" s="51"/>
      <c r="AC328" s="51"/>
    </row>
    <row r="329" spans="2:29" s="47" customFormat="1" ht="20.100000000000001" customHeight="1">
      <c r="B329" s="707" t="str">
        <f>B33</f>
        <v>Viscocidad cinemática del agua a 20 °C</v>
      </c>
      <c r="C329" s="708"/>
      <c r="D329" s="708"/>
      <c r="E329" s="708"/>
      <c r="F329" s="708"/>
      <c r="G329" s="709"/>
      <c r="H329" s="18" t="s">
        <v>2</v>
      </c>
      <c r="I329" s="234">
        <f>$I$33</f>
        <v>1.0070000000000001E-6</v>
      </c>
      <c r="J329" s="79" t="s">
        <v>167</v>
      </c>
      <c r="K329" s="759"/>
      <c r="L329" s="760"/>
      <c r="M329" s="760"/>
      <c r="N329" s="761"/>
      <c r="O329" s="38"/>
      <c r="P329" s="707" t="str">
        <f>B33</f>
        <v>Viscocidad cinemática del agua a 20 °C</v>
      </c>
      <c r="Q329" s="708"/>
      <c r="R329" s="708"/>
      <c r="S329" s="708"/>
      <c r="T329" s="18" t="s">
        <v>2</v>
      </c>
      <c r="U329" s="234">
        <f>$I$33</f>
        <v>1.0070000000000001E-6</v>
      </c>
      <c r="V329" s="79" t="s">
        <v>167</v>
      </c>
      <c r="W329" s="759"/>
      <c r="X329" s="760"/>
      <c r="Y329" s="760"/>
      <c r="Z329" s="761"/>
      <c r="AA329" s="51"/>
      <c r="AB329" s="51"/>
      <c r="AC329" s="51"/>
    </row>
    <row r="330" spans="2:29" s="47" customFormat="1" ht="20.100000000000001" customHeight="1">
      <c r="B330" s="741" t="s">
        <v>53</v>
      </c>
      <c r="C330" s="742"/>
      <c r="D330" s="742"/>
      <c r="E330" s="742"/>
      <c r="F330" s="742"/>
      <c r="G330" s="743"/>
      <c r="H330" s="750" t="s">
        <v>1</v>
      </c>
      <c r="I330" s="983">
        <f>I325*I323/I329</f>
        <v>56775.520700334942</v>
      </c>
      <c r="J330" s="774"/>
      <c r="K330" s="866"/>
      <c r="L330" s="867"/>
      <c r="M330" s="867"/>
      <c r="N330" s="868"/>
      <c r="O330" s="38"/>
      <c r="P330" s="741" t="s">
        <v>53</v>
      </c>
      <c r="Q330" s="742"/>
      <c r="R330" s="742"/>
      <c r="S330" s="742"/>
      <c r="T330" s="750" t="s">
        <v>522</v>
      </c>
      <c r="U330" s="875">
        <f>U325*U323/U329</f>
        <v>70969.40087541868</v>
      </c>
      <c r="V330" s="774"/>
      <c r="W330" s="866"/>
      <c r="X330" s="867"/>
      <c r="Y330" s="867"/>
      <c r="Z330" s="868"/>
      <c r="AA330" s="38"/>
      <c r="AB330" s="38"/>
      <c r="AC330" s="38"/>
    </row>
    <row r="331" spans="2:29" s="47" customFormat="1" ht="20.100000000000001" customHeight="1">
      <c r="B331" s="747"/>
      <c r="C331" s="748"/>
      <c r="D331" s="748"/>
      <c r="E331" s="748"/>
      <c r="F331" s="748"/>
      <c r="G331" s="749"/>
      <c r="H331" s="751"/>
      <c r="I331" s="984"/>
      <c r="J331" s="775"/>
      <c r="K331" s="869"/>
      <c r="L331" s="870"/>
      <c r="M331" s="870"/>
      <c r="N331" s="871"/>
      <c r="O331" s="38"/>
      <c r="P331" s="747"/>
      <c r="Q331" s="748"/>
      <c r="R331" s="748"/>
      <c r="S331" s="748"/>
      <c r="T331" s="751"/>
      <c r="U331" s="876"/>
      <c r="V331" s="775"/>
      <c r="W331" s="869"/>
      <c r="X331" s="870"/>
      <c r="Y331" s="870"/>
      <c r="Z331" s="871"/>
      <c r="AA331" s="38"/>
      <c r="AB331" s="38"/>
      <c r="AC331" s="38"/>
    </row>
    <row r="332" spans="2:29" s="47" customFormat="1" ht="20.100000000000001" customHeight="1">
      <c r="B332" s="707" t="s">
        <v>324</v>
      </c>
      <c r="C332" s="708"/>
      <c r="D332" s="708"/>
      <c r="E332" s="708"/>
      <c r="F332" s="708"/>
      <c r="G332" s="709"/>
      <c r="H332" s="240" t="s">
        <v>322</v>
      </c>
      <c r="I332" s="315">
        <v>0.02</v>
      </c>
      <c r="J332" s="243"/>
      <c r="K332" s="396"/>
      <c r="L332" s="397"/>
      <c r="M332" s="397"/>
      <c r="N332" s="398"/>
      <c r="O332" s="38"/>
      <c r="P332" s="707" t="s">
        <v>324</v>
      </c>
      <c r="Q332" s="708"/>
      <c r="R332" s="708"/>
      <c r="S332" s="708"/>
      <c r="T332" s="464" t="s">
        <v>322</v>
      </c>
      <c r="U332" s="286">
        <f>I332</f>
        <v>0.02</v>
      </c>
      <c r="V332" s="465"/>
      <c r="W332" s="457"/>
      <c r="X332" s="458"/>
      <c r="Y332" s="458"/>
      <c r="Z332" s="459"/>
      <c r="AA332" s="468"/>
      <c r="AB332" s="468"/>
      <c r="AC332" s="468"/>
    </row>
    <row r="333" spans="2:29" s="47" customFormat="1" ht="20.100000000000001" customHeight="1">
      <c r="B333" s="741" t="s">
        <v>325</v>
      </c>
      <c r="C333" s="742"/>
      <c r="D333" s="742"/>
      <c r="E333" s="742"/>
      <c r="F333" s="742"/>
      <c r="G333" s="743"/>
      <c r="H333" s="750" t="s">
        <v>322</v>
      </c>
      <c r="I333" s="953">
        <f>(1/(-2*LOG10(($I$320/1000)/(3.7*$I$323)+2.51/($I$330*SQRT(I332)))))^2</f>
        <v>2.2593395766311853E-2</v>
      </c>
      <c r="J333" s="774"/>
      <c r="K333" s="896"/>
      <c r="L333" s="897"/>
      <c r="M333" s="897"/>
      <c r="N333" s="898"/>
      <c r="O333" s="38"/>
      <c r="P333" s="741" t="s">
        <v>325</v>
      </c>
      <c r="Q333" s="742"/>
      <c r="R333" s="742"/>
      <c r="S333" s="742"/>
      <c r="T333" s="750" t="s">
        <v>322</v>
      </c>
      <c r="U333" s="711">
        <f>(1/(-2*LOG10(($U$320/1000)/(3.7*$U$323)+2.51/($U$330*SQRT(U332)))))^2</f>
        <v>2.1777129747930991E-2</v>
      </c>
      <c r="V333" s="774"/>
      <c r="W333" s="896"/>
      <c r="X333" s="897"/>
      <c r="Y333" s="897"/>
      <c r="Z333" s="898"/>
      <c r="AA333" s="38"/>
      <c r="AB333" s="38"/>
      <c r="AC333" s="38"/>
    </row>
    <row r="334" spans="2:29" s="47" customFormat="1" ht="20.100000000000001" customHeight="1">
      <c r="B334" s="747"/>
      <c r="C334" s="748"/>
      <c r="D334" s="748"/>
      <c r="E334" s="748"/>
      <c r="F334" s="748"/>
      <c r="G334" s="749"/>
      <c r="H334" s="751"/>
      <c r="I334" s="954"/>
      <c r="J334" s="775"/>
      <c r="K334" s="899"/>
      <c r="L334" s="900"/>
      <c r="M334" s="900"/>
      <c r="N334" s="901"/>
      <c r="O334" s="38"/>
      <c r="P334" s="747"/>
      <c r="Q334" s="748"/>
      <c r="R334" s="748"/>
      <c r="S334" s="748"/>
      <c r="T334" s="751"/>
      <c r="U334" s="712"/>
      <c r="V334" s="775"/>
      <c r="W334" s="899"/>
      <c r="X334" s="900"/>
      <c r="Y334" s="900"/>
      <c r="Z334" s="901"/>
      <c r="AA334" s="38"/>
      <c r="AB334" s="38"/>
      <c r="AC334" s="38"/>
    </row>
    <row r="335" spans="2:29" s="47" customFormat="1" ht="20.100000000000001" customHeight="1">
      <c r="B335" s="707" t="s">
        <v>326</v>
      </c>
      <c r="C335" s="708"/>
      <c r="D335" s="708"/>
      <c r="E335" s="708"/>
      <c r="F335" s="708"/>
      <c r="G335" s="709"/>
      <c r="H335" s="240" t="s">
        <v>322</v>
      </c>
      <c r="I335" s="250">
        <f>(1/(-2*LOG10(($I$320/1000)/(3.7*$I$323)+2.51/($I$330*SQRT(I333)))))^2</f>
        <v>2.2359291952873603E-2</v>
      </c>
      <c r="J335" s="243"/>
      <c r="K335" s="396"/>
      <c r="L335" s="397"/>
      <c r="M335" s="397"/>
      <c r="N335" s="398"/>
      <c r="O335" s="38"/>
      <c r="P335" s="707" t="s">
        <v>326</v>
      </c>
      <c r="Q335" s="708"/>
      <c r="R335" s="708"/>
      <c r="S335" s="708"/>
      <c r="T335" s="464" t="s">
        <v>322</v>
      </c>
      <c r="U335" s="499">
        <f>(1/(-2*LOG10(($U$320/1000)/(3.7*$U$323)+2.51/($U$330*SQRT(U333)))))^2</f>
        <v>2.1633775138356303E-2</v>
      </c>
      <c r="V335" s="465"/>
      <c r="W335" s="457"/>
      <c r="X335" s="458"/>
      <c r="Y335" s="458"/>
      <c r="Z335" s="459"/>
      <c r="AA335" s="468"/>
      <c r="AB335" s="468"/>
      <c r="AC335" s="468"/>
    </row>
    <row r="336" spans="2:29" s="47" customFormat="1" ht="20.100000000000001" customHeight="1">
      <c r="B336" s="707" t="s">
        <v>327</v>
      </c>
      <c r="C336" s="708"/>
      <c r="D336" s="708"/>
      <c r="E336" s="708"/>
      <c r="F336" s="708"/>
      <c r="G336" s="709"/>
      <c r="H336" s="240" t="s">
        <v>322</v>
      </c>
      <c r="I336" s="250">
        <f>(1/(-2*LOG10(($I$320/1000)/(3.7*$I$323)+2.51/($I$330*SQRT(I335)))))^2</f>
        <v>2.2378957137344942E-2</v>
      </c>
      <c r="J336" s="243"/>
      <c r="K336" s="396"/>
      <c r="L336" s="397"/>
      <c r="M336" s="397"/>
      <c r="N336" s="398"/>
      <c r="O336" s="38"/>
      <c r="P336" s="707" t="s">
        <v>327</v>
      </c>
      <c r="Q336" s="708"/>
      <c r="R336" s="708"/>
      <c r="S336" s="708"/>
      <c r="T336" s="464" t="s">
        <v>322</v>
      </c>
      <c r="U336" s="499">
        <f>(1/(-2*LOG10(($U$320/1000)/(3.7*$U$323)+2.51/($U$330*SQRT(U335)))))^2</f>
        <v>2.1644760717870949E-2</v>
      </c>
      <c r="V336" s="465"/>
      <c r="W336" s="457"/>
      <c r="X336" s="458"/>
      <c r="Y336" s="458"/>
      <c r="Z336" s="459"/>
      <c r="AA336" s="468"/>
      <c r="AB336" s="468"/>
      <c r="AC336" s="468"/>
    </row>
    <row r="337" spans="2:29" s="47" customFormat="1" ht="20.100000000000001" customHeight="1">
      <c r="B337" s="707" t="s">
        <v>328</v>
      </c>
      <c r="C337" s="708"/>
      <c r="D337" s="708"/>
      <c r="E337" s="708"/>
      <c r="F337" s="708"/>
      <c r="G337" s="709"/>
      <c r="H337" s="240" t="s">
        <v>322</v>
      </c>
      <c r="I337" s="250">
        <f>(1/(-2*LOG10(($I$320/1000)/(3.7*$I$323)+2.51/($I$330*SQRT(I336)))))^2</f>
        <v>2.2377294930956939E-2</v>
      </c>
      <c r="J337" s="155"/>
      <c r="K337" s="877"/>
      <c r="L337" s="878"/>
      <c r="M337" s="878"/>
      <c r="N337" s="879"/>
      <c r="O337" s="38"/>
      <c r="P337" s="707" t="s">
        <v>328</v>
      </c>
      <c r="Q337" s="708"/>
      <c r="R337" s="708"/>
      <c r="S337" s="708"/>
      <c r="T337" s="464" t="s">
        <v>322</v>
      </c>
      <c r="U337" s="499">
        <f>(1/(-2*LOG10(($U$320/1000)/(3.7*$U$323)+2.51/($U$330*SQRT(U336)))))^2</f>
        <v>2.1643915487188834E-2</v>
      </c>
      <c r="V337" s="475"/>
      <c r="W337" s="877"/>
      <c r="X337" s="878"/>
      <c r="Y337" s="878"/>
      <c r="Z337" s="879"/>
      <c r="AA337" s="38"/>
      <c r="AB337" s="38"/>
      <c r="AC337" s="38"/>
    </row>
    <row r="338" spans="2:29" s="47" customFormat="1" ht="20.100000000000001" customHeight="1">
      <c r="B338" s="741" t="s">
        <v>435</v>
      </c>
      <c r="C338" s="742"/>
      <c r="D338" s="742"/>
      <c r="E338" s="742"/>
      <c r="F338" s="742"/>
      <c r="G338" s="743"/>
      <c r="H338" s="875" t="s">
        <v>444</v>
      </c>
      <c r="I338" s="977">
        <f>I337*(I321/I323)*I327</f>
        <v>3.3739419957312628E-4</v>
      </c>
      <c r="J338" s="774" t="s">
        <v>3</v>
      </c>
      <c r="K338" s="866"/>
      <c r="L338" s="867"/>
      <c r="M338" s="867"/>
      <c r="N338" s="868"/>
      <c r="O338" s="38"/>
      <c r="P338" s="741" t="s">
        <v>435</v>
      </c>
      <c r="Q338" s="742"/>
      <c r="R338" s="742"/>
      <c r="S338" s="742"/>
      <c r="T338" s="875" t="s">
        <v>506</v>
      </c>
      <c r="U338" s="880">
        <f>U337*(U321/U323)*U327</f>
        <v>5.0990102104329894E-4</v>
      </c>
      <c r="V338" s="774" t="s">
        <v>3</v>
      </c>
      <c r="W338" s="866"/>
      <c r="X338" s="867"/>
      <c r="Y338" s="867"/>
      <c r="Z338" s="868"/>
      <c r="AA338" s="38"/>
      <c r="AB338" s="38"/>
      <c r="AC338" s="38"/>
    </row>
    <row r="339" spans="2:29" s="47" customFormat="1" ht="20.100000000000001" customHeight="1">
      <c r="B339" s="747"/>
      <c r="C339" s="748"/>
      <c r="D339" s="748"/>
      <c r="E339" s="748"/>
      <c r="F339" s="748"/>
      <c r="G339" s="749"/>
      <c r="H339" s="876"/>
      <c r="I339" s="978"/>
      <c r="J339" s="775"/>
      <c r="K339" s="869"/>
      <c r="L339" s="870"/>
      <c r="M339" s="870"/>
      <c r="N339" s="871"/>
      <c r="O339" s="38"/>
      <c r="P339" s="747"/>
      <c r="Q339" s="748"/>
      <c r="R339" s="748"/>
      <c r="S339" s="748"/>
      <c r="T339" s="876"/>
      <c r="U339" s="881"/>
      <c r="V339" s="775"/>
      <c r="W339" s="869"/>
      <c r="X339" s="870"/>
      <c r="Y339" s="870"/>
      <c r="Z339" s="871"/>
      <c r="AA339" s="38"/>
      <c r="AB339" s="38"/>
      <c r="AC339" s="38"/>
    </row>
    <row r="340" spans="2:29" s="47" customFormat="1" ht="20.100000000000001" customHeight="1">
      <c r="B340" s="235"/>
      <c r="C340" s="235"/>
      <c r="D340" s="235"/>
      <c r="E340" s="235"/>
      <c r="F340" s="235"/>
      <c r="G340" s="235"/>
      <c r="H340" s="216"/>
      <c r="I340" s="217"/>
      <c r="J340" s="163"/>
      <c r="K340" s="236"/>
      <c r="L340" s="236"/>
      <c r="M340" s="236"/>
      <c r="N340" s="236"/>
      <c r="O340" s="38"/>
      <c r="P340" s="473"/>
      <c r="Q340" s="473"/>
      <c r="R340" s="473"/>
      <c r="S340" s="473"/>
      <c r="T340" s="216"/>
      <c r="U340" s="217"/>
      <c r="V340" s="163"/>
      <c r="W340" s="468"/>
      <c r="X340" s="468"/>
      <c r="Y340" s="468"/>
      <c r="Z340" s="468"/>
      <c r="AA340" s="468"/>
      <c r="AB340" s="468"/>
      <c r="AC340" s="468"/>
    </row>
    <row r="341" spans="2:29" s="47" customFormat="1" ht="20.100000000000001" customHeight="1">
      <c r="B341" s="23" t="s">
        <v>513</v>
      </c>
      <c r="C341" s="246"/>
      <c r="D341" s="246"/>
      <c r="E341" s="246"/>
      <c r="F341" s="246"/>
      <c r="G341" s="246"/>
      <c r="H341" s="161"/>
      <c r="I341" s="162"/>
      <c r="J341" s="163"/>
      <c r="K341" s="245"/>
      <c r="L341" s="245"/>
      <c r="M341" s="245"/>
      <c r="N341" s="245"/>
      <c r="O341" s="38"/>
      <c r="P341" s="23" t="s">
        <v>523</v>
      </c>
      <c r="Q341" s="473"/>
      <c r="R341" s="473"/>
      <c r="S341" s="473"/>
      <c r="T341" s="161"/>
      <c r="U341" s="162"/>
      <c r="V341" s="163"/>
      <c r="W341" s="468"/>
      <c r="X341" s="468"/>
      <c r="Y341" s="468"/>
      <c r="Z341" s="468"/>
      <c r="AA341" s="468"/>
      <c r="AB341" s="468"/>
      <c r="AC341" s="468"/>
    </row>
    <row r="342" spans="2:29" s="47" customFormat="1" ht="20.100000000000001" customHeight="1">
      <c r="B342" s="963" t="s">
        <v>298</v>
      </c>
      <c r="C342" s="963"/>
      <c r="D342" s="963"/>
      <c r="E342" s="963"/>
      <c r="F342" s="963"/>
      <c r="G342" s="955"/>
      <c r="H342" s="864" t="s">
        <v>344</v>
      </c>
      <c r="I342" s="847" t="s">
        <v>340</v>
      </c>
      <c r="J342" s="852" t="s">
        <v>362</v>
      </c>
      <c r="K342" s="205"/>
      <c r="L342" s="81"/>
      <c r="M342" s="81"/>
      <c r="N342" s="245"/>
      <c r="O342" s="38"/>
      <c r="P342" s="853" t="s">
        <v>298</v>
      </c>
      <c r="Q342" s="854"/>
      <c r="R342" s="854"/>
      <c r="S342" s="855"/>
      <c r="T342" s="864" t="s">
        <v>344</v>
      </c>
      <c r="U342" s="847" t="s">
        <v>340</v>
      </c>
      <c r="V342" s="852" t="s">
        <v>362</v>
      </c>
      <c r="W342" s="205"/>
      <c r="X342" s="81"/>
      <c r="Y342" s="81"/>
      <c r="Z342" s="468"/>
      <c r="AA342" s="81"/>
      <c r="AB342" s="81"/>
      <c r="AC342" s="468"/>
    </row>
    <row r="343" spans="2:29" s="47" customFormat="1" ht="20.100000000000001" customHeight="1">
      <c r="B343" s="963"/>
      <c r="C343" s="963"/>
      <c r="D343" s="963"/>
      <c r="E343" s="963"/>
      <c r="F343" s="963"/>
      <c r="G343" s="955"/>
      <c r="H343" s="865"/>
      <c r="I343" s="847"/>
      <c r="J343" s="852"/>
      <c r="K343" s="205"/>
      <c r="L343" s="38"/>
      <c r="M343" s="38"/>
      <c r="N343" s="245"/>
      <c r="O343" s="38"/>
      <c r="P343" s="856"/>
      <c r="Q343" s="857"/>
      <c r="R343" s="857"/>
      <c r="S343" s="858"/>
      <c r="T343" s="865"/>
      <c r="U343" s="847"/>
      <c r="V343" s="852"/>
      <c r="W343" s="205"/>
      <c r="X343" s="38"/>
      <c r="Y343" s="38"/>
      <c r="Z343" s="468"/>
      <c r="AA343" s="38"/>
      <c r="AB343" s="38"/>
      <c r="AC343" s="468"/>
    </row>
    <row r="344" spans="2:29" s="47" customFormat="1" ht="20.100000000000001" customHeight="1">
      <c r="B344" s="963"/>
      <c r="C344" s="963"/>
      <c r="D344" s="963"/>
      <c r="E344" s="963"/>
      <c r="F344" s="963"/>
      <c r="G344" s="955"/>
      <c r="H344" s="194" t="str">
        <f>IF(H309=BQ72,"(pulgadas)",IF(H309=BQ73,"(pulgadas)",IF(H309=#REF!,"(mm)",IF(H309=BQ74,"(mm)",IF(H309=BQ75,"(mm)",IF(H309=BQ76,"(mm)",IF(H309=BQ77,"(pulgadas)",IF(H309=BQ78,"(pulgadas)"))))))))</f>
        <v>(pulgadas)</v>
      </c>
      <c r="I344" s="847"/>
      <c r="J344" s="852"/>
      <c r="K344" s="206"/>
      <c r="L344" s="38"/>
      <c r="M344" s="38"/>
      <c r="N344" s="245"/>
      <c r="O344" s="38"/>
      <c r="P344" s="859"/>
      <c r="Q344" s="860"/>
      <c r="R344" s="860"/>
      <c r="S344" s="861"/>
      <c r="T344" s="194" t="str">
        <f>IF(T309=CC72,"(pulgadas)",IF(T309=CC73,"(pulgadas)",IF(T309=#REF!,"(mm)",IF(T309=CC74,"(mm)",IF(T309=CC75,"(mm)",IF(T309=CC76,"(mm)",IF(T309=CC77,"(pulgadas)",IF(T309=CC78,"(pulgadas)"))))))))</f>
        <v>(pulgadas)</v>
      </c>
      <c r="U344" s="847"/>
      <c r="V344" s="852"/>
      <c r="W344" s="206"/>
      <c r="X344" s="38"/>
      <c r="Y344" s="38"/>
      <c r="Z344" s="468"/>
      <c r="AA344" s="38"/>
      <c r="AB344" s="38"/>
      <c r="AC344" s="468"/>
    </row>
    <row r="345" spans="2:29" s="47" customFormat="1" ht="20.100000000000001" customHeight="1">
      <c r="B345" s="707" t="s">
        <v>302</v>
      </c>
      <c r="C345" s="708"/>
      <c r="D345" s="708"/>
      <c r="E345" s="708"/>
      <c r="F345" s="708"/>
      <c r="G345" s="709"/>
      <c r="H345" s="242">
        <f>$I$241</f>
        <v>10</v>
      </c>
      <c r="I345" s="314">
        <v>1</v>
      </c>
      <c r="J345" s="95">
        <f>IF(B345=CE9,HLOOKUP(H345,$CH$7:$DK$23,3,FALSE))</f>
        <v>0.11</v>
      </c>
      <c r="K345" s="46"/>
      <c r="L345" s="167"/>
      <c r="M345" s="245"/>
      <c r="N345" s="245"/>
      <c r="O345" s="38"/>
      <c r="P345" s="495" t="s">
        <v>302</v>
      </c>
      <c r="Q345" s="496"/>
      <c r="R345" s="496"/>
      <c r="S345" s="496"/>
      <c r="T345" s="467">
        <f>$I$241</f>
        <v>10</v>
      </c>
      <c r="U345" s="470">
        <f>I345</f>
        <v>1</v>
      </c>
      <c r="V345" s="474">
        <f>J345</f>
        <v>0.11</v>
      </c>
      <c r="W345" s="46"/>
      <c r="X345" s="167"/>
      <c r="Y345" s="468"/>
      <c r="Z345" s="468"/>
      <c r="AA345" s="167"/>
      <c r="AB345" s="468"/>
      <c r="AC345" s="468"/>
    </row>
    <row r="346" spans="2:29" s="47" customFormat="1" ht="20.100000000000001" customHeight="1">
      <c r="B346" s="707" t="s">
        <v>303</v>
      </c>
      <c r="C346" s="708"/>
      <c r="D346" s="708"/>
      <c r="E346" s="708"/>
      <c r="F346" s="708"/>
      <c r="G346" s="709"/>
      <c r="H346" s="248">
        <f>$I$241</f>
        <v>10</v>
      </c>
      <c r="I346" s="314">
        <v>1</v>
      </c>
      <c r="J346" s="95">
        <f>IF(B346=CE14,HLOOKUP(H346,$CH$7:$DK$23,8,FALSE))</f>
        <v>0.28000000000000003</v>
      </c>
      <c r="K346" s="46"/>
      <c r="L346" s="167"/>
      <c r="M346" s="245"/>
      <c r="N346" s="245"/>
      <c r="O346" s="38"/>
      <c r="P346" s="495" t="s">
        <v>303</v>
      </c>
      <c r="Q346" s="496"/>
      <c r="R346" s="496"/>
      <c r="S346" s="496"/>
      <c r="T346" s="470">
        <f>$I$241</f>
        <v>10</v>
      </c>
      <c r="U346" s="470">
        <v>1</v>
      </c>
      <c r="V346" s="474">
        <f>J346</f>
        <v>0.28000000000000003</v>
      </c>
      <c r="W346" s="46"/>
      <c r="X346" s="167"/>
      <c r="Y346" s="468"/>
      <c r="Z346" s="468"/>
      <c r="AA346" s="167"/>
      <c r="AB346" s="468"/>
      <c r="AC346" s="468"/>
    </row>
    <row r="347" spans="2:29" s="47" customFormat="1" ht="20.100000000000001" customHeight="1">
      <c r="B347" s="707" t="s">
        <v>305</v>
      </c>
      <c r="C347" s="708"/>
      <c r="D347" s="708"/>
      <c r="E347" s="708"/>
      <c r="F347" s="708"/>
      <c r="G347" s="709"/>
      <c r="H347" s="248">
        <f>$I$241</f>
        <v>10</v>
      </c>
      <c r="I347" s="314">
        <v>1</v>
      </c>
      <c r="J347" s="95">
        <f>IF(B347=CE20,HLOOKUP(H347,$CH$7:$DK$23,14,FALSE),IF(B347=CE21,HLOOKUP(H347,$CH$7:$DK$23,15,FALSE)))</f>
        <v>0.5</v>
      </c>
      <c r="K347" s="46"/>
      <c r="L347" s="167"/>
      <c r="M347" s="245"/>
      <c r="N347" s="245"/>
      <c r="O347" s="38"/>
      <c r="P347" s="495" t="s">
        <v>305</v>
      </c>
      <c r="Q347" s="496"/>
      <c r="R347" s="496"/>
      <c r="S347" s="496"/>
      <c r="T347" s="470">
        <f>$I$241</f>
        <v>10</v>
      </c>
      <c r="U347" s="470">
        <v>1</v>
      </c>
      <c r="V347" s="474">
        <f>J347</f>
        <v>0.5</v>
      </c>
      <c r="W347" s="46"/>
      <c r="X347" s="167"/>
      <c r="Y347" s="468"/>
      <c r="Z347" s="468"/>
      <c r="AA347" s="167"/>
      <c r="AB347" s="468"/>
      <c r="AC347" s="468"/>
    </row>
    <row r="348" spans="2:29" s="47" customFormat="1" ht="20.100000000000001" customHeight="1">
      <c r="B348" s="707" t="s">
        <v>343</v>
      </c>
      <c r="C348" s="708"/>
      <c r="D348" s="708"/>
      <c r="E348" s="708"/>
      <c r="F348" s="708"/>
      <c r="G348" s="709"/>
      <c r="H348" s="248">
        <f>$I$241</f>
        <v>10</v>
      </c>
      <c r="I348" s="314">
        <v>1</v>
      </c>
      <c r="J348" s="95">
        <f>IF(B348=CE23,HLOOKUP(H348,$CH$7:$DK$23,17,FALSE))</f>
        <v>1</v>
      </c>
      <c r="K348" s="46"/>
      <c r="L348" s="167"/>
      <c r="M348" s="245"/>
      <c r="N348" s="245"/>
      <c r="O348" s="38"/>
      <c r="P348" s="495" t="s">
        <v>343</v>
      </c>
      <c r="Q348" s="496"/>
      <c r="R348" s="496"/>
      <c r="S348" s="496"/>
      <c r="T348" s="470">
        <f>$I$241</f>
        <v>10</v>
      </c>
      <c r="U348" s="470">
        <v>1</v>
      </c>
      <c r="V348" s="474">
        <f>J348</f>
        <v>1</v>
      </c>
      <c r="W348" s="46"/>
      <c r="X348" s="167"/>
      <c r="Y348" s="468"/>
      <c r="Z348" s="468"/>
      <c r="AA348" s="167"/>
      <c r="AB348" s="468"/>
      <c r="AC348" s="468"/>
    </row>
    <row r="349" spans="2:29" s="47" customFormat="1" ht="20.100000000000001" customHeight="1">
      <c r="B349" s="27"/>
      <c r="C349" s="27"/>
      <c r="D349" s="27"/>
      <c r="E349" s="27"/>
      <c r="F349" s="28"/>
      <c r="G349" s="29"/>
      <c r="H349" s="147"/>
      <c r="I349" s="38"/>
      <c r="J349" s="38"/>
      <c r="K349" s="38"/>
      <c r="L349" s="38"/>
      <c r="M349" s="38"/>
      <c r="N349" s="38"/>
      <c r="O349" s="38"/>
      <c r="P349" s="27"/>
      <c r="Q349" s="27"/>
      <c r="R349" s="27"/>
      <c r="S349" s="27"/>
      <c r="T349" s="147"/>
      <c r="U349" s="38"/>
      <c r="V349" s="38"/>
      <c r="W349" s="38"/>
      <c r="X349" s="38"/>
      <c r="Y349" s="38"/>
      <c r="Z349" s="38"/>
      <c r="AA349" s="38"/>
      <c r="AB349" s="38"/>
      <c r="AC349" s="38"/>
    </row>
    <row r="350" spans="2:29" s="47" customFormat="1" ht="20.100000000000001" customHeight="1">
      <c r="B350" s="802" t="s">
        <v>349</v>
      </c>
      <c r="C350" s="802"/>
      <c r="D350" s="802"/>
      <c r="E350" s="802"/>
      <c r="F350" s="802"/>
      <c r="G350" s="802"/>
      <c r="H350" s="257" t="s">
        <v>352</v>
      </c>
      <c r="I350" s="95">
        <f>SUM(J345:J348)</f>
        <v>1.8900000000000001</v>
      </c>
      <c r="J350" s="108" t="s">
        <v>370</v>
      </c>
      <c r="K350" s="851"/>
      <c r="L350" s="851"/>
      <c r="M350" s="851"/>
      <c r="N350" s="851"/>
      <c r="O350" s="38"/>
      <c r="P350" s="802" t="s">
        <v>349</v>
      </c>
      <c r="Q350" s="802"/>
      <c r="R350" s="802"/>
      <c r="S350" s="707"/>
      <c r="T350" s="470" t="s">
        <v>352</v>
      </c>
      <c r="U350" s="474">
        <f>SUM(V345:V348)</f>
        <v>1.8900000000000001</v>
      </c>
      <c r="V350" s="472" t="s">
        <v>370</v>
      </c>
      <c r="W350" s="851"/>
      <c r="X350" s="851"/>
      <c r="Y350" s="851"/>
      <c r="Z350" s="851"/>
      <c r="AA350" s="38"/>
      <c r="AB350" s="38"/>
      <c r="AC350" s="38"/>
    </row>
    <row r="351" spans="2:29" s="47" customFormat="1" ht="20.100000000000001" customHeight="1">
      <c r="B351" s="802" t="s">
        <v>504</v>
      </c>
      <c r="C351" s="802"/>
      <c r="D351" s="802"/>
      <c r="E351" s="802"/>
      <c r="F351" s="802"/>
      <c r="G351" s="802"/>
      <c r="H351" s="862" t="s">
        <v>445</v>
      </c>
      <c r="I351" s="863">
        <f>I350*I327</f>
        <v>4.8444084353054416E-3</v>
      </c>
      <c r="J351" s="800" t="s">
        <v>3</v>
      </c>
      <c r="K351" s="851"/>
      <c r="L351" s="851"/>
      <c r="M351" s="851"/>
      <c r="N351" s="851"/>
      <c r="O351" s="38"/>
      <c r="P351" s="802" t="s">
        <v>504</v>
      </c>
      <c r="Q351" s="802"/>
      <c r="R351" s="802"/>
      <c r="S351" s="707"/>
      <c r="T351" s="862" t="s">
        <v>507</v>
      </c>
      <c r="U351" s="863">
        <f>U350*U327</f>
        <v>7.569388180164751E-3</v>
      </c>
      <c r="V351" s="800" t="s">
        <v>3</v>
      </c>
      <c r="W351" s="851"/>
      <c r="X351" s="851"/>
      <c r="Y351" s="851"/>
      <c r="Z351" s="851"/>
      <c r="AA351" s="38"/>
      <c r="AB351" s="38"/>
      <c r="AC351" s="38"/>
    </row>
    <row r="352" spans="2:29" s="47" customFormat="1" ht="20.100000000000001" customHeight="1">
      <c r="B352" s="802"/>
      <c r="C352" s="802"/>
      <c r="D352" s="802"/>
      <c r="E352" s="802"/>
      <c r="F352" s="802"/>
      <c r="G352" s="802"/>
      <c r="H352" s="862"/>
      <c r="I352" s="863"/>
      <c r="J352" s="800"/>
      <c r="K352" s="851"/>
      <c r="L352" s="851"/>
      <c r="M352" s="851"/>
      <c r="N352" s="851"/>
      <c r="O352" s="38"/>
      <c r="P352" s="802"/>
      <c r="Q352" s="802"/>
      <c r="R352" s="802"/>
      <c r="S352" s="707"/>
      <c r="T352" s="862"/>
      <c r="U352" s="863"/>
      <c r="V352" s="800"/>
      <c r="W352" s="851"/>
      <c r="X352" s="851"/>
      <c r="Y352" s="851"/>
      <c r="Z352" s="851"/>
      <c r="AA352" s="38"/>
      <c r="AB352" s="38"/>
      <c r="AC352" s="38"/>
    </row>
    <row r="353" spans="2:29" s="47" customFormat="1" ht="20.100000000000001" customHeight="1">
      <c r="B353" s="246"/>
      <c r="C353" s="246"/>
      <c r="D353" s="246"/>
      <c r="E353" s="246"/>
      <c r="F353" s="246"/>
      <c r="G353" s="246"/>
      <c r="H353" s="216"/>
      <c r="I353" s="217"/>
      <c r="J353" s="163"/>
      <c r="K353" s="245"/>
      <c r="L353" s="245"/>
      <c r="M353" s="245"/>
      <c r="N353" s="245"/>
      <c r="O353" s="38"/>
      <c r="P353" s="473"/>
      <c r="Q353" s="473"/>
      <c r="R353" s="473"/>
      <c r="S353" s="473"/>
      <c r="T353" s="216"/>
      <c r="U353" s="217"/>
      <c r="V353" s="163"/>
      <c r="W353" s="468"/>
      <c r="X353" s="468"/>
      <c r="Y353" s="468"/>
      <c r="Z353" s="468"/>
      <c r="AA353" s="468"/>
      <c r="AB353" s="468"/>
      <c r="AC353" s="468"/>
    </row>
    <row r="354" spans="2:29" s="47" customFormat="1" ht="20.100000000000001" customHeight="1">
      <c r="B354" s="23" t="s">
        <v>539</v>
      </c>
      <c r="C354" s="27"/>
      <c r="D354" s="27"/>
      <c r="E354" s="27"/>
      <c r="F354" s="28"/>
      <c r="G354" s="29"/>
      <c r="H354" s="30"/>
      <c r="I354" s="38"/>
      <c r="J354" s="38"/>
      <c r="K354" s="38"/>
      <c r="L354" s="38"/>
      <c r="M354" s="38"/>
      <c r="N354" s="38"/>
      <c r="O354" s="38"/>
      <c r="P354" s="23" t="s">
        <v>544</v>
      </c>
      <c r="Q354" s="27"/>
      <c r="R354" s="27"/>
      <c r="S354" s="27"/>
      <c r="T354" s="30"/>
      <c r="U354" s="38"/>
      <c r="V354" s="38"/>
      <c r="W354" s="38"/>
      <c r="X354" s="38"/>
      <c r="Y354" s="38"/>
      <c r="Z354" s="38"/>
      <c r="AA354" s="38"/>
      <c r="AB354" s="38"/>
      <c r="AC354" s="38"/>
    </row>
    <row r="355" spans="2:29" s="47" customFormat="1" ht="20.100000000000001" customHeight="1">
      <c r="B355" s="707" t="s">
        <v>439</v>
      </c>
      <c r="C355" s="708"/>
      <c r="D355" s="708"/>
      <c r="E355" s="708"/>
      <c r="F355" s="708"/>
      <c r="G355" s="709"/>
      <c r="H355" s="248" t="s">
        <v>437</v>
      </c>
      <c r="I355" s="202" t="str">
        <f>LEFT(W117,5)</f>
        <v>0,198</v>
      </c>
      <c r="J355" s="155" t="s">
        <v>3</v>
      </c>
      <c r="K355" s="851"/>
      <c r="L355" s="851"/>
      <c r="M355" s="851"/>
      <c r="N355" s="851"/>
      <c r="O355" s="38"/>
      <c r="P355" s="802" t="s">
        <v>439</v>
      </c>
      <c r="Q355" s="802"/>
      <c r="R355" s="802"/>
      <c r="S355" s="707"/>
      <c r="T355" s="470" t="s">
        <v>526</v>
      </c>
      <c r="U355" s="202" t="str">
        <f>LEFT(W135,5)</f>
        <v>0,251</v>
      </c>
      <c r="V355" s="475" t="s">
        <v>3</v>
      </c>
      <c r="W355" s="851"/>
      <c r="X355" s="851"/>
      <c r="Y355" s="851"/>
      <c r="Z355" s="851"/>
      <c r="AA355" s="38"/>
      <c r="AB355" s="38"/>
      <c r="AC355" s="38"/>
    </row>
    <row r="356" spans="2:29" s="47" customFormat="1" ht="20.100000000000001" customHeight="1">
      <c r="B356" s="707" t="s">
        <v>438</v>
      </c>
      <c r="C356" s="708"/>
      <c r="D356" s="708"/>
      <c r="E356" s="708"/>
      <c r="F356" s="708"/>
      <c r="G356" s="709"/>
      <c r="H356" s="248" t="s">
        <v>446</v>
      </c>
      <c r="I356" s="249">
        <f>I308</f>
        <v>1.2499999999999997E-2</v>
      </c>
      <c r="J356" s="155" t="s">
        <v>3</v>
      </c>
      <c r="K356" s="851"/>
      <c r="L356" s="851"/>
      <c r="M356" s="851"/>
      <c r="N356" s="851"/>
      <c r="O356" s="38"/>
      <c r="P356" s="802" t="s">
        <v>438</v>
      </c>
      <c r="Q356" s="802"/>
      <c r="R356" s="802"/>
      <c r="S356" s="707"/>
      <c r="T356" s="470" t="s">
        <v>527</v>
      </c>
      <c r="U356" s="471">
        <f>U308</f>
        <v>1.5625E-2</v>
      </c>
      <c r="V356" s="475" t="s">
        <v>3</v>
      </c>
      <c r="W356" s="851"/>
      <c r="X356" s="851"/>
      <c r="Y356" s="851"/>
      <c r="Z356" s="851"/>
      <c r="AA356" s="38"/>
      <c r="AB356" s="38"/>
      <c r="AC356" s="38"/>
    </row>
    <row r="357" spans="2:29" s="47" customFormat="1" ht="20.100000000000001" customHeight="1">
      <c r="B357" s="707" t="s">
        <v>440</v>
      </c>
      <c r="C357" s="708"/>
      <c r="D357" s="708"/>
      <c r="E357" s="708"/>
      <c r="F357" s="708"/>
      <c r="G357" s="709"/>
      <c r="H357" s="248" t="s">
        <v>447</v>
      </c>
      <c r="I357" s="249">
        <f>I315</f>
        <v>3.4849340124994715E-2</v>
      </c>
      <c r="J357" s="155" t="s">
        <v>3</v>
      </c>
      <c r="K357" s="851"/>
      <c r="L357" s="851"/>
      <c r="M357" s="851"/>
      <c r="N357" s="851"/>
      <c r="O357" s="38"/>
      <c r="P357" s="802" t="s">
        <v>440</v>
      </c>
      <c r="Q357" s="802"/>
      <c r="R357" s="802"/>
      <c r="S357" s="707"/>
      <c r="T357" s="470" t="s">
        <v>528</v>
      </c>
      <c r="U357" s="471">
        <f>U315</f>
        <v>5.4452093945304231E-2</v>
      </c>
      <c r="V357" s="475" t="s">
        <v>3</v>
      </c>
      <c r="W357" s="851"/>
      <c r="X357" s="851"/>
      <c r="Y357" s="851"/>
      <c r="Z357" s="851"/>
      <c r="AA357" s="38"/>
      <c r="AB357" s="38"/>
      <c r="AC357" s="38"/>
    </row>
    <row r="358" spans="2:29" s="47" customFormat="1" ht="20.100000000000001" customHeight="1">
      <c r="B358" s="707" t="s">
        <v>441</v>
      </c>
      <c r="C358" s="708"/>
      <c r="D358" s="708"/>
      <c r="E358" s="708"/>
      <c r="F358" s="708"/>
      <c r="G358" s="709"/>
      <c r="H358" s="248" t="s">
        <v>444</v>
      </c>
      <c r="I358" s="249">
        <f>I338</f>
        <v>3.3739419957312628E-4</v>
      </c>
      <c r="J358" s="155" t="s">
        <v>3</v>
      </c>
      <c r="K358" s="851"/>
      <c r="L358" s="851"/>
      <c r="M358" s="851"/>
      <c r="N358" s="851"/>
      <c r="O358" s="38"/>
      <c r="P358" s="802" t="s">
        <v>441</v>
      </c>
      <c r="Q358" s="802"/>
      <c r="R358" s="802"/>
      <c r="S358" s="707"/>
      <c r="T358" s="470" t="s">
        <v>506</v>
      </c>
      <c r="U358" s="471">
        <f>U338</f>
        <v>5.0990102104329894E-4</v>
      </c>
      <c r="V358" s="475" t="s">
        <v>3</v>
      </c>
      <c r="W358" s="851"/>
      <c r="X358" s="851"/>
      <c r="Y358" s="851"/>
      <c r="Z358" s="851"/>
      <c r="AA358" s="38"/>
      <c r="AB358" s="38"/>
      <c r="AC358" s="38"/>
    </row>
    <row r="359" spans="2:29" s="47" customFormat="1" ht="20.100000000000001" customHeight="1">
      <c r="B359" s="707" t="s">
        <v>442</v>
      </c>
      <c r="C359" s="708"/>
      <c r="D359" s="708"/>
      <c r="E359" s="708"/>
      <c r="F359" s="708"/>
      <c r="G359" s="709"/>
      <c r="H359" s="248" t="s">
        <v>445</v>
      </c>
      <c r="I359" s="249">
        <f>I351</f>
        <v>4.8444084353054416E-3</v>
      </c>
      <c r="J359" s="155" t="s">
        <v>3</v>
      </c>
      <c r="K359" s="851"/>
      <c r="L359" s="851"/>
      <c r="M359" s="851"/>
      <c r="N359" s="851"/>
      <c r="O359" s="38"/>
      <c r="P359" s="802" t="s">
        <v>442</v>
      </c>
      <c r="Q359" s="802"/>
      <c r="R359" s="802"/>
      <c r="S359" s="707"/>
      <c r="T359" s="470" t="s">
        <v>507</v>
      </c>
      <c r="U359" s="471">
        <f>U351</f>
        <v>7.569388180164751E-3</v>
      </c>
      <c r="V359" s="475" t="s">
        <v>3</v>
      </c>
      <c r="W359" s="851"/>
      <c r="X359" s="851"/>
      <c r="Y359" s="851"/>
      <c r="Z359" s="851"/>
      <c r="AA359" s="38"/>
      <c r="AB359" s="38"/>
      <c r="AC359" s="38"/>
    </row>
    <row r="360" spans="2:29" s="47" customFormat="1" ht="20.100000000000001" customHeight="1">
      <c r="B360" s="707" t="s">
        <v>534</v>
      </c>
      <c r="C360" s="708"/>
      <c r="D360" s="708"/>
      <c r="E360" s="708"/>
      <c r="F360" s="708"/>
      <c r="G360" s="709"/>
      <c r="H360" s="208" t="s">
        <v>448</v>
      </c>
      <c r="I360" s="202">
        <f>I355+I356+I357+I358+I359</f>
        <v>0.25053114275987332</v>
      </c>
      <c r="J360" s="155" t="s">
        <v>3</v>
      </c>
      <c r="K360" s="851"/>
      <c r="L360" s="851"/>
      <c r="M360" s="851"/>
      <c r="N360" s="851"/>
      <c r="O360" s="38"/>
      <c r="P360" s="802" t="s">
        <v>535</v>
      </c>
      <c r="Q360" s="802"/>
      <c r="R360" s="802"/>
      <c r="S360" s="707"/>
      <c r="T360" s="208" t="s">
        <v>525</v>
      </c>
      <c r="U360" s="202">
        <f>U355+U356+U357+U358+U359</f>
        <v>0.3291563831465123</v>
      </c>
      <c r="V360" s="475" t="s">
        <v>3</v>
      </c>
      <c r="W360" s="851"/>
      <c r="X360" s="851"/>
      <c r="Y360" s="851"/>
      <c r="Z360" s="851"/>
      <c r="AA360" s="38"/>
      <c r="AB360" s="38"/>
      <c r="AC360" s="38"/>
    </row>
    <row r="361" spans="2:29" s="47" customFormat="1" ht="20.100000000000001" customHeight="1">
      <c r="B361" s="473"/>
      <c r="C361" s="473"/>
      <c r="D361" s="473"/>
      <c r="E361" s="473"/>
      <c r="F361" s="473"/>
      <c r="G361" s="473"/>
      <c r="H361" s="216"/>
      <c r="I361" s="217"/>
      <c r="J361" s="163"/>
      <c r="K361" s="468"/>
      <c r="L361" s="468"/>
      <c r="M361" s="468"/>
      <c r="N361" s="468"/>
      <c r="O361" s="38"/>
      <c r="P361" s="38"/>
      <c r="Q361" s="38"/>
      <c r="R361" s="38"/>
      <c r="S361" s="38"/>
      <c r="T361" s="216"/>
      <c r="U361" s="217"/>
      <c r="V361" s="163"/>
      <c r="W361" s="468"/>
      <c r="X361" s="468"/>
      <c r="Y361" s="468"/>
      <c r="Z361" s="468"/>
      <c r="AA361" s="37"/>
      <c r="AB361" s="497"/>
      <c r="AC361" s="497"/>
    </row>
    <row r="362" spans="2:29" s="47" customFormat="1" ht="20.100000000000001" customHeight="1">
      <c r="B362" s="235"/>
      <c r="C362" s="235"/>
      <c r="D362" s="235"/>
      <c r="E362" s="235"/>
      <c r="F362" s="235"/>
      <c r="G362" s="235"/>
      <c r="H362" s="216"/>
      <c r="I362" s="217"/>
      <c r="J362" s="163"/>
      <c r="K362" s="236"/>
      <c r="L362" s="236"/>
      <c r="M362" s="236"/>
      <c r="N362" s="236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110"/>
      <c r="Z362" s="48"/>
      <c r="AA362" s="37"/>
    </row>
    <row r="363" spans="2:29" s="47" customFormat="1" ht="20.100000000000001" customHeight="1">
      <c r="B363" s="23" t="s">
        <v>371</v>
      </c>
      <c r="C363" s="211"/>
      <c r="D363" s="211"/>
      <c r="E363" s="211"/>
      <c r="F363" s="211"/>
      <c r="G363" s="211"/>
      <c r="H363" s="216"/>
      <c r="I363" s="217"/>
      <c r="J363" s="163"/>
      <c r="K363" s="210"/>
      <c r="L363" s="210"/>
      <c r="M363" s="210"/>
      <c r="N363" s="210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110"/>
      <c r="Z363" s="48"/>
      <c r="AA363" s="37"/>
    </row>
    <row r="364" spans="2:29" s="47" customFormat="1" ht="20.100000000000001" customHeight="1">
      <c r="B364" s="802" t="s">
        <v>405</v>
      </c>
      <c r="C364" s="802"/>
      <c r="D364" s="802"/>
      <c r="E364" s="802"/>
      <c r="F364" s="802"/>
      <c r="G364" s="802"/>
      <c r="H364" s="215" t="s">
        <v>338</v>
      </c>
      <c r="I364" s="316">
        <v>1.5</v>
      </c>
      <c r="J364" s="155" t="s">
        <v>3</v>
      </c>
      <c r="K364" s="848"/>
      <c r="L364" s="849"/>
      <c r="M364" s="849"/>
      <c r="N364" s="850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110"/>
      <c r="Z364" s="48"/>
      <c r="AA364" s="37"/>
    </row>
    <row r="365" spans="2:29" s="47" customFormat="1" ht="20.100000000000001" customHeight="1">
      <c r="B365" s="802" t="s">
        <v>373</v>
      </c>
      <c r="C365" s="802"/>
      <c r="D365" s="802"/>
      <c r="E365" s="802"/>
      <c r="F365" s="802"/>
      <c r="G365" s="802"/>
      <c r="H365" s="108" t="s">
        <v>235</v>
      </c>
      <c r="I365" s="202">
        <f>$I$168</f>
        <v>2.8712868195288328</v>
      </c>
      <c r="J365" s="155" t="s">
        <v>3</v>
      </c>
      <c r="K365" s="1069"/>
      <c r="L365" s="1069"/>
      <c r="M365" s="1069"/>
      <c r="N365" s="1069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110"/>
      <c r="Z365" s="48"/>
      <c r="AA365" s="37"/>
    </row>
    <row r="366" spans="2:29" s="47" customFormat="1" ht="20.100000000000001" customHeight="1">
      <c r="B366" s="802" t="s">
        <v>393</v>
      </c>
      <c r="C366" s="802"/>
      <c r="D366" s="802"/>
      <c r="E366" s="802"/>
      <c r="F366" s="802"/>
      <c r="G366" s="802"/>
      <c r="H366" s="209" t="s">
        <v>372</v>
      </c>
      <c r="I366" s="218">
        <f>ROUND(I365/I364,0)</f>
        <v>2</v>
      </c>
      <c r="J366" s="155"/>
      <c r="K366" s="1069"/>
      <c r="L366" s="1069"/>
      <c r="M366" s="1069"/>
      <c r="N366" s="1069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110"/>
      <c r="Z366" s="48"/>
      <c r="AA366" s="37"/>
    </row>
    <row r="367" spans="2:29" s="47" customFormat="1" ht="20.100000000000001" customHeight="1">
      <c r="B367" s="707" t="s">
        <v>336</v>
      </c>
      <c r="C367" s="708"/>
      <c r="D367" s="708"/>
      <c r="E367" s="708"/>
      <c r="F367" s="708"/>
      <c r="G367" s="709"/>
      <c r="H367" s="114" t="s">
        <v>314</v>
      </c>
      <c r="I367" s="213">
        <f>I213</f>
        <v>0.10199999999999999</v>
      </c>
      <c r="J367" s="58" t="s">
        <v>313</v>
      </c>
      <c r="K367" s="848"/>
      <c r="L367" s="849"/>
      <c r="M367" s="849"/>
      <c r="N367" s="850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110"/>
      <c r="Z367" s="48"/>
      <c r="AA367" s="37"/>
    </row>
    <row r="368" spans="2:29" s="47" customFormat="1" ht="20.100000000000001" customHeight="1">
      <c r="B368" s="741" t="s">
        <v>395</v>
      </c>
      <c r="C368" s="742"/>
      <c r="D368" s="742"/>
      <c r="E368" s="742"/>
      <c r="F368" s="742"/>
      <c r="G368" s="743"/>
      <c r="H368" s="875" t="s">
        <v>394</v>
      </c>
      <c r="I368" s="981">
        <f>I367/I366</f>
        <v>5.0999999999999997E-2</v>
      </c>
      <c r="J368" s="774" t="s">
        <v>313</v>
      </c>
      <c r="K368" s="1062"/>
      <c r="L368" s="1063"/>
      <c r="M368" s="1063"/>
      <c r="N368" s="1064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110"/>
      <c r="Z368" s="48"/>
      <c r="AA368" s="37"/>
    </row>
    <row r="369" spans="2:27" s="47" customFormat="1" ht="20.100000000000001" customHeight="1">
      <c r="B369" s="747"/>
      <c r="C369" s="748"/>
      <c r="D369" s="748"/>
      <c r="E369" s="748"/>
      <c r="F369" s="748"/>
      <c r="G369" s="749"/>
      <c r="H369" s="876"/>
      <c r="I369" s="982"/>
      <c r="J369" s="775"/>
      <c r="K369" s="1065"/>
      <c r="L369" s="1066"/>
      <c r="M369" s="1066"/>
      <c r="N369" s="1067"/>
      <c r="O369" s="38"/>
      <c r="P369" s="226"/>
      <c r="Q369" s="38"/>
      <c r="R369" s="38"/>
      <c r="S369" s="38"/>
      <c r="T369" s="38"/>
      <c r="U369" s="38"/>
      <c r="V369" s="38"/>
      <c r="W369" s="38"/>
      <c r="X369" s="38"/>
      <c r="Y369" s="110"/>
      <c r="Z369" s="48"/>
      <c r="AA369" s="37"/>
    </row>
    <row r="370" spans="2:27" s="47" customFormat="1" ht="20.100000000000001" customHeight="1">
      <c r="B370" s="707" t="s">
        <v>397</v>
      </c>
      <c r="C370" s="708"/>
      <c r="D370" s="708"/>
      <c r="E370" s="708"/>
      <c r="F370" s="708"/>
      <c r="G370" s="709"/>
      <c r="H370" s="212" t="s">
        <v>400</v>
      </c>
      <c r="I370" s="309">
        <v>0.35</v>
      </c>
      <c r="J370" s="212" t="s">
        <v>3</v>
      </c>
      <c r="K370" s="848"/>
      <c r="L370" s="849"/>
      <c r="M370" s="849"/>
      <c r="N370" s="850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110"/>
      <c r="Z370" s="48"/>
      <c r="AA370" s="37"/>
    </row>
    <row r="371" spans="2:27" s="47" customFormat="1" ht="20.100000000000001" customHeight="1">
      <c r="B371" s="741" t="s">
        <v>398</v>
      </c>
      <c r="C371" s="742"/>
      <c r="D371" s="742"/>
      <c r="E371" s="742"/>
      <c r="F371" s="742"/>
      <c r="G371" s="743"/>
      <c r="H371" s="750" t="s">
        <v>399</v>
      </c>
      <c r="I371" s="798">
        <f>(I368/(1.38*I370))^(2/3)</f>
        <v>0.22339941433418214</v>
      </c>
      <c r="J371" s="750" t="s">
        <v>3</v>
      </c>
      <c r="K371" s="1062"/>
      <c r="L371" s="1063"/>
      <c r="M371" s="1063"/>
      <c r="N371" s="1064"/>
      <c r="O371" s="1068"/>
      <c r="P371" s="38"/>
      <c r="Q371" s="38"/>
      <c r="R371" s="38"/>
      <c r="S371" s="38"/>
      <c r="T371" s="38"/>
      <c r="U371" s="38"/>
      <c r="V371" s="38"/>
      <c r="W371" s="38"/>
      <c r="X371" s="38"/>
      <c r="Y371" s="110"/>
      <c r="Z371" s="48"/>
      <c r="AA371" s="37"/>
    </row>
    <row r="372" spans="2:27" s="47" customFormat="1" ht="20.100000000000001" customHeight="1">
      <c r="B372" s="747"/>
      <c r="C372" s="748"/>
      <c r="D372" s="748"/>
      <c r="E372" s="748"/>
      <c r="F372" s="748"/>
      <c r="G372" s="749"/>
      <c r="H372" s="751"/>
      <c r="I372" s="799"/>
      <c r="J372" s="751"/>
      <c r="K372" s="1065"/>
      <c r="L372" s="1066"/>
      <c r="M372" s="1066"/>
      <c r="N372" s="1067"/>
      <c r="O372" s="1068"/>
      <c r="P372" s="38"/>
      <c r="Q372" s="38"/>
      <c r="R372" s="38"/>
      <c r="S372" s="38"/>
      <c r="T372" s="38"/>
      <c r="U372" s="38"/>
      <c r="V372" s="38"/>
      <c r="W372" s="38"/>
      <c r="X372" s="38"/>
      <c r="Y372" s="110"/>
      <c r="Z372" s="48"/>
      <c r="AA372" s="37"/>
    </row>
    <row r="373" spans="2:27" s="47" customFormat="1" ht="20.100000000000001" customHeight="1">
      <c r="B373" s="707" t="s">
        <v>401</v>
      </c>
      <c r="C373" s="708"/>
      <c r="D373" s="708"/>
      <c r="E373" s="708"/>
      <c r="F373" s="708"/>
      <c r="G373" s="709"/>
      <c r="H373" s="108" t="s">
        <v>402</v>
      </c>
      <c r="I373" s="219">
        <f>IF(I371/2&lt;0.05,0.05,IF(I371/2&gt;0.1,0.1,I371/2))</f>
        <v>0.1</v>
      </c>
      <c r="J373" s="108" t="s">
        <v>3</v>
      </c>
      <c r="K373" s="848"/>
      <c r="L373" s="849"/>
      <c r="M373" s="849"/>
      <c r="N373" s="850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110"/>
      <c r="Z373" s="48"/>
      <c r="AA373" s="37"/>
    </row>
    <row r="374" spans="2:27" s="47" customFormat="1" ht="20.100000000000001" customHeight="1">
      <c r="B374" s="707" t="s">
        <v>403</v>
      </c>
      <c r="C374" s="708"/>
      <c r="D374" s="708"/>
      <c r="E374" s="708"/>
      <c r="F374" s="708"/>
      <c r="G374" s="709"/>
      <c r="H374" s="108" t="s">
        <v>404</v>
      </c>
      <c r="I374" s="219">
        <f>ROUND(I371+I373,2)</f>
        <v>0.32</v>
      </c>
      <c r="J374" s="108" t="s">
        <v>3</v>
      </c>
      <c r="K374" s="848"/>
      <c r="L374" s="849"/>
      <c r="M374" s="849"/>
      <c r="N374" s="850"/>
      <c r="O374" s="38" t="str">
        <f>IF(I374&gt;I370,"¡Error, aumente ancho de la canaleta!",IF(I374&lt;(0.8*I370),"¡Error, disminuya ancho de la canaleta!","¡ok!"))</f>
        <v>¡ok!</v>
      </c>
      <c r="P374" s="38"/>
      <c r="Q374" s="38"/>
      <c r="R374" s="38"/>
      <c r="S374" s="38"/>
      <c r="T374" s="38"/>
      <c r="U374" s="38"/>
      <c r="V374" s="38"/>
      <c r="W374" s="38"/>
      <c r="X374" s="38"/>
      <c r="Y374" s="110"/>
      <c r="Z374" s="48"/>
      <c r="AA374" s="37"/>
    </row>
    <row r="375" spans="2:27" s="47" customFormat="1" ht="20.100000000000001" customHeight="1">
      <c r="B375" s="707" t="s">
        <v>377</v>
      </c>
      <c r="C375" s="708"/>
      <c r="D375" s="708"/>
      <c r="E375" s="708"/>
      <c r="F375" s="708"/>
      <c r="G375" s="709"/>
      <c r="H375" s="95" t="s">
        <v>46</v>
      </c>
      <c r="I375" s="213">
        <f>$I$74</f>
        <v>0.64</v>
      </c>
      <c r="J375" s="95" t="s">
        <v>3</v>
      </c>
      <c r="K375" s="399"/>
      <c r="L375" s="400"/>
      <c r="M375" s="400"/>
      <c r="N375" s="401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110"/>
      <c r="Z375" s="48"/>
      <c r="AA375" s="37"/>
    </row>
    <row r="376" spans="2:27" s="47" customFormat="1" ht="20.100000000000001" customHeight="1">
      <c r="B376" s="487" t="s">
        <v>378</v>
      </c>
      <c r="C376" s="488"/>
      <c r="D376" s="488"/>
      <c r="E376" s="488"/>
      <c r="F376" s="488"/>
      <c r="G376" s="489"/>
      <c r="H376" s="221" t="s">
        <v>387</v>
      </c>
      <c r="I376" s="214">
        <f>$I$202</f>
        <v>0.88566735456816503</v>
      </c>
      <c r="J376" s="221" t="s">
        <v>3</v>
      </c>
      <c r="K376" s="399"/>
      <c r="L376" s="400"/>
      <c r="M376" s="400"/>
      <c r="N376" s="401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110"/>
      <c r="Z376" s="48"/>
      <c r="AA376" s="37"/>
    </row>
    <row r="377" spans="2:27" s="47" customFormat="1" ht="20.100000000000001" customHeight="1">
      <c r="B377" s="707" t="s">
        <v>389</v>
      </c>
      <c r="C377" s="708"/>
      <c r="D377" s="708"/>
      <c r="E377" s="708"/>
      <c r="F377" s="708"/>
      <c r="G377" s="709"/>
      <c r="H377" s="212" t="s">
        <v>390</v>
      </c>
      <c r="I377" s="222">
        <f>((0.75*I375+I374)+(I375+I374))/2</f>
        <v>0.88</v>
      </c>
      <c r="J377" s="212" t="s">
        <v>3</v>
      </c>
      <c r="K377" s="848"/>
      <c r="L377" s="849"/>
      <c r="M377" s="849"/>
      <c r="N377" s="850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110"/>
      <c r="Z377" s="48"/>
      <c r="AA377" s="37"/>
    </row>
    <row r="378" spans="2:27" s="47" customFormat="1" ht="20.100000000000001" customHeight="1">
      <c r="B378" s="802" t="s">
        <v>406</v>
      </c>
      <c r="C378" s="802"/>
      <c r="D378" s="802"/>
      <c r="E378" s="802"/>
      <c r="F378" s="802"/>
      <c r="G378" s="802"/>
      <c r="H378" s="215" t="s">
        <v>338</v>
      </c>
      <c r="I378" s="95">
        <f>I365/I366</f>
        <v>1.4356434097644164</v>
      </c>
      <c r="J378" s="108" t="s">
        <v>3</v>
      </c>
      <c r="K378" s="848"/>
      <c r="L378" s="849"/>
      <c r="M378" s="849"/>
      <c r="N378" s="850"/>
      <c r="O378" s="38" t="str">
        <f>IF(I378&lt;1.5*I377,"¡Error, aumente espaciamiento entre ejes asumido!",IF(I378&gt;2*I377,"¡Error, disminuya espaciamiento entre ejes asumido!","¡ok!"))</f>
        <v>¡ok!</v>
      </c>
      <c r="P378" s="38"/>
      <c r="Q378" s="38"/>
      <c r="R378" s="38"/>
      <c r="S378" s="38"/>
      <c r="T378" s="38"/>
      <c r="U378" s="38"/>
      <c r="V378" s="38"/>
      <c r="W378" s="38"/>
      <c r="X378" s="38"/>
      <c r="Y378" s="110"/>
      <c r="Z378" s="48"/>
      <c r="AA378" s="37"/>
    </row>
    <row r="379" spans="2:27" s="47" customFormat="1" ht="20.100000000000001" customHeight="1">
      <c r="B379" s="707" t="s">
        <v>388</v>
      </c>
      <c r="C379" s="708"/>
      <c r="D379" s="708"/>
      <c r="E379" s="708"/>
      <c r="F379" s="708"/>
      <c r="G379" s="709"/>
      <c r="H379" s="108" t="s">
        <v>391</v>
      </c>
      <c r="I379" s="219">
        <f>I377-(I376-I375)</f>
        <v>0.63433264543183498</v>
      </c>
      <c r="J379" s="108" t="s">
        <v>3</v>
      </c>
      <c r="K379" s="848"/>
      <c r="L379" s="849"/>
      <c r="M379" s="849"/>
      <c r="N379" s="850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110"/>
      <c r="Z379" s="48"/>
      <c r="AA379" s="37"/>
    </row>
    <row r="380" spans="2:27" s="47" customFormat="1" ht="20.100000000000001" customHeight="1">
      <c r="B380" s="110"/>
      <c r="C380" s="110"/>
      <c r="D380" s="110"/>
      <c r="E380" s="110"/>
      <c r="F380" s="110"/>
      <c r="G380" s="110"/>
      <c r="H380" s="75"/>
      <c r="I380" s="260"/>
      <c r="J380" s="75"/>
      <c r="K380" s="261"/>
      <c r="L380" s="261"/>
      <c r="M380" s="261"/>
      <c r="N380" s="261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110"/>
      <c r="Z380" s="48"/>
      <c r="AA380" s="37"/>
    </row>
    <row r="381" spans="2:27" s="47" customFormat="1" ht="20.100000000000001" customHeight="1">
      <c r="B381" s="110"/>
      <c r="C381" s="110"/>
      <c r="D381" s="110"/>
      <c r="E381" s="110"/>
      <c r="F381" s="110"/>
      <c r="G381" s="110"/>
      <c r="H381" s="75"/>
      <c r="I381" s="260"/>
      <c r="J381" s="75"/>
      <c r="K381" s="261"/>
      <c r="L381" s="261"/>
      <c r="M381" s="261"/>
      <c r="N381" s="261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110"/>
      <c r="Z381" s="484"/>
      <c r="AA381" s="37"/>
    </row>
    <row r="382" spans="2:27" s="47" customFormat="1" ht="20.100000000000001" customHeight="1">
      <c r="B382" s="23" t="s">
        <v>533</v>
      </c>
      <c r="C382" s="110"/>
      <c r="D382" s="110"/>
      <c r="E382" s="110"/>
      <c r="F382" s="110"/>
      <c r="G382" s="110"/>
      <c r="H382" s="75"/>
      <c r="I382" s="260"/>
      <c r="J382" s="75"/>
      <c r="K382" s="261"/>
      <c r="L382" s="261"/>
      <c r="M382" s="261"/>
      <c r="N382" s="261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110"/>
      <c r="Z382" s="484"/>
      <c r="AA382" s="37"/>
    </row>
    <row r="383" spans="2:27" s="47" customFormat="1" ht="20.100000000000001" customHeight="1">
      <c r="B383" s="707" t="s">
        <v>168</v>
      </c>
      <c r="C383" s="708"/>
      <c r="D383" s="708"/>
      <c r="E383" s="708"/>
      <c r="F383" s="708"/>
      <c r="G383" s="709"/>
      <c r="H383" s="494" t="s">
        <v>169</v>
      </c>
      <c r="I383" s="471">
        <f>SUM(G88:G92)</f>
        <v>0.44999999999999996</v>
      </c>
      <c r="J383" s="472" t="s">
        <v>3</v>
      </c>
      <c r="K383" s="848"/>
      <c r="L383" s="849"/>
      <c r="M383" s="849"/>
      <c r="N383" s="850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110"/>
      <c r="Z383" s="484"/>
      <c r="AA383" s="37"/>
    </row>
    <row r="384" spans="2:27" s="47" customFormat="1" ht="20.100000000000001" customHeight="1">
      <c r="B384" s="707" t="s">
        <v>162</v>
      </c>
      <c r="C384" s="708"/>
      <c r="D384" s="708"/>
      <c r="E384" s="708"/>
      <c r="F384" s="708"/>
      <c r="G384" s="709"/>
      <c r="H384" s="494" t="s">
        <v>46</v>
      </c>
      <c r="I384" s="471">
        <f>I74</f>
        <v>0.64</v>
      </c>
      <c r="J384" s="472" t="s">
        <v>3</v>
      </c>
      <c r="K384" s="848"/>
      <c r="L384" s="849"/>
      <c r="M384" s="849"/>
      <c r="N384" s="850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110"/>
      <c r="Z384" s="484"/>
      <c r="AA384" s="37"/>
    </row>
    <row r="385" spans="2:27" s="47" customFormat="1" ht="20.100000000000001" customHeight="1">
      <c r="B385" s="707" t="s">
        <v>531</v>
      </c>
      <c r="C385" s="708"/>
      <c r="D385" s="708"/>
      <c r="E385" s="708"/>
      <c r="F385" s="708"/>
      <c r="G385" s="709"/>
      <c r="H385" s="494" t="s">
        <v>532</v>
      </c>
      <c r="I385" s="500">
        <v>0.2</v>
      </c>
      <c r="J385" s="494" t="s">
        <v>3</v>
      </c>
      <c r="K385" s="490"/>
      <c r="L385" s="491"/>
      <c r="M385" s="491"/>
      <c r="N385" s="492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110"/>
      <c r="Z385" s="486"/>
      <c r="AA385" s="37"/>
    </row>
    <row r="386" spans="2:27" s="47" customFormat="1" ht="20.100000000000001" customHeight="1">
      <c r="B386" s="707" t="s">
        <v>529</v>
      </c>
      <c r="C386" s="708"/>
      <c r="D386" s="708"/>
      <c r="E386" s="708"/>
      <c r="F386" s="708"/>
      <c r="G386" s="709"/>
      <c r="H386" s="494" t="s">
        <v>530</v>
      </c>
      <c r="I386" s="500">
        <v>1.8</v>
      </c>
      <c r="J386" s="494" t="s">
        <v>3</v>
      </c>
      <c r="K386" s="490"/>
      <c r="L386" s="491"/>
      <c r="M386" s="491"/>
      <c r="N386" s="492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110"/>
      <c r="Z386" s="486"/>
      <c r="AA386" s="37"/>
    </row>
    <row r="387" spans="2:27" s="47" customFormat="1" ht="20.100000000000001" customHeight="1">
      <c r="B387" s="707" t="s">
        <v>536</v>
      </c>
      <c r="C387" s="708"/>
      <c r="D387" s="708"/>
      <c r="E387" s="708"/>
      <c r="F387" s="708"/>
      <c r="G387" s="709"/>
      <c r="H387" s="208" t="s">
        <v>448</v>
      </c>
      <c r="I387" s="493">
        <f>I360</f>
        <v>0.25053114275987332</v>
      </c>
      <c r="J387" s="494" t="s">
        <v>3</v>
      </c>
      <c r="K387" s="490"/>
      <c r="L387" s="491"/>
      <c r="M387" s="491"/>
      <c r="N387" s="492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110"/>
      <c r="Z387" s="486"/>
      <c r="AA387" s="37"/>
    </row>
    <row r="388" spans="2:27" s="47" customFormat="1" ht="20.100000000000001" customHeight="1">
      <c r="B388" s="707" t="s">
        <v>28</v>
      </c>
      <c r="C388" s="708"/>
      <c r="D388" s="708"/>
      <c r="E388" s="708"/>
      <c r="F388" s="708"/>
      <c r="G388" s="709"/>
      <c r="H388" s="494" t="s">
        <v>29</v>
      </c>
      <c r="I388" s="500">
        <v>0.4</v>
      </c>
      <c r="J388" s="472" t="s">
        <v>3</v>
      </c>
      <c r="K388" s="848"/>
      <c r="L388" s="849"/>
      <c r="M388" s="849"/>
      <c r="N388" s="850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110"/>
      <c r="Z388" s="484"/>
      <c r="AA388" s="37"/>
    </row>
    <row r="389" spans="2:27" s="47" customFormat="1" ht="20.100000000000001" customHeight="1">
      <c r="B389" s="707" t="s">
        <v>540</v>
      </c>
      <c r="C389" s="708"/>
      <c r="D389" s="708"/>
      <c r="E389" s="708"/>
      <c r="F389" s="708"/>
      <c r="G389" s="709"/>
      <c r="H389" s="494" t="s">
        <v>541</v>
      </c>
      <c r="I389" s="471">
        <f>I383+I384+I385+I387</f>
        <v>1.5405311427598731</v>
      </c>
      <c r="J389" s="494" t="s">
        <v>3</v>
      </c>
      <c r="K389" s="848"/>
      <c r="L389" s="849"/>
      <c r="M389" s="849"/>
      <c r="N389" s="850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110"/>
      <c r="Z389" s="484"/>
      <c r="AA389" s="37"/>
    </row>
    <row r="390" spans="2:27" s="47" customFormat="1" ht="20.100000000000001" customHeight="1">
      <c r="B390" s="707" t="s">
        <v>543</v>
      </c>
      <c r="C390" s="708"/>
      <c r="D390" s="708"/>
      <c r="E390" s="708"/>
      <c r="F390" s="708"/>
      <c r="G390" s="709"/>
      <c r="H390" s="494" t="s">
        <v>542</v>
      </c>
      <c r="I390" s="471">
        <f>I383+I384+I385+I386</f>
        <v>3.09</v>
      </c>
      <c r="J390" s="494" t="s">
        <v>3</v>
      </c>
      <c r="K390" s="848"/>
      <c r="L390" s="849"/>
      <c r="M390" s="849"/>
      <c r="N390" s="850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110"/>
      <c r="Z390" s="484"/>
      <c r="AA390" s="37"/>
    </row>
    <row r="391" spans="2:27" s="47" customFormat="1" ht="20.100000000000001" customHeight="1">
      <c r="B391" s="707" t="s">
        <v>537</v>
      </c>
      <c r="C391" s="708"/>
      <c r="D391" s="708"/>
      <c r="E391" s="708"/>
      <c r="F391" s="708"/>
      <c r="G391" s="709"/>
      <c r="H391" s="494" t="s">
        <v>538</v>
      </c>
      <c r="I391" s="493">
        <f>I383+I384+I385+I386+I388</f>
        <v>3.4899999999999998</v>
      </c>
      <c r="J391" s="494" t="s">
        <v>3</v>
      </c>
      <c r="K391" s="848"/>
      <c r="L391" s="849"/>
      <c r="M391" s="849"/>
      <c r="N391" s="850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110"/>
      <c r="Z391" s="484"/>
      <c r="AA391" s="37"/>
    </row>
    <row r="392" spans="2:27" s="47" customFormat="1" ht="20.100000000000001" customHeight="1">
      <c r="B392" s="110"/>
      <c r="C392" s="110"/>
      <c r="D392" s="110"/>
      <c r="E392" s="110"/>
      <c r="F392" s="110"/>
      <c r="G392" s="110"/>
      <c r="H392" s="75"/>
      <c r="I392" s="260"/>
      <c r="J392" s="75"/>
      <c r="K392" s="498"/>
      <c r="L392" s="498"/>
      <c r="M392" s="498"/>
      <c r="N392" s="49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110"/>
      <c r="Z392" s="486"/>
      <c r="AA392" s="37"/>
    </row>
    <row r="393" spans="2:27" s="47" customFormat="1" ht="17.100000000000001" customHeight="1">
      <c r="B393" s="27"/>
      <c r="C393" s="27"/>
      <c r="D393" s="27"/>
      <c r="E393" s="27"/>
      <c r="F393" s="28"/>
      <c r="G393" s="29"/>
      <c r="H393" s="30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110"/>
      <c r="Z393" s="48"/>
      <c r="AA393" s="37"/>
    </row>
    <row r="394" spans="2:27" s="184" customFormat="1" ht="17.100000000000001" customHeight="1">
      <c r="B394" s="176"/>
      <c r="C394" s="176"/>
      <c r="D394" s="176"/>
      <c r="E394" s="176"/>
      <c r="F394" s="177"/>
      <c r="G394" s="178"/>
      <c r="H394" s="179"/>
      <c r="I394" s="180"/>
      <c r="J394" s="180"/>
      <c r="K394" s="180"/>
      <c r="L394" s="180"/>
      <c r="M394" s="180"/>
      <c r="N394" s="180"/>
      <c r="O394" s="180"/>
      <c r="P394" s="180"/>
      <c r="Q394" s="180"/>
      <c r="R394" s="180"/>
      <c r="S394" s="180"/>
      <c r="T394" s="180"/>
      <c r="U394" s="180"/>
      <c r="V394" s="180"/>
      <c r="W394" s="180"/>
      <c r="X394" s="180"/>
      <c r="Y394" s="181"/>
      <c r="Z394" s="182"/>
      <c r="AA394" s="183"/>
    </row>
    <row r="395" spans="2:27" s="193" customFormat="1" ht="17.100000000000001" customHeight="1">
      <c r="B395" s="185"/>
      <c r="C395" s="185"/>
      <c r="D395" s="185"/>
      <c r="E395" s="185"/>
      <c r="F395" s="186"/>
      <c r="G395" s="187"/>
      <c r="H395" s="188"/>
      <c r="I395" s="189"/>
      <c r="J395" s="189"/>
      <c r="K395" s="189"/>
      <c r="L395" s="189"/>
      <c r="M395" s="189"/>
      <c r="N395" s="189"/>
      <c r="O395" s="189"/>
      <c r="P395" s="189"/>
      <c r="Q395" s="189"/>
      <c r="R395" s="189"/>
      <c r="S395" s="189"/>
      <c r="T395" s="189"/>
      <c r="U395" s="189"/>
      <c r="V395" s="189"/>
      <c r="W395" s="189"/>
      <c r="X395" s="189"/>
      <c r="Y395" s="190"/>
      <c r="Z395" s="191"/>
      <c r="AA395" s="192"/>
    </row>
    <row r="396" spans="2:27" ht="17.100000000000001" customHeight="1">
      <c r="B396" s="1"/>
      <c r="C396" s="1"/>
      <c r="D396" s="1"/>
      <c r="E396" s="1"/>
      <c r="F396" s="1"/>
      <c r="G396" s="1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5"/>
      <c r="Z396" s="35"/>
    </row>
    <row r="397" spans="2:27" ht="17.100000000000001" customHeight="1">
      <c r="B397" s="1"/>
      <c r="C397" s="1"/>
      <c r="D397" s="1"/>
      <c r="E397" s="1"/>
      <c r="F397" s="1"/>
      <c r="G397" s="1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5"/>
      <c r="Z397" s="35"/>
    </row>
    <row r="398" spans="2:27" ht="17.100000000000001" customHeight="1">
      <c r="B398" s="773" t="s">
        <v>19</v>
      </c>
      <c r="C398" s="773"/>
      <c r="D398" s="773"/>
      <c r="E398" s="773"/>
      <c r="F398" s="5"/>
      <c r="G398" s="5"/>
      <c r="H398" s="5"/>
      <c r="I398" s="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</row>
    <row r="399" spans="2:27" ht="17.100000000000001" customHeight="1">
      <c r="B399" s="5"/>
      <c r="C399" s="5"/>
      <c r="D399" s="5"/>
      <c r="E399" s="5"/>
      <c r="F399" s="5"/>
      <c r="G399" s="5"/>
      <c r="H399" s="5"/>
      <c r="I399" s="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</row>
    <row r="400" spans="2:27" ht="17.100000000000001" customHeight="1">
      <c r="B400" s="5" t="s">
        <v>20</v>
      </c>
      <c r="C400" s="740"/>
      <c r="D400" s="740"/>
      <c r="E400" s="740"/>
      <c r="F400" s="740"/>
      <c r="G400" s="740"/>
      <c r="H400" s="740"/>
      <c r="I400" s="740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</row>
    <row r="401" spans="2:26" ht="17.100000000000001" customHeight="1">
      <c r="B401" s="5" t="s">
        <v>21</v>
      </c>
      <c r="C401" s="740"/>
      <c r="D401" s="740"/>
      <c r="E401" s="740"/>
      <c r="F401" s="740"/>
      <c r="G401" s="740"/>
      <c r="H401" s="740"/>
      <c r="I401" s="740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</row>
    <row r="402" spans="2:26" s="5" customFormat="1" ht="17.100000000000001" customHeight="1">
      <c r="B402" s="5" t="s">
        <v>22</v>
      </c>
      <c r="C402" s="1040"/>
      <c r="D402" s="1040"/>
      <c r="E402" s="1040"/>
      <c r="F402" s="1040"/>
      <c r="G402" s="1040"/>
      <c r="H402" s="1040"/>
      <c r="I402" s="1040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2:26" s="5" customFormat="1" ht="17.100000000000001" customHeight="1">
      <c r="B403" s="5" t="s">
        <v>25</v>
      </c>
      <c r="C403" s="740"/>
      <c r="D403" s="740"/>
      <c r="E403" s="740"/>
      <c r="F403" s="740"/>
      <c r="G403" s="740"/>
      <c r="H403" s="740"/>
      <c r="I403" s="740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2:26" s="5" customFormat="1" ht="17.100000000000001" customHeight="1">
      <c r="B404" s="5" t="s">
        <v>31</v>
      </c>
      <c r="C404" s="740"/>
      <c r="D404" s="740"/>
      <c r="E404" s="740"/>
      <c r="F404" s="740"/>
      <c r="G404" s="740"/>
      <c r="H404" s="740"/>
      <c r="I404" s="740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2:26" ht="17.100000000000001" customHeight="1">
      <c r="B405" s="5" t="s">
        <v>32</v>
      </c>
      <c r="C405" s="771"/>
      <c r="D405" s="771"/>
      <c r="E405" s="771"/>
      <c r="F405" s="771"/>
      <c r="G405" s="771"/>
      <c r="H405" s="771"/>
      <c r="I405" s="771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</row>
    <row r="406" spans="2:26" ht="17.100000000000001" customHeight="1">
      <c r="B406" s="5" t="s">
        <v>41</v>
      </c>
      <c r="C406" s="1040"/>
      <c r="D406" s="1040"/>
      <c r="E406" s="1040"/>
      <c r="F406" s="1040"/>
      <c r="G406" s="1040"/>
      <c r="H406" s="1040"/>
      <c r="I406" s="1040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</row>
    <row r="407" spans="2:26" ht="17.100000000000001" customHeight="1">
      <c r="B407" s="5" t="s">
        <v>50</v>
      </c>
      <c r="C407" s="740"/>
      <c r="D407" s="740"/>
      <c r="E407" s="740"/>
      <c r="F407" s="740"/>
      <c r="G407" s="740"/>
      <c r="H407" s="740"/>
      <c r="I407" s="740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</row>
    <row r="408" spans="2:26" ht="17.100000000000001" customHeight="1">
      <c r="B408" s="5" t="s">
        <v>70</v>
      </c>
      <c r="C408" s="740"/>
      <c r="D408" s="740"/>
      <c r="E408" s="740"/>
      <c r="F408" s="740"/>
      <c r="G408" s="740"/>
      <c r="H408" s="740"/>
      <c r="I408" s="740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5"/>
      <c r="Z408" s="35"/>
    </row>
    <row r="409" spans="2:26" ht="17.100000000000001" customHeight="1">
      <c r="B409" s="5"/>
      <c r="C409" s="5"/>
      <c r="D409" s="5"/>
      <c r="E409" s="5"/>
      <c r="F409" s="5"/>
      <c r="G409" s="5"/>
      <c r="H409" s="5"/>
      <c r="I409" s="5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5"/>
      <c r="Z409" s="35"/>
    </row>
    <row r="410" spans="2:26" ht="17.100000000000001" customHeight="1">
      <c r="B410" s="16" t="s">
        <v>57</v>
      </c>
      <c r="C410" s="16"/>
      <c r="D410" s="16"/>
      <c r="E410" s="5"/>
      <c r="F410" s="5"/>
      <c r="G410" s="5"/>
      <c r="H410" s="5"/>
      <c r="I410" s="5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5"/>
      <c r="Z410" s="35"/>
    </row>
    <row r="411" spans="2:26" ht="17.100000000000001" customHeight="1">
      <c r="B411" s="5" t="s">
        <v>58</v>
      </c>
      <c r="C411" s="5"/>
      <c r="D411" s="5"/>
      <c r="E411" s="5"/>
      <c r="F411" s="5"/>
      <c r="G411" s="5"/>
      <c r="H411" s="5"/>
      <c r="I411" s="5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5"/>
      <c r="Z411" s="35"/>
    </row>
    <row r="412" spans="2:26" ht="17.100000000000001" customHeight="1">
      <c r="B412" s="5" t="s">
        <v>59</v>
      </c>
      <c r="C412" s="5"/>
      <c r="D412" s="5"/>
      <c r="E412" s="5"/>
      <c r="F412" s="5"/>
      <c r="G412" s="5"/>
      <c r="H412" s="5"/>
      <c r="I412" s="5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5"/>
      <c r="Z412" s="35"/>
    </row>
    <row r="413" spans="2:26" ht="17.100000000000001" customHeight="1">
      <c r="B413" s="5"/>
      <c r="C413" s="5"/>
      <c r="D413" s="5"/>
      <c r="E413" s="5"/>
      <c r="F413" s="5"/>
      <c r="G413" s="5"/>
      <c r="H413" s="5"/>
      <c r="I413" s="5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5"/>
      <c r="Z413" s="35"/>
    </row>
    <row r="414" spans="2:26" ht="17.100000000000001" customHeight="1">
      <c r="B414" s="16" t="s">
        <v>60</v>
      </c>
      <c r="C414" s="5"/>
      <c r="D414" s="5"/>
      <c r="E414" s="5"/>
      <c r="F414" s="5"/>
      <c r="G414" s="5"/>
      <c r="H414" s="5"/>
      <c r="I414" s="5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5"/>
      <c r="Z414" s="35"/>
    </row>
    <row r="415" spans="2:26" ht="17.100000000000001" customHeight="1">
      <c r="B415" s="5" t="s">
        <v>631</v>
      </c>
      <c r="C415" s="16"/>
      <c r="D415" s="16"/>
      <c r="E415" s="5"/>
      <c r="F415" s="5"/>
      <c r="G415" s="5"/>
      <c r="H415" s="5"/>
      <c r="I415" s="5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5"/>
      <c r="Z415" s="35"/>
    </row>
    <row r="416" spans="2:26" ht="17.100000000000001" customHeight="1">
      <c r="B416" s="5"/>
      <c r="C416" s="5"/>
      <c r="D416" s="5"/>
      <c r="E416" s="5"/>
      <c r="F416" s="5"/>
      <c r="G416" s="5"/>
      <c r="H416" s="5"/>
      <c r="I416" s="5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5"/>
      <c r="Z416" s="35"/>
    </row>
    <row r="417" spans="2:26" ht="17.100000000000001" customHeight="1">
      <c r="B417" s="29"/>
      <c r="C417" s="29"/>
      <c r="D417" s="29"/>
      <c r="E417" s="29"/>
      <c r="F417" s="29"/>
      <c r="G417" s="29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5"/>
      <c r="Z417" s="35"/>
    </row>
    <row r="418" spans="2:26" ht="17.100000000000001" customHeight="1"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</row>
    <row r="419" spans="2:26" ht="17.100000000000001" customHeight="1"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</row>
    <row r="420" spans="2:26" ht="17.100000000000001" customHeight="1"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</row>
    <row r="421" spans="2:26" ht="17.100000000000001" customHeight="1">
      <c r="B421" s="1"/>
      <c r="C421" s="1"/>
      <c r="D421" s="1"/>
      <c r="E421" s="1"/>
      <c r="F421" s="1"/>
      <c r="G421" s="1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</row>
    <row r="422" spans="2:26" ht="17.100000000000001" customHeight="1">
      <c r="B422" s="7"/>
      <c r="C422" s="7"/>
      <c r="D422" s="7"/>
      <c r="E422" s="7"/>
      <c r="F422" s="7"/>
      <c r="G422" s="7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</row>
    <row r="423" spans="2:26" ht="17.100000000000001" customHeight="1">
      <c r="B423" s="7"/>
      <c r="C423" s="7"/>
      <c r="D423" s="7"/>
      <c r="E423" s="7"/>
      <c r="F423" s="7"/>
      <c r="G423" s="7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</row>
    <row r="424" spans="2:26" ht="17.100000000000001" customHeight="1">
      <c r="B424" s="7"/>
      <c r="C424" s="7"/>
      <c r="D424" s="7"/>
      <c r="E424" s="7"/>
      <c r="F424" s="7"/>
      <c r="G424" s="7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</row>
    <row r="425" spans="2:26" ht="17.100000000000001" customHeight="1">
      <c r="B425" s="7"/>
      <c r="C425" s="7"/>
      <c r="D425" s="7"/>
      <c r="E425" s="7"/>
      <c r="F425" s="7"/>
      <c r="G425" s="7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</row>
    <row r="426" spans="2:26" ht="17.100000000000001" customHeight="1">
      <c r="B426" s="22"/>
      <c r="C426" s="22"/>
      <c r="D426" s="22"/>
      <c r="E426" s="22"/>
      <c r="F426" s="22"/>
      <c r="G426" s="22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</row>
    <row r="427" spans="2:26" ht="17.100000000000001" customHeight="1">
      <c r="B427" s="22"/>
      <c r="C427" s="22"/>
      <c r="D427" s="22"/>
      <c r="E427" s="22"/>
      <c r="F427" s="22"/>
      <c r="G427" s="22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</row>
    <row r="428" spans="2:26" ht="17.100000000000001" customHeight="1">
      <c r="B428" s="22"/>
      <c r="C428" s="22"/>
      <c r="D428" s="22"/>
      <c r="E428" s="22"/>
      <c r="F428" s="22"/>
      <c r="G428" s="22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35"/>
    </row>
    <row r="429" spans="2:26" ht="17.100000000000001" customHeight="1"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</row>
    <row r="430" spans="2:26" ht="17.100000000000001" customHeight="1"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</row>
    <row r="431" spans="2:26" ht="17.100000000000001" customHeight="1"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</row>
    <row r="432" spans="2:26" ht="17.100000000000001" customHeight="1"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</row>
    <row r="433" spans="2:25" ht="17.100000000000001" customHeight="1"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</row>
    <row r="434" spans="2:25" ht="17.100000000000001" customHeight="1"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</row>
    <row r="435" spans="2:25" ht="17.100000000000001" customHeight="1"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</row>
    <row r="436" spans="2:25" ht="17.100000000000001" customHeight="1"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</row>
    <row r="437" spans="2:25" ht="17.100000000000001" customHeight="1"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</row>
    <row r="438" spans="2:25" ht="17.100000000000001" customHeight="1">
      <c r="B438" s="35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</row>
    <row r="439" spans="2:25" ht="17.100000000000001" customHeight="1">
      <c r="B439" s="35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</row>
    <row r="440" spans="2:25" ht="17.100000000000001" customHeight="1">
      <c r="B440" s="35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</row>
    <row r="441" spans="2:25" ht="17.100000000000001" customHeight="1">
      <c r="B441" s="35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</row>
    <row r="442" spans="2:25" ht="17.100000000000001" customHeight="1">
      <c r="B442" s="35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</row>
    <row r="443" spans="2:25" ht="17.100000000000001" customHeight="1">
      <c r="B443" s="35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</row>
    <row r="444" spans="2:25" ht="17.100000000000001" customHeight="1">
      <c r="B444" s="35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</row>
    <row r="445" spans="2:25" ht="17.100000000000001" customHeight="1">
      <c r="B445" s="35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</row>
    <row r="446" spans="2:25" ht="17.100000000000001" customHeight="1">
      <c r="B446" s="35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</row>
    <row r="447" spans="2:25" ht="17.100000000000001" customHeight="1">
      <c r="B447" s="35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</row>
    <row r="448" spans="2:25" ht="17.100000000000001" customHeight="1">
      <c r="B448" s="35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</row>
    <row r="449" spans="2:25" ht="17.100000000000001" customHeight="1">
      <c r="B449" s="35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</row>
    <row r="450" spans="2:25" ht="17.100000000000001" customHeight="1">
      <c r="B450" s="35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</row>
    <row r="451" spans="2:25" ht="17.100000000000001" customHeight="1">
      <c r="B451" s="35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</row>
    <row r="452" spans="2:25" ht="17.100000000000001" customHeight="1">
      <c r="B452" s="35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</row>
    <row r="453" spans="2:25" ht="17.100000000000001" customHeight="1">
      <c r="B453" s="35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</row>
    <row r="454" spans="2:25" ht="17.100000000000001" customHeight="1">
      <c r="B454" s="35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</row>
    <row r="455" spans="2:25" ht="17.100000000000001" customHeight="1">
      <c r="B455" s="35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</row>
    <row r="456" spans="2:25" ht="17.100000000000001" customHeight="1">
      <c r="B456" s="35"/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</row>
    <row r="457" spans="2:25" ht="17.100000000000001" customHeight="1">
      <c r="B457" s="35"/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</row>
    <row r="458" spans="2:25" ht="17.100000000000001" customHeight="1">
      <c r="B458" s="35"/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</row>
    <row r="459" spans="2:25" ht="17.100000000000001" customHeight="1">
      <c r="B459" s="35"/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</row>
    <row r="460" spans="2:25" ht="17.100000000000001" customHeight="1">
      <c r="B460" s="35"/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</row>
    <row r="461" spans="2:25" ht="17.100000000000001" customHeight="1">
      <c r="B461" s="35"/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</row>
    <row r="462" spans="2:25" ht="17.100000000000001" customHeight="1">
      <c r="B462" s="35"/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</row>
    <row r="463" spans="2:25" ht="17.100000000000001" customHeight="1">
      <c r="B463" s="35"/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</row>
    <row r="464" spans="2:25" ht="17.100000000000001" customHeight="1">
      <c r="B464" s="35"/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</row>
    <row r="465" spans="2:25" ht="17.100000000000001" customHeight="1">
      <c r="B465" s="35"/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</row>
    <row r="466" spans="2:25" ht="17.100000000000001" customHeight="1">
      <c r="B466" s="35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</row>
    <row r="467" spans="2:25" ht="17.100000000000001" customHeight="1">
      <c r="B467" s="35"/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</row>
    <row r="468" spans="2:25" ht="17.100000000000001" customHeight="1">
      <c r="B468" s="35"/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</row>
    <row r="469" spans="2:25" ht="17.100000000000001" customHeight="1">
      <c r="B469" s="35"/>
      <c r="C469" s="35"/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</row>
    <row r="470" spans="2:25" ht="17.100000000000001" customHeight="1">
      <c r="B470" s="35"/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</row>
    <row r="471" spans="2:25" ht="17.100000000000001" customHeight="1">
      <c r="B471" s="35"/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</row>
    <row r="472" spans="2:25" ht="17.100000000000001" customHeight="1">
      <c r="B472" s="35"/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</row>
    <row r="473" spans="2:25" ht="17.100000000000001" customHeight="1">
      <c r="B473" s="35"/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</row>
  </sheetData>
  <mergeCells count="767">
    <mergeCell ref="B391:G391"/>
    <mergeCell ref="K391:N391"/>
    <mergeCell ref="M99:N107"/>
    <mergeCell ref="I126:I128"/>
    <mergeCell ref="P126:P128"/>
    <mergeCell ref="V126:V128"/>
    <mergeCell ref="J106:K106"/>
    <mergeCell ref="J107:K107"/>
    <mergeCell ref="L108:L110"/>
    <mergeCell ref="Q117:R125"/>
    <mergeCell ref="I114:I116"/>
    <mergeCell ref="J114:K116"/>
    <mergeCell ref="M114:M116"/>
    <mergeCell ref="N114:O116"/>
    <mergeCell ref="P114:P116"/>
    <mergeCell ref="Q114:R116"/>
    <mergeCell ref="S114:S116"/>
    <mergeCell ref="J99:K99"/>
    <mergeCell ref="J100:K100"/>
    <mergeCell ref="J101:K101"/>
    <mergeCell ref="J102:K102"/>
    <mergeCell ref="J103:K103"/>
    <mergeCell ref="K314:N314"/>
    <mergeCell ref="B315:G316"/>
    <mergeCell ref="P99:R107"/>
    <mergeCell ref="S113:X113"/>
    <mergeCell ref="W114:X116"/>
    <mergeCell ref="W117:X125"/>
    <mergeCell ref="T114:U116"/>
    <mergeCell ref="T117:U117"/>
    <mergeCell ref="T118:U118"/>
    <mergeCell ref="T119:U119"/>
    <mergeCell ref="T120:U120"/>
    <mergeCell ref="T121:U121"/>
    <mergeCell ref="T122:U122"/>
    <mergeCell ref="T123:U123"/>
    <mergeCell ref="V114:V116"/>
    <mergeCell ref="M113:R113"/>
    <mergeCell ref="N117:O117"/>
    <mergeCell ref="B297:G297"/>
    <mergeCell ref="K297:N297"/>
    <mergeCell ref="B298:G299"/>
    <mergeCell ref="H298:H299"/>
    <mergeCell ref="I298:I299"/>
    <mergeCell ref="J298:J299"/>
    <mergeCell ref="K298:N299"/>
    <mergeCell ref="K295:N296"/>
    <mergeCell ref="Z119:AA119"/>
    <mergeCell ref="N119:O119"/>
    <mergeCell ref="K378:N378"/>
    <mergeCell ref="J158:J159"/>
    <mergeCell ref="I178:I179"/>
    <mergeCell ref="K162:N162"/>
    <mergeCell ref="I158:I159"/>
    <mergeCell ref="I163:I164"/>
    <mergeCell ref="I166:I167"/>
    <mergeCell ref="B312:G312"/>
    <mergeCell ref="K312:N312"/>
    <mergeCell ref="B313:G313"/>
    <mergeCell ref="K313:N313"/>
    <mergeCell ref="H178:H179"/>
    <mergeCell ref="B182:G183"/>
    <mergeCell ref="K178:N179"/>
    <mergeCell ref="I160:I161"/>
    <mergeCell ref="K158:N159"/>
    <mergeCell ref="I182:I183"/>
    <mergeCell ref="B163:G164"/>
    <mergeCell ref="H163:H164"/>
    <mergeCell ref="B160:G161"/>
    <mergeCell ref="H160:H161"/>
    <mergeCell ref="B168:G168"/>
    <mergeCell ref="B165:G165"/>
    <mergeCell ref="J315:J316"/>
    <mergeCell ref="K357:N357"/>
    <mergeCell ref="K315:N316"/>
    <mergeCell ref="B307:G307"/>
    <mergeCell ref="K307:N307"/>
    <mergeCell ref="B308:G309"/>
    <mergeCell ref="H308:H309"/>
    <mergeCell ref="I308:I309"/>
    <mergeCell ref="J308:J309"/>
    <mergeCell ref="K300:N301"/>
    <mergeCell ref="H300:H301"/>
    <mergeCell ref="I300:I301"/>
    <mergeCell ref="J300:J301"/>
    <mergeCell ref="K330:N331"/>
    <mergeCell ref="B330:G331"/>
    <mergeCell ref="J330:J331"/>
    <mergeCell ref="I330:I331"/>
    <mergeCell ref="K322:N322"/>
    <mergeCell ref="K329:N329"/>
    <mergeCell ref="B346:G346"/>
    <mergeCell ref="K350:N350"/>
    <mergeCell ref="B351:G352"/>
    <mergeCell ref="H351:H352"/>
    <mergeCell ref="I351:I352"/>
    <mergeCell ref="J351:J352"/>
    <mergeCell ref="J371:J372"/>
    <mergeCell ref="K358:N358"/>
    <mergeCell ref="B359:G359"/>
    <mergeCell ref="K371:N372"/>
    <mergeCell ref="B366:G366"/>
    <mergeCell ref="K366:N366"/>
    <mergeCell ref="B365:G365"/>
    <mergeCell ref="K365:N365"/>
    <mergeCell ref="B358:G358"/>
    <mergeCell ref="DM6:DM7"/>
    <mergeCell ref="DO5:DO7"/>
    <mergeCell ref="B373:G373"/>
    <mergeCell ref="B364:G364"/>
    <mergeCell ref="K364:N364"/>
    <mergeCell ref="B367:G367"/>
    <mergeCell ref="B368:G369"/>
    <mergeCell ref="H368:H369"/>
    <mergeCell ref="I368:I369"/>
    <mergeCell ref="J368:J369"/>
    <mergeCell ref="K368:N369"/>
    <mergeCell ref="K367:N367"/>
    <mergeCell ref="CF5:CF7"/>
    <mergeCell ref="CG5:CG7"/>
    <mergeCell ref="CX6:DK6"/>
    <mergeCell ref="B356:G356"/>
    <mergeCell ref="B357:G357"/>
    <mergeCell ref="K359:N359"/>
    <mergeCell ref="CB5:CB7"/>
    <mergeCell ref="H315:H316"/>
    <mergeCell ref="I315:I316"/>
    <mergeCell ref="H182:H183"/>
    <mergeCell ref="O371:O372"/>
    <mergeCell ref="CE58:CP58"/>
    <mergeCell ref="K196:N196"/>
    <mergeCell ref="K215:N215"/>
    <mergeCell ref="K220:N220"/>
    <mergeCell ref="K216:N216"/>
    <mergeCell ref="K171:N171"/>
    <mergeCell ref="K172:N172"/>
    <mergeCell ref="K168:N168"/>
    <mergeCell ref="K225:N225"/>
    <mergeCell ref="K214:N214"/>
    <mergeCell ref="K208:N208"/>
    <mergeCell ref="BY5:BY7"/>
    <mergeCell ref="BZ5:BZ7"/>
    <mergeCell ref="CA5:CA7"/>
    <mergeCell ref="H319:J319"/>
    <mergeCell ref="K308:N309"/>
    <mergeCell ref="J105:K105"/>
    <mergeCell ref="K63:K64"/>
    <mergeCell ref="AB24:AC24"/>
    <mergeCell ref="BU8:CB8"/>
    <mergeCell ref="K152:N152"/>
    <mergeCell ref="K222:N222"/>
    <mergeCell ref="K210:N210"/>
    <mergeCell ref="K212:N212"/>
    <mergeCell ref="J104:K104"/>
    <mergeCell ref="Y8:AA8"/>
    <mergeCell ref="Y9:AA9"/>
    <mergeCell ref="Y10:AA10"/>
    <mergeCell ref="K198:N198"/>
    <mergeCell ref="K177:N177"/>
    <mergeCell ref="O298:O299"/>
    <mergeCell ref="O300:O301"/>
    <mergeCell ref="K149:N149"/>
    <mergeCell ref="K150:N150"/>
    <mergeCell ref="J163:J164"/>
    <mergeCell ref="CE5:CE7"/>
    <mergeCell ref="BU19:CB19"/>
    <mergeCell ref="BU31:CB31"/>
    <mergeCell ref="BU39:CB39"/>
    <mergeCell ref="CH6:CW6"/>
    <mergeCell ref="CH5:DK5"/>
    <mergeCell ref="Y24:Z24"/>
    <mergeCell ref="N118:O118"/>
    <mergeCell ref="CE65:CP65"/>
    <mergeCell ref="CE72:CP72"/>
    <mergeCell ref="Y20:AA22"/>
    <mergeCell ref="P95:R96"/>
    <mergeCell ref="AA31:AA32"/>
    <mergeCell ref="Y25:Z25"/>
    <mergeCell ref="Y95:Y98"/>
    <mergeCell ref="Z95:Z98"/>
    <mergeCell ref="BU77:CB77"/>
    <mergeCell ref="BQ5:BQ7"/>
    <mergeCell ref="BR5:BR7"/>
    <mergeCell ref="AB25:AC25"/>
    <mergeCell ref="BW5:BW7"/>
    <mergeCell ref="BX5:BX7"/>
    <mergeCell ref="BU5:BU7"/>
    <mergeCell ref="BV5:BV7"/>
    <mergeCell ref="B76:G76"/>
    <mergeCell ref="C95:C96"/>
    <mergeCell ref="D95:D96"/>
    <mergeCell ref="G113:G116"/>
    <mergeCell ref="B131:B134"/>
    <mergeCell ref="C131:C132"/>
    <mergeCell ref="D131:D132"/>
    <mergeCell ref="E131:E134"/>
    <mergeCell ref="F131:F134"/>
    <mergeCell ref="G131:G134"/>
    <mergeCell ref="B78:G78"/>
    <mergeCell ref="G84:G87"/>
    <mergeCell ref="G16:H16"/>
    <mergeCell ref="G17:H17"/>
    <mergeCell ref="G19:H19"/>
    <mergeCell ref="G18:H18"/>
    <mergeCell ref="E38:E41"/>
    <mergeCell ref="F38:F41"/>
    <mergeCell ref="B30:G30"/>
    <mergeCell ref="B38:B41"/>
    <mergeCell ref="G21:H21"/>
    <mergeCell ref="G22:H22"/>
    <mergeCell ref="G23:H23"/>
    <mergeCell ref="B152:G152"/>
    <mergeCell ref="B149:G149"/>
    <mergeCell ref="J160:J161"/>
    <mergeCell ref="K160:N161"/>
    <mergeCell ref="K163:N164"/>
    <mergeCell ref="K155:N155"/>
    <mergeCell ref="H158:H159"/>
    <mergeCell ref="B156:G156"/>
    <mergeCell ref="B150:G150"/>
    <mergeCell ref="B151:G151"/>
    <mergeCell ref="K151:N151"/>
    <mergeCell ref="B10:G10"/>
    <mergeCell ref="B12:G12"/>
    <mergeCell ref="B8:G8"/>
    <mergeCell ref="B9:G9"/>
    <mergeCell ref="Y11:AA11"/>
    <mergeCell ref="Y12:AA12"/>
    <mergeCell ref="Y13:AA13"/>
    <mergeCell ref="Y14:AA14"/>
    <mergeCell ref="Y15:AA15"/>
    <mergeCell ref="B11:G11"/>
    <mergeCell ref="B15:F15"/>
    <mergeCell ref="G15:H15"/>
    <mergeCell ref="C408:I408"/>
    <mergeCell ref="B398:E398"/>
    <mergeCell ref="C403:I403"/>
    <mergeCell ref="C404:I404"/>
    <mergeCell ref="C405:I405"/>
    <mergeCell ref="C406:I406"/>
    <mergeCell ref="C407:I407"/>
    <mergeCell ref="C400:I400"/>
    <mergeCell ref="C401:I401"/>
    <mergeCell ref="C402:I402"/>
    <mergeCell ref="B75:G75"/>
    <mergeCell ref="B67:B69"/>
    <mergeCell ref="E67:E69"/>
    <mergeCell ref="F67:G69"/>
    <mergeCell ref="G56:I57"/>
    <mergeCell ref="B53:B55"/>
    <mergeCell ref="B77:G77"/>
    <mergeCell ref="B174:G174"/>
    <mergeCell ref="B157:G157"/>
    <mergeCell ref="B155:G155"/>
    <mergeCell ref="B158:G159"/>
    <mergeCell ref="G95:G98"/>
    <mergeCell ref="H95:H98"/>
    <mergeCell ref="B81:G81"/>
    <mergeCell ref="G63:I64"/>
    <mergeCell ref="F70:G70"/>
    <mergeCell ref="H73:J73"/>
    <mergeCell ref="E95:E98"/>
    <mergeCell ref="F95:F98"/>
    <mergeCell ref="B73:G73"/>
    <mergeCell ref="I144:I146"/>
    <mergeCell ref="J135:L143"/>
    <mergeCell ref="B74:G74"/>
    <mergeCell ref="B172:G172"/>
    <mergeCell ref="B175:G175"/>
    <mergeCell ref="B375:G375"/>
    <mergeCell ref="B377:G377"/>
    <mergeCell ref="B370:G370"/>
    <mergeCell ref="B355:G355"/>
    <mergeCell ref="B360:G360"/>
    <mergeCell ref="B374:G374"/>
    <mergeCell ref="B371:G372"/>
    <mergeCell ref="B210:G210"/>
    <mergeCell ref="B211:G211"/>
    <mergeCell ref="B198:G198"/>
    <mergeCell ref="B276:G276"/>
    <mergeCell ref="B300:G301"/>
    <mergeCell ref="B222:G222"/>
    <mergeCell ref="B287:G287"/>
    <mergeCell ref="B292:G292"/>
    <mergeCell ref="B327:G328"/>
    <mergeCell ref="B329:G329"/>
    <mergeCell ref="B348:G348"/>
    <mergeCell ref="B350:G350"/>
    <mergeCell ref="B283:G284"/>
    <mergeCell ref="B290:G290"/>
    <mergeCell ref="B332:G332"/>
    <mergeCell ref="B240:G240"/>
    <mergeCell ref="B173:G173"/>
    <mergeCell ref="B162:G162"/>
    <mergeCell ref="B166:G167"/>
    <mergeCell ref="H166:H167"/>
    <mergeCell ref="B209:G209"/>
    <mergeCell ref="B219:G219"/>
    <mergeCell ref="B201:G201"/>
    <mergeCell ref="B171:G171"/>
    <mergeCell ref="B185:G185"/>
    <mergeCell ref="B194:G194"/>
    <mergeCell ref="B193:G193"/>
    <mergeCell ref="B186:G186"/>
    <mergeCell ref="B192:G192"/>
    <mergeCell ref="B214:G214"/>
    <mergeCell ref="B215:G215"/>
    <mergeCell ref="B204:G205"/>
    <mergeCell ref="H204:H205"/>
    <mergeCell ref="B196:G196"/>
    <mergeCell ref="B197:G197"/>
    <mergeCell ref="B195:G195"/>
    <mergeCell ref="B178:G179"/>
    <mergeCell ref="B176:G176"/>
    <mergeCell ref="B177:G177"/>
    <mergeCell ref="B184:G184"/>
    <mergeCell ref="BS5:BS7"/>
    <mergeCell ref="BB5:BB7"/>
    <mergeCell ref="BM5:BM7"/>
    <mergeCell ref="BE5:BE7"/>
    <mergeCell ref="BC5:BC7"/>
    <mergeCell ref="Y6:AC7"/>
    <mergeCell ref="BG5:BG7"/>
    <mergeCell ref="BH5:BH7"/>
    <mergeCell ref="AW5:AW7"/>
    <mergeCell ref="AH5:AH6"/>
    <mergeCell ref="BI5:BI7"/>
    <mergeCell ref="AX5:AX7"/>
    <mergeCell ref="AJ5:AK7"/>
    <mergeCell ref="AG5:AG6"/>
    <mergeCell ref="BK5:BK7"/>
    <mergeCell ref="AM5:AM7"/>
    <mergeCell ref="AR5:AR7"/>
    <mergeCell ref="BO5:BO7"/>
    <mergeCell ref="AN5:AN7"/>
    <mergeCell ref="AO5:AO7"/>
    <mergeCell ref="AT5:AT7"/>
    <mergeCell ref="AU5:AU7"/>
    <mergeCell ref="AZ5:AZ7"/>
    <mergeCell ref="AB31:AB32"/>
    <mergeCell ref="J63:J64"/>
    <mergeCell ref="I38:J38"/>
    <mergeCell ref="G27:H27"/>
    <mergeCell ref="F60:F62"/>
    <mergeCell ref="I39:I41"/>
    <mergeCell ref="J39:J41"/>
    <mergeCell ref="J60:J62"/>
    <mergeCell ref="G60:I62"/>
    <mergeCell ref="J56:J57"/>
    <mergeCell ref="G53:I55"/>
    <mergeCell ref="B31:G31"/>
    <mergeCell ref="B27:F27"/>
    <mergeCell ref="B33:G33"/>
    <mergeCell ref="F53:F55"/>
    <mergeCell ref="B60:B62"/>
    <mergeCell ref="E60:E62"/>
    <mergeCell ref="B32:G32"/>
    <mergeCell ref="G38:H38"/>
    <mergeCell ref="H39:H41"/>
    <mergeCell ref="J53:J55"/>
    <mergeCell ref="E53:E55"/>
    <mergeCell ref="G39:G41"/>
    <mergeCell ref="AB26:AC26"/>
    <mergeCell ref="Y26:Z26"/>
    <mergeCell ref="AP5:AP7"/>
    <mergeCell ref="AQ5:AQ7"/>
    <mergeCell ref="G24:H24"/>
    <mergeCell ref="G25:H25"/>
    <mergeCell ref="B22:F22"/>
    <mergeCell ref="B20:F20"/>
    <mergeCell ref="G20:H20"/>
    <mergeCell ref="B23:F23"/>
    <mergeCell ref="B18:F18"/>
    <mergeCell ref="B25:F25"/>
    <mergeCell ref="G26:H26"/>
    <mergeCell ref="B19:F19"/>
    <mergeCell ref="B16:F16"/>
    <mergeCell ref="B17:F17"/>
    <mergeCell ref="B2:E5"/>
    <mergeCell ref="B24:F24"/>
    <mergeCell ref="Y16:AA16"/>
    <mergeCell ref="Y17:AA17"/>
    <mergeCell ref="Y18:AA18"/>
    <mergeCell ref="Y19:AA19"/>
    <mergeCell ref="B26:F26"/>
    <mergeCell ref="B21:F21"/>
    <mergeCell ref="H131:H134"/>
    <mergeCell ref="I95:I98"/>
    <mergeCell ref="J132:K134"/>
    <mergeCell ref="B95:B98"/>
    <mergeCell ref="B113:B116"/>
    <mergeCell ref="C113:C114"/>
    <mergeCell ref="D113:D114"/>
    <mergeCell ref="E113:E116"/>
    <mergeCell ref="F113:F116"/>
    <mergeCell ref="I113:L113"/>
    <mergeCell ref="H113:H116"/>
    <mergeCell ref="J95:K96"/>
    <mergeCell ref="I131:L131"/>
    <mergeCell ref="K247:N247"/>
    <mergeCell ref="I199:I200"/>
    <mergeCell ref="J199:J200"/>
    <mergeCell ref="B213:G213"/>
    <mergeCell ref="B227:G228"/>
    <mergeCell ref="B233:G233"/>
    <mergeCell ref="K233:N233"/>
    <mergeCell ref="K234:N235"/>
    <mergeCell ref="K231:N231"/>
    <mergeCell ref="B225:G225"/>
    <mergeCell ref="B199:G200"/>
    <mergeCell ref="H199:H200"/>
    <mergeCell ref="J234:J235"/>
    <mergeCell ref="H234:H235"/>
    <mergeCell ref="J227:J228"/>
    <mergeCell ref="K227:N228"/>
    <mergeCell ref="I227:I228"/>
    <mergeCell ref="H227:H228"/>
    <mergeCell ref="B232:G232"/>
    <mergeCell ref="K219:N219"/>
    <mergeCell ref="K226:N226"/>
    <mergeCell ref="K201:N201"/>
    <mergeCell ref="K221:N221"/>
    <mergeCell ref="K213:N213"/>
    <mergeCell ref="Q242:R242"/>
    <mergeCell ref="I248:I249"/>
    <mergeCell ref="I245:I246"/>
    <mergeCell ref="B234:G235"/>
    <mergeCell ref="K241:N241"/>
    <mergeCell ref="Q244:R244"/>
    <mergeCell ref="Q247:R247"/>
    <mergeCell ref="Q248:R248"/>
    <mergeCell ref="Q243:R243"/>
    <mergeCell ref="B241:G241"/>
    <mergeCell ref="B238:G238"/>
    <mergeCell ref="B239:G239"/>
    <mergeCell ref="J248:J249"/>
    <mergeCell ref="B243:G244"/>
    <mergeCell ref="H243:H244"/>
    <mergeCell ref="I243:I244"/>
    <mergeCell ref="J243:J244"/>
    <mergeCell ref="K243:N244"/>
    <mergeCell ref="B248:G249"/>
    <mergeCell ref="K248:N249"/>
    <mergeCell ref="H248:H249"/>
    <mergeCell ref="K245:N246"/>
    <mergeCell ref="K242:N242"/>
    <mergeCell ref="I234:I235"/>
    <mergeCell ref="K255:N255"/>
    <mergeCell ref="B250:G250"/>
    <mergeCell ref="B251:G252"/>
    <mergeCell ref="H251:H252"/>
    <mergeCell ref="B255:G255"/>
    <mergeCell ref="I256:I257"/>
    <mergeCell ref="K261:N261"/>
    <mergeCell ref="K260:N260"/>
    <mergeCell ref="B265:G265"/>
    <mergeCell ref="K262:N262"/>
    <mergeCell ref="B253:G253"/>
    <mergeCell ref="K282:N282"/>
    <mergeCell ref="B319:G319"/>
    <mergeCell ref="B314:G314"/>
    <mergeCell ref="K323:N323"/>
    <mergeCell ref="K325:N326"/>
    <mergeCell ref="K324:N324"/>
    <mergeCell ref="K268:N268"/>
    <mergeCell ref="K291:N291"/>
    <mergeCell ref="B247:G247"/>
    <mergeCell ref="K256:N257"/>
    <mergeCell ref="I251:I252"/>
    <mergeCell ref="J251:J252"/>
    <mergeCell ref="K251:N252"/>
    <mergeCell ref="B254:G254"/>
    <mergeCell ref="B256:G257"/>
    <mergeCell ref="H256:H257"/>
    <mergeCell ref="B261:G261"/>
    <mergeCell ref="B260:G260"/>
    <mergeCell ref="J256:J257"/>
    <mergeCell ref="B280:G280"/>
    <mergeCell ref="B288:G288"/>
    <mergeCell ref="B289:G289"/>
    <mergeCell ref="H283:H284"/>
    <mergeCell ref="I283:I284"/>
    <mergeCell ref="H260:J260"/>
    <mergeCell ref="B277:G277"/>
    <mergeCell ref="B278:G278"/>
    <mergeCell ref="B279:G279"/>
    <mergeCell ref="B274:G274"/>
    <mergeCell ref="B271:G273"/>
    <mergeCell ref="I342:I344"/>
    <mergeCell ref="J342:J344"/>
    <mergeCell ref="B345:G345"/>
    <mergeCell ref="H338:H339"/>
    <mergeCell ref="I338:I339"/>
    <mergeCell ref="J338:J339"/>
    <mergeCell ref="J271:J273"/>
    <mergeCell ref="B268:G268"/>
    <mergeCell ref="B336:G336"/>
    <mergeCell ref="B337:G337"/>
    <mergeCell ref="J266:J267"/>
    <mergeCell ref="B323:G323"/>
    <mergeCell ref="B322:G322"/>
    <mergeCell ref="B282:G282"/>
    <mergeCell ref="I266:I267"/>
    <mergeCell ref="B295:H296"/>
    <mergeCell ref="I295:I296"/>
    <mergeCell ref="J295:J296"/>
    <mergeCell ref="K351:N352"/>
    <mergeCell ref="B342:G344"/>
    <mergeCell ref="H342:H343"/>
    <mergeCell ref="B347:G347"/>
    <mergeCell ref="BU50:CB50"/>
    <mergeCell ref="BU58:CB58"/>
    <mergeCell ref="BU66:CB66"/>
    <mergeCell ref="B180:G181"/>
    <mergeCell ref="H180:H181"/>
    <mergeCell ref="K180:N181"/>
    <mergeCell ref="I180:I181"/>
    <mergeCell ref="J180:J181"/>
    <mergeCell ref="B325:G326"/>
    <mergeCell ref="P298:P299"/>
    <mergeCell ref="B187:G187"/>
    <mergeCell ref="K187:N187"/>
    <mergeCell ref="B80:G80"/>
    <mergeCell ref="B79:G79"/>
    <mergeCell ref="K319:N319"/>
    <mergeCell ref="B320:G320"/>
    <mergeCell ref="B321:G321"/>
    <mergeCell ref="B84:B87"/>
    <mergeCell ref="E84:E87"/>
    <mergeCell ref="F84:F87"/>
    <mergeCell ref="M131:R131"/>
    <mergeCell ref="I132:I134"/>
    <mergeCell ref="B275:G275"/>
    <mergeCell ref="K283:N284"/>
    <mergeCell ref="B306:G306"/>
    <mergeCell ref="K306:N306"/>
    <mergeCell ref="B262:G262"/>
    <mergeCell ref="B263:G263"/>
    <mergeCell ref="B291:G291"/>
    <mergeCell ref="K292:N292"/>
    <mergeCell ref="K266:N267"/>
    <mergeCell ref="J283:J284"/>
    <mergeCell ref="K263:N263"/>
    <mergeCell ref="K264:N264"/>
    <mergeCell ref="K265:N265"/>
    <mergeCell ref="B266:G267"/>
    <mergeCell ref="H266:H267"/>
    <mergeCell ref="K287:N287"/>
    <mergeCell ref="K288:N288"/>
    <mergeCell ref="K289:N289"/>
    <mergeCell ref="K290:N290"/>
    <mergeCell ref="B264:G264"/>
    <mergeCell ref="H271:H272"/>
    <mergeCell ref="I271:I273"/>
    <mergeCell ref="K337:N337"/>
    <mergeCell ref="B338:G339"/>
    <mergeCell ref="B324:G324"/>
    <mergeCell ref="B333:G334"/>
    <mergeCell ref="H333:H334"/>
    <mergeCell ref="I333:I334"/>
    <mergeCell ref="J333:J334"/>
    <mergeCell ref="K333:N334"/>
    <mergeCell ref="H325:H326"/>
    <mergeCell ref="I325:I326"/>
    <mergeCell ref="J325:J326"/>
    <mergeCell ref="H330:H331"/>
    <mergeCell ref="B335:G335"/>
    <mergeCell ref="H327:H328"/>
    <mergeCell ref="I327:I328"/>
    <mergeCell ref="J327:J328"/>
    <mergeCell ref="K327:N328"/>
    <mergeCell ref="K338:N339"/>
    <mergeCell ref="M132:M134"/>
    <mergeCell ref="N132:O134"/>
    <mergeCell ref="J245:J246"/>
    <mergeCell ref="K182:N183"/>
    <mergeCell ref="K197:N197"/>
    <mergeCell ref="J204:J205"/>
    <mergeCell ref="K204:N205"/>
    <mergeCell ref="K211:N211"/>
    <mergeCell ref="K199:N200"/>
    <mergeCell ref="O204:O205"/>
    <mergeCell ref="K165:N165"/>
    <mergeCell ref="J166:J167"/>
    <mergeCell ref="K166:N167"/>
    <mergeCell ref="K175:N175"/>
    <mergeCell ref="K176:N176"/>
    <mergeCell ref="K184:N184"/>
    <mergeCell ref="K185:N185"/>
    <mergeCell ref="K194:N194"/>
    <mergeCell ref="K195:N195"/>
    <mergeCell ref="J178:J179"/>
    <mergeCell ref="J182:J183"/>
    <mergeCell ref="K186:N186"/>
    <mergeCell ref="K192:N192"/>
    <mergeCell ref="K202:N203"/>
    <mergeCell ref="B220:G220"/>
    <mergeCell ref="B208:G208"/>
    <mergeCell ref="B202:G203"/>
    <mergeCell ref="H202:H203"/>
    <mergeCell ref="I202:I203"/>
    <mergeCell ref="B216:G216"/>
    <mergeCell ref="B212:G212"/>
    <mergeCell ref="K238:N238"/>
    <mergeCell ref="B245:G246"/>
    <mergeCell ref="I204:I205"/>
    <mergeCell ref="B242:G242"/>
    <mergeCell ref="H245:H246"/>
    <mergeCell ref="H238:J238"/>
    <mergeCell ref="B221:G221"/>
    <mergeCell ref="B231:G231"/>
    <mergeCell ref="K232:N232"/>
    <mergeCell ref="B226:G226"/>
    <mergeCell ref="J202:J203"/>
    <mergeCell ref="M95:N96"/>
    <mergeCell ref="O97:O98"/>
    <mergeCell ref="N121:O121"/>
    <mergeCell ref="N122:O122"/>
    <mergeCell ref="N123:O123"/>
    <mergeCell ref="N124:O124"/>
    <mergeCell ref="N125:O125"/>
    <mergeCell ref="J117:L125"/>
    <mergeCell ref="L97:L98"/>
    <mergeCell ref="N120:O120"/>
    <mergeCell ref="O108:O110"/>
    <mergeCell ref="S132:S134"/>
    <mergeCell ref="P144:P146"/>
    <mergeCell ref="V144:V146"/>
    <mergeCell ref="Q135:R143"/>
    <mergeCell ref="N136:O136"/>
    <mergeCell ref="N137:O137"/>
    <mergeCell ref="N138:O138"/>
    <mergeCell ref="N139:O139"/>
    <mergeCell ref="N140:O140"/>
    <mergeCell ref="N141:O141"/>
    <mergeCell ref="N142:O142"/>
    <mergeCell ref="N143:O143"/>
    <mergeCell ref="T137:U137"/>
    <mergeCell ref="T138:U138"/>
    <mergeCell ref="T139:U139"/>
    <mergeCell ref="T140:U140"/>
    <mergeCell ref="T141:U141"/>
    <mergeCell ref="T142:U142"/>
    <mergeCell ref="T143:U143"/>
    <mergeCell ref="Q132:R134"/>
    <mergeCell ref="V132:V134"/>
    <mergeCell ref="P132:P134"/>
    <mergeCell ref="N135:O135"/>
    <mergeCell ref="W329:Z329"/>
    <mergeCell ref="V330:V331"/>
    <mergeCell ref="W330:Z331"/>
    <mergeCell ref="V333:V334"/>
    <mergeCell ref="W333:Z334"/>
    <mergeCell ref="P327:S328"/>
    <mergeCell ref="P325:S326"/>
    <mergeCell ref="V327:V328"/>
    <mergeCell ref="W327:Z328"/>
    <mergeCell ref="P306:S306"/>
    <mergeCell ref="P307:S307"/>
    <mergeCell ref="P308:S309"/>
    <mergeCell ref="P312:S312"/>
    <mergeCell ref="P313:S313"/>
    <mergeCell ref="P314:S314"/>
    <mergeCell ref="P315:S316"/>
    <mergeCell ref="P319:S319"/>
    <mergeCell ref="P320:S320"/>
    <mergeCell ref="P321:S321"/>
    <mergeCell ref="P322:S322"/>
    <mergeCell ref="P323:S323"/>
    <mergeCell ref="P324:S324"/>
    <mergeCell ref="P329:S329"/>
    <mergeCell ref="P335:S335"/>
    <mergeCell ref="P336:S336"/>
    <mergeCell ref="P337:S337"/>
    <mergeCell ref="P338:S339"/>
    <mergeCell ref="W337:Z337"/>
    <mergeCell ref="V338:V339"/>
    <mergeCell ref="W338:Z339"/>
    <mergeCell ref="T338:T339"/>
    <mergeCell ref="U338:U339"/>
    <mergeCell ref="P330:S331"/>
    <mergeCell ref="P332:S332"/>
    <mergeCell ref="P333:S334"/>
    <mergeCell ref="T124:U124"/>
    <mergeCell ref="T125:U125"/>
    <mergeCell ref="T315:T316"/>
    <mergeCell ref="U315:U316"/>
    <mergeCell ref="T327:T328"/>
    <mergeCell ref="U327:U328"/>
    <mergeCell ref="T330:T331"/>
    <mergeCell ref="U330:U331"/>
    <mergeCell ref="T333:T334"/>
    <mergeCell ref="U333:U334"/>
    <mergeCell ref="S131:X131"/>
    <mergeCell ref="W135:X143"/>
    <mergeCell ref="W132:X134"/>
    <mergeCell ref="T132:U134"/>
    <mergeCell ref="T135:U135"/>
    <mergeCell ref="T136:U136"/>
    <mergeCell ref="W306:Z306"/>
    <mergeCell ref="W307:Z307"/>
    <mergeCell ref="T308:T309"/>
    <mergeCell ref="U308:U309"/>
    <mergeCell ref="V308:V309"/>
    <mergeCell ref="W308:Z309"/>
    <mergeCell ref="W312:Z312"/>
    <mergeCell ref="W313:Z313"/>
    <mergeCell ref="W314:Z314"/>
    <mergeCell ref="V315:V316"/>
    <mergeCell ref="W315:Z316"/>
    <mergeCell ref="T319:V319"/>
    <mergeCell ref="W319:Z319"/>
    <mergeCell ref="W322:Z322"/>
    <mergeCell ref="W323:Z323"/>
    <mergeCell ref="W324:Z324"/>
    <mergeCell ref="T325:T326"/>
    <mergeCell ref="U325:U326"/>
    <mergeCell ref="V325:V326"/>
    <mergeCell ref="W325:Z326"/>
    <mergeCell ref="W357:Z357"/>
    <mergeCell ref="W358:Z358"/>
    <mergeCell ref="W359:Z359"/>
    <mergeCell ref="V342:V344"/>
    <mergeCell ref="W360:Z360"/>
    <mergeCell ref="P342:S344"/>
    <mergeCell ref="K383:N383"/>
    <mergeCell ref="K384:N384"/>
    <mergeCell ref="P357:S357"/>
    <mergeCell ref="P358:S358"/>
    <mergeCell ref="P359:S359"/>
    <mergeCell ref="P360:S360"/>
    <mergeCell ref="P350:S350"/>
    <mergeCell ref="P351:S352"/>
    <mergeCell ref="P355:S355"/>
    <mergeCell ref="P356:S356"/>
    <mergeCell ref="W350:Z350"/>
    <mergeCell ref="T351:T352"/>
    <mergeCell ref="U351:U352"/>
    <mergeCell ref="V351:V352"/>
    <mergeCell ref="W351:Z352"/>
    <mergeCell ref="W355:Z355"/>
    <mergeCell ref="W356:Z356"/>
    <mergeCell ref="T342:T343"/>
    <mergeCell ref="U342:U344"/>
    <mergeCell ref="K370:N370"/>
    <mergeCell ref="K377:N377"/>
    <mergeCell ref="K379:N379"/>
    <mergeCell ref="K388:N388"/>
    <mergeCell ref="K389:N389"/>
    <mergeCell ref="K390:N390"/>
    <mergeCell ref="B383:G383"/>
    <mergeCell ref="B384:G384"/>
    <mergeCell ref="B388:G388"/>
    <mergeCell ref="B389:G389"/>
    <mergeCell ref="B390:G390"/>
    <mergeCell ref="B385:G385"/>
    <mergeCell ref="B386:G386"/>
    <mergeCell ref="B387:G387"/>
    <mergeCell ref="B378:G378"/>
    <mergeCell ref="B379:G379"/>
    <mergeCell ref="K355:N355"/>
    <mergeCell ref="K360:N360"/>
    <mergeCell ref="K356:N356"/>
    <mergeCell ref="K373:N373"/>
    <mergeCell ref="K374:N374"/>
    <mergeCell ref="H371:H372"/>
    <mergeCell ref="I371:I372"/>
  </mergeCells>
  <conditionalFormatting sqref="B28:I28 A27:J27">
    <cfRule type="expression" dxfId="1" priority="32">
      <formula>$G$15=$AB$8</formula>
    </cfRule>
  </conditionalFormatting>
  <conditionalFormatting sqref="B26:I26">
    <cfRule type="expression" dxfId="0" priority="34">
      <formula>$G$15=$AB$8</formula>
    </cfRule>
  </conditionalFormatting>
  <dataValidations disablePrompts="1" xWindow="372" yWindow="492" count="60">
    <dataValidation type="list" allowBlank="1" showInputMessage="1" showErrorMessage="1" error="Seleccione un valor de temperatura del agua" sqref="I30" xr:uid="{00000000-0002-0000-0400-000000000000}">
      <formula1>$AE$8:$AE$44</formula1>
    </dataValidation>
    <dataValidation type="decimal" allowBlank="1" showInputMessage="1" showErrorMessage="1" error="Ingrese un valor correcto de densidad relativa de arena" sqref="I75" xr:uid="{00000000-0002-0000-0400-000001000000}">
      <formula1>2.5</formula1>
      <formula2>2.7</formula2>
    </dataValidation>
    <dataValidation type="decimal" allowBlank="1" showInputMessage="1" showErrorMessage="1" error="Ingrese un valor de profundidad del lecho fijo de arena en el rango 0,6 - 0,75 m" sqref="I74" xr:uid="{00000000-0002-0000-0400-000002000000}">
      <formula1>0.6</formula1>
      <formula2>0.75</formula2>
    </dataValidation>
    <dataValidation type="custom" allowBlank="1" showInputMessage="1" showErrorMessage="1" sqref="I193" xr:uid="{00000000-0002-0000-0400-000003000000}">
      <formula1>#REF!</formula1>
    </dataValidation>
    <dataValidation type="decimal" allowBlank="1" showInputMessage="1" showErrorMessage="1" error="Ingrese un valor correcto para k1" sqref="I8" xr:uid="{00000000-0002-0000-0400-000004000000}">
      <formula1>1</formula1>
      <formula2>1.3</formula2>
    </dataValidation>
    <dataValidation type="decimal" allowBlank="1" showInputMessage="1" showErrorMessage="1" error="Ingrese un valor correcto para k2" sqref="I9" xr:uid="{00000000-0002-0000-0400-000005000000}">
      <formula1>1</formula1>
      <formula2>1.6</formula2>
    </dataValidation>
    <dataValidation type="list" allowBlank="1" showInputMessage="1" showErrorMessage="1" error="Seleccione un tipo de filtro" sqref="G15:H15" xr:uid="{00000000-0002-0000-0400-000006000000}">
      <formula1>$AA$8:$AC$8</formula1>
    </dataValidation>
    <dataValidation type="list" allowBlank="1" showInputMessage="1" showErrorMessage="1" error="Seleccione el sistema de drenaje del filtro" sqref="G18:H18" xr:uid="{00000000-0002-0000-0400-000007000000}">
      <formula1>$AB$20:$AB$22</formula1>
    </dataValidation>
    <dataValidation type="list" allowBlank="1" showInputMessage="1" showErrorMessage="1" sqref="I171" xr:uid="{00000000-0002-0000-0400-000008000000}">
      <formula1>$AW$8:$AW$12</formula1>
    </dataValidation>
    <dataValidation type="list" allowBlank="1" showInputMessage="1" showErrorMessage="1" sqref="I176" xr:uid="{00000000-0002-0000-0400-000009000000}">
      <formula1>$BE$8:$BE$11</formula1>
    </dataValidation>
    <dataValidation type="list" showInputMessage="1" showErrorMessage="1" error="Seleccione una sección transversal de múltiple_x000a_" sqref="I173" xr:uid="{00000000-0002-0000-0400-00000A000000}">
      <formula1>$BG$8:$BG$16</formula1>
    </dataValidation>
    <dataValidation type="list" showInputMessage="1" showErrorMessage="1" sqref="I208" xr:uid="{00000000-0002-0000-0400-00000B000000}">
      <formula1>$BM$8:$BM$13</formula1>
    </dataValidation>
    <dataValidation type="list" showInputMessage="1" showErrorMessage="1" sqref="I209" xr:uid="{00000000-0002-0000-0400-00000C000000}">
      <formula1>$BO$8:$BO$9</formula1>
    </dataValidation>
    <dataValidation type="list" allowBlank="1" showInputMessage="1" showErrorMessage="1" sqref="CL29:CM29" xr:uid="{00000000-0002-0000-0400-00000D000000}">
      <formula1>$CJ$28:$CJ$36</formula1>
    </dataValidation>
    <dataValidation type="list" allowBlank="1" showInputMessage="1" showErrorMessage="1" sqref="H238:J238" xr:uid="{00000000-0002-0000-0400-00000E000000}">
      <formula1>$BQ$8:$BQ$16</formula1>
    </dataValidation>
    <dataValidation type="decimal" allowBlank="1" showInputMessage="1" showErrorMessage="1" error="Ingrese un valor de f entre 0,00001 y 0,1" prompt="Introduzca un valor de f entre 0,00001 y 0,1" sqref="I332" xr:uid="{00000000-0002-0000-0400-00000F000000}">
      <formula1>0.00001</formula1>
      <formula2>0.1</formula2>
    </dataValidation>
    <dataValidation type="decimal" allowBlank="1" showInputMessage="1" showErrorMessage="1" error="Ingrese un valor de longitud entre 5 y 50 m" prompt="Ingrese un valor de longitud entre 5 y 50 m" sqref="I240" xr:uid="{00000000-0002-0000-0400-000010000000}">
      <formula1>5</formula1>
      <formula2>50</formula2>
    </dataValidation>
    <dataValidation allowBlank="1" showInputMessage="1" showErrorMessage="1" prompt="Introduzca un valor de longitud entre 5 y 50 m" sqref="I262" xr:uid="{00000000-0002-0000-0400-000011000000}"/>
    <dataValidation type="list" allowBlank="1" showInputMessage="1" showErrorMessage="1" sqref="B155:G155" xr:uid="{00000000-0002-0000-0400-000012000000}">
      <formula1>$AJ$8:$AJ$10</formula1>
    </dataValidation>
    <dataValidation type="list" allowBlank="1" showInputMessage="1" showErrorMessage="1" error="Seleccione una válvula en la tubería de lavado" prompt="Seleccione una válvula en la tubería de lavado" sqref="B274:G274 B345:G345 P345:S345" xr:uid="{00000000-0002-0000-0400-000013000000}">
      <formula1>$CE$8:$CE$9</formula1>
    </dataValidation>
    <dataValidation type="list" allowBlank="1" showDropDown="1" showInputMessage="1" showErrorMessage="1" error="Seleccione material de tubería" sqref="H319:J319 T319:V319" xr:uid="{00000000-0002-0000-0400-000014000000}">
      <formula1>$BQ$8:$BQ$16</formula1>
    </dataValidation>
    <dataValidation type="list" allowBlank="1" showInputMessage="1" showErrorMessage="1" error="Seleccione un accesorio en la tubería de lavado,siga el orden del listado" prompt="Seleccione un accesorio en la tubería de lavado" sqref="B275:G275" xr:uid="{00000000-0002-0000-0400-000015000000}">
      <formula1>$CE$10:$CE$12</formula1>
    </dataValidation>
    <dataValidation type="list" allowBlank="1" showInputMessage="1" showErrorMessage="1" error="Seleccione un accesorio en la tubería de lavado" prompt="Seleccione un accesorio en la tubería de lavado" sqref="B276:G276 B346:G346 P346:S346" xr:uid="{00000000-0002-0000-0400-000016000000}">
      <formula1>$CE$13:$CE$14</formula1>
    </dataValidation>
    <dataValidation type="list" allowBlank="1" showInputMessage="1" showErrorMessage="1" error="Seleccione un accesorio en la tubería de lavado" prompt="Seleccione un accesorio en la tubería de lavado_x000a_" sqref="B277:G277" xr:uid="{00000000-0002-0000-0400-000017000000}">
      <formula1>$CE$15:$CE$16</formula1>
    </dataValidation>
    <dataValidation type="list" showInputMessage="1" showErrorMessage="1" error="Seleccione un accesorio en la tubería de lavado" prompt="Seleccione un accesorio en la tubería de lavado" sqref="B278:G278" xr:uid="{00000000-0002-0000-0400-000018000000}">
      <formula1>$CE$17:$CE$18</formula1>
    </dataValidation>
    <dataValidation type="list" allowBlank="1" showInputMessage="1" showErrorMessage="1" error="Seleccione un accesorio en la tubería de lavado" prompt="Seleccione un accesorio en la tubería de lavado" sqref="B279:G279 B347:G347 P347:S347" xr:uid="{00000000-0002-0000-0400-000019000000}">
      <formula1>$CE$19:$CE$21</formula1>
    </dataValidation>
    <dataValidation type="list" allowBlank="1" showInputMessage="1" showErrorMessage="1" error="Seleccione un accesorio en la tubería de lavado" prompt="Seleccione un accesorio en la tubería de lavado" sqref="B280:G280 B348:G348 P348:S348" xr:uid="{00000000-0002-0000-0400-00001A000000}">
      <formula1>$CE$22:$CE$23</formula1>
    </dataValidation>
    <dataValidation type="list" allowBlank="1" showInputMessage="1" showErrorMessage="1" prompt="Coeficiente es 0.6 para orificios concéntricos de bordes afilados" sqref="I232" xr:uid="{00000000-0002-0000-0400-00001B000000}">
      <formula1>$BK$8:$BK$9</formula1>
    </dataValidation>
    <dataValidation type="list" allowBlank="1" showInputMessage="1" showErrorMessage="1" sqref="B290:G290" xr:uid="{00000000-0002-0000-0400-00001C000000}">
      <formula1>$DM$8:$DM$10</formula1>
    </dataValidation>
    <dataValidation type="list" allowBlank="1" showInputMessage="1" showErrorMessage="1" sqref="I370" xr:uid="{00000000-0002-0000-0400-00001D000000}">
      <formula1>$DO$8:$DO$13</formula1>
    </dataValidation>
    <dataValidation type="decimal" allowBlank="1" showInputMessage="1" showErrorMessage="1" error="Asuma inicialmente un espaciamiento entre ejes entre 1,2 y 2,0 metros" sqref="I364" xr:uid="{00000000-0002-0000-0400-00001E000000}">
      <formula1>1.2</formula1>
      <formula2>2</formula2>
    </dataValidation>
    <dataValidation type="list" allowBlank="1" showInputMessage="1" showErrorMessage="1" sqref="H73" xr:uid="{00000000-0002-0000-0400-00001F000000}">
      <formula1>$AM$8:$AM$13</formula1>
    </dataValidation>
    <dataValidation type="whole" allowBlank="1" showInputMessage="1" showErrorMessage="1" error="Constante de filtración de Fair - Hatch es 5 para lecho abierto" prompt="Constante de filtración de Fair - Hatch es 5 para lecho abierto" sqref="I77" xr:uid="{00000000-0002-0000-0400-000020000000}">
      <formula1>5</formula1>
      <formula2>5</formula2>
    </dataValidation>
    <dataValidation type="decimal" allowBlank="1" showInputMessage="1" showErrorMessage="1" error="Porosidad del medio filtrante debe ser aproximadamente 0,45" sqref="I76" xr:uid="{00000000-0002-0000-0400-000021000000}">
      <formula1>0.4</formula1>
      <formula2>0.48</formula2>
    </dataValidation>
    <dataValidation type="list" allowBlank="1" showDropDown="1" showInputMessage="1" showErrorMessage="1" sqref="H260:J260" xr:uid="{00000000-0002-0000-0400-000022000000}">
      <formula1>$BQ$8:$BQ$16</formula1>
    </dataValidation>
    <dataValidation type="decimal" allowBlank="1" showInputMessage="1" showErrorMessage="1" error="Ingrese un valor entre 1,5 y 2,5 teniendo en cuenta las dimensiones de los accesorios según DN de tubería del efluente" prompt="Introduzca un valor de longitud entre 5 y 50 m" sqref="I321" xr:uid="{00000000-0002-0000-0400-000023000000}">
      <formula1>1.5</formula1>
      <formula2>2.5</formula2>
    </dataValidation>
    <dataValidation type="whole" allowBlank="1" showInputMessage="1" showErrorMessage="1" error="Cantidad de Tee es 1 en tubería del efluente" sqref="I346 U346" xr:uid="{00000000-0002-0000-0400-000024000000}">
      <formula1>1</formula1>
      <formula2>1</formula2>
    </dataValidation>
    <dataValidation type="whole" allowBlank="1" showInputMessage="1" showErrorMessage="1" error="Cantidad de entradas a tubo es 1" sqref="I347 U347" xr:uid="{00000000-0002-0000-0400-000025000000}">
      <formula1>1</formula1>
      <formula2>1</formula2>
    </dataValidation>
    <dataValidation type="whole" allowBlank="1" showInputMessage="1" showErrorMessage="1" error="Cantidad de salidas del tubo es 1" sqref="I348 U348" xr:uid="{00000000-0002-0000-0400-000026000000}">
      <formula1>1</formula1>
      <formula2>1</formula2>
    </dataValidation>
    <dataValidation type="whole" allowBlank="1" showInputMessage="1" showErrorMessage="1" error="Cantidad de válvulas de compuerta es 1 en tubería del efluente" sqref="I345 U345" xr:uid="{00000000-0002-0000-0400-000027000000}">
      <formula1>1</formula1>
      <formula2>1</formula2>
    </dataValidation>
    <dataValidation type="whole" allowBlank="1" showInputMessage="1" showErrorMessage="1" sqref="B88" xr:uid="{00000000-0002-0000-0400-000028000000}">
      <formula1>1</formula1>
      <formula2>1</formula2>
    </dataValidation>
    <dataValidation type="decimal" allowBlank="1" showInputMessage="1" showErrorMessage="1" error="Rango de caudal: 0,01 - 0,50 m3/s " sqref="I10" xr:uid="{00000000-0002-0000-0400-000029000000}">
      <formula1>0.01</formula1>
      <formula2>0.2</formula2>
    </dataValidation>
    <dataValidation allowBlank="1" showInputMessage="1" showErrorMessage="1" prompt="Coeficiente es 0.6 para orificios concéntricos de bordes afilados" sqref="I313 U313" xr:uid="{00000000-0002-0000-0400-00002A000000}"/>
    <dataValidation type="list" allowBlank="1" showInputMessage="1" showErrorMessage="1" error="Seleccione un diámetro de tubo lateral" sqref="I177" xr:uid="{00000000-0002-0000-0400-00002B000000}">
      <formula1>$BB$8:$BB$12</formula1>
    </dataValidation>
    <dataValidation type="list" allowBlank="1" showInputMessage="1" showErrorMessage="1" error="Seleccione una distancia entre orificios" sqref="I172" xr:uid="{00000000-0002-0000-0400-00002C000000}">
      <formula1>$AZ$8:$AZ$12</formula1>
    </dataValidation>
    <dataValidation type="custom" allowBlank="1" showInputMessage="1" showErrorMessage="1" sqref="I32" xr:uid="{00000000-0002-0000-0400-00002D000000}">
      <formula1>IF(I30="…","",ROUND(VLOOKUP(I30,AE$9:AH$44,3,FALSE),9))</formula1>
    </dataValidation>
    <dataValidation allowBlank="1" showInputMessage="1" showErrorMessage="1" error="Ingrese un valor entre 1,5 y 2,5 teniendo en cuenta las dimensiones de los accesorios según DN de tubería del efluente" prompt="Introduzca un valor de longitud entre 5 y 50 m" sqref="U321" xr:uid="{00000000-0002-0000-0400-00002E000000}"/>
    <dataValidation type="decimal" allowBlank="1" showInputMessage="1" showErrorMessage="1" sqref="U332" xr:uid="{00000000-0002-0000-0400-00002F000000}">
      <formula1>0.00001</formula1>
      <formula2>0.1</formula2>
    </dataValidation>
    <dataValidation type="list" allowBlank="1" showInputMessage="1" showErrorMessage="1" sqref="I241" xr:uid="{00000000-0002-0000-0400-000030000000}">
      <formula1>IF(H238=$BQ$9,$BU$9:$BU$18,IF(H238=$BQ$10,$BU$20:$BU$30,IF(H238=$BQ$11,$BV$32:$BV$38,IF(H238=$BQ$12,$BV$40:$BV$49,IF(H238=$BQ$13,$BV$51:$BV$57,IF(H238=$BQ$14,$BV$59:$BV$65,IF(H238=$BQ$15,$BU$67:$BU$76,IF(H238=$BQ$16,$BU$78:$BU$87))))))))</formula1>
    </dataValidation>
    <dataValidation type="whole" allowBlank="1" showInputMessage="1" showErrorMessage="1" error="Cantidad de válvulas de compuerta es 1" sqref="I274" xr:uid="{00000000-0002-0000-0400-000031000000}">
      <formula1>VLOOKUP(B274,CE8:CG23,2,FALSE)</formula1>
      <formula2>VLOOKUP(B274,CE8:CG23,3,FALSE)</formula2>
    </dataValidation>
    <dataValidation type="whole" allowBlank="1" showInputMessage="1" showErrorMessage="1" error="Revise cantidad de accesorios Tee sentido recto" sqref="I276" xr:uid="{00000000-0002-0000-0400-000032000000}">
      <formula1>VLOOKUP(B276,CE8:CG23,2,FALSE)</formula1>
      <formula2>VLOOKUP(B276,CE8:CG23,3,FALSE)</formula2>
    </dataValidation>
    <dataValidation type="whole" allowBlank="1" showInputMessage="1" showErrorMessage="1" error="Revise cantidad de accesorios Tee sentido lateral" sqref="I277" xr:uid="{00000000-0002-0000-0400-000033000000}">
      <formula1>VLOOKUP(B277,CE8:CG23,2,FALSE)</formula1>
      <formula2>VLOOKUP(B277,CE8:CG23,3,FALSE)</formula2>
    </dataValidation>
    <dataValidation type="whole" allowBlank="1" showInputMessage="1" showErrorMessage="1" error="Revise cantidad de codos 90°" sqref="I275" xr:uid="{00000000-0002-0000-0400-000034000000}">
      <formula1>VLOOKUP(B275,CE8:CG23,2,FALSE)</formula1>
      <formula2>VLOOKUP(B275,CE8:CG23,3,FALSE)</formula2>
    </dataValidation>
    <dataValidation type="whole" allowBlank="1" showInputMessage="1" showErrorMessage="1" error="Revise cantidad de accesorios Unión" sqref="I278" xr:uid="{00000000-0002-0000-0400-000035000000}">
      <formula1>VLOOKUP(B278,CE8:CG23,2,FALSE)</formula1>
      <formula2>VLOOKUP(B278,CE8:CG23,3,FALSE)</formula2>
    </dataValidation>
    <dataValidation type="whole" allowBlank="1" showInputMessage="1" showErrorMessage="1" error="Cantidad de entradas a tubo es 1" sqref="I279" xr:uid="{00000000-0002-0000-0400-000036000000}">
      <formula1>VLOOKUP(B279,CE8:CG23,2,FALSE)</formula1>
      <formula2>VLOOKUP(B279,CE8:CG23,3,FALSE)</formula2>
    </dataValidation>
    <dataValidation type="whole" allowBlank="1" showInputMessage="1" showErrorMessage="1" error="Cantidad de salidas de tubo es 1" sqref="I280" xr:uid="{00000000-0002-0000-0400-000037000000}">
      <formula1>VLOOKUP(B280,CE8:CG23,2,FALSE)</formula1>
      <formula2>VLOOKUP(B280,CE8:CG23,3,FALSE)</formula2>
    </dataValidation>
    <dataValidation type="decimal" allowBlank="1" showInputMessage="1" showErrorMessage="1" error="Energía disponible de filtración entre 1,8 y 2,0 m" prompt="Energía disponible de filtración entre 1,8 y 2,0 m" sqref="I386" xr:uid="{00000000-0002-0000-0400-000038000000}">
      <formula1>1.8</formula1>
      <formula2>2</formula2>
    </dataValidation>
    <dataValidation type="decimal" allowBlank="1" showInputMessage="1" showErrorMessage="1" error="Ingrese un valor de borde libre entre 0,40 - 0,50 m" prompt="Ingrese un valor de borde libre entre 0,40 - 0,50 m" sqref="I388" xr:uid="{00000000-0002-0000-0400-000039000000}">
      <formula1>0.4</formula1>
      <formula2>0.5</formula2>
    </dataValidation>
    <dataValidation type="decimal" allowBlank="1" showInputMessage="1" showErrorMessage="1" error="Nivel de vertedero sobre el lecho fijo de arena: 0,15 - 0,20 m" prompt="Nivel de vertedero sobre el lecho fijo de arena: 0,15 - 0,20 m" sqref="I385" xr:uid="{00000000-0002-0000-0400-00003A000000}">
      <formula1>0.15</formula1>
      <formula2>0.2</formula2>
    </dataValidation>
    <dataValidation type="decimal" allowBlank="1" showInputMessage="1" showErrorMessage="1" error="Introduzca un valor de f entre 0,00001 y 0,1" prompt="Ingrese un valor de f entre 0,00001 y 0,1" sqref="I250" xr:uid="{00000000-0002-0000-0400-00003B000000}">
      <formula1>0.00001</formula1>
      <formula2>0.1</formula2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Floculador Alabama</vt:lpstr>
      <vt:lpstr>Sedimentador alta tasa</vt:lpstr>
      <vt:lpstr>Filtro rápido</vt:lpstr>
      <vt:lpstr>'Floculador Alabama'!Área_de_impresión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</dc:creator>
  <cp:lastModifiedBy>Sergio</cp:lastModifiedBy>
  <cp:lastPrinted>2022-02-02T23:22:19Z</cp:lastPrinted>
  <dcterms:created xsi:type="dcterms:W3CDTF">2021-03-13T14:20:49Z</dcterms:created>
  <dcterms:modified xsi:type="dcterms:W3CDTF">2022-05-15T23:26:07Z</dcterms:modified>
</cp:coreProperties>
</file>