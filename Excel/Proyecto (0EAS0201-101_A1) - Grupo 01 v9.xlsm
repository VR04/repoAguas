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7879FBAD-CAB4-44A6-A8D2-8C1FD30D2D7E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Floculador Alabama" sheetId="10" r:id="rId1"/>
    <sheet name="Sedimentador alta tasa" sheetId="9" r:id="rId2"/>
    <sheet name="Filtro rápido" sheetId="6" r:id="rId3"/>
  </sheets>
  <definedNames>
    <definedName name="_xlnm.Print_Area" localSheetId="0">'Floculador Alabama'!$B$10:$K$191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5" i="10" l="1"/>
  <c r="C54" i="10"/>
  <c r="C23" i="10"/>
  <c r="C41" i="10"/>
  <c r="C35" i="10"/>
  <c r="C48" i="10"/>
  <c r="AD4" i="10"/>
  <c r="C29" i="10"/>
  <c r="C19" i="10"/>
  <c r="B193" i="6" l="1"/>
  <c r="K38" i="9"/>
  <c r="C175" i="10"/>
  <c r="C174" i="10"/>
  <c r="C163" i="10"/>
  <c r="C162" i="10"/>
  <c r="C151" i="10"/>
  <c r="C150" i="10"/>
  <c r="C139" i="10"/>
  <c r="C138" i="10"/>
  <c r="C127" i="10"/>
  <c r="C126" i="10"/>
  <c r="C115" i="10"/>
  <c r="C114" i="10"/>
  <c r="C103" i="10"/>
  <c r="C102" i="10"/>
  <c r="C91" i="10"/>
  <c r="C90" i="10"/>
  <c r="C79" i="10"/>
  <c r="C78" i="10"/>
  <c r="C67" i="10"/>
  <c r="C66" i="10"/>
  <c r="B45" i="10"/>
  <c r="AD39" i="10"/>
  <c r="AD38" i="10"/>
  <c r="AD37" i="10"/>
  <c r="AD36" i="10"/>
  <c r="AD35" i="10"/>
  <c r="AD34" i="10"/>
  <c r="AD33" i="10"/>
  <c r="AD32" i="10"/>
  <c r="AD31" i="10"/>
  <c r="AD30" i="10"/>
  <c r="AD29" i="10"/>
  <c r="AD28" i="10"/>
  <c r="C28" i="10"/>
  <c r="AD27" i="10"/>
  <c r="C27" i="10"/>
  <c r="AD26" i="10"/>
  <c r="AD25" i="10"/>
  <c r="AD24" i="10"/>
  <c r="AD23" i="10"/>
  <c r="AD22" i="10"/>
  <c r="AD21" i="10"/>
  <c r="C21" i="10"/>
  <c r="AD20" i="10"/>
  <c r="AD19" i="10"/>
  <c r="AD18" i="10"/>
  <c r="AD17" i="10"/>
  <c r="C17" i="10"/>
  <c r="C18" i="10" s="1"/>
  <c r="AD16" i="10"/>
  <c r="C16" i="10"/>
  <c r="AD15" i="10"/>
  <c r="AD14" i="10"/>
  <c r="C14" i="10"/>
  <c r="C178" i="10" s="1"/>
  <c r="AD13" i="10"/>
  <c r="AD12" i="10"/>
  <c r="AD11" i="10"/>
  <c r="AD10" i="10"/>
  <c r="AD9" i="10"/>
  <c r="AD8" i="10"/>
  <c r="AD7" i="10"/>
  <c r="AD6" i="10"/>
  <c r="AD5" i="10"/>
  <c r="C39" i="10" l="1"/>
  <c r="C56" i="10"/>
  <c r="C94" i="10"/>
  <c r="C104" i="10"/>
  <c r="C142" i="10"/>
  <c r="C152" i="10"/>
  <c r="C154" i="10"/>
  <c r="C58" i="10"/>
  <c r="C68" i="10"/>
  <c r="C164" i="10"/>
  <c r="C37" i="10"/>
  <c r="C70" i="10"/>
  <c r="C80" i="10"/>
  <c r="C118" i="10"/>
  <c r="C128" i="10"/>
  <c r="C166" i="10"/>
  <c r="C176" i="10"/>
  <c r="C106" i="10"/>
  <c r="C116" i="10"/>
  <c r="C82" i="10"/>
  <c r="C92" i="10"/>
  <c r="C130" i="10"/>
  <c r="C140" i="10"/>
  <c r="C59" i="10" l="1"/>
  <c r="C155" i="10"/>
  <c r="C71" i="10"/>
  <c r="C131" i="10"/>
  <c r="C38" i="10"/>
  <c r="C177" i="10"/>
  <c r="C179" i="10" s="1"/>
  <c r="C129" i="10"/>
  <c r="C81" i="10"/>
  <c r="C83" i="10" s="1"/>
  <c r="C105" i="10"/>
  <c r="C107" i="10" s="1"/>
  <c r="C40" i="10"/>
  <c r="C42" i="10" s="1"/>
  <c r="C43" i="10" s="1"/>
  <c r="C165" i="10"/>
  <c r="C167" i="10" s="1"/>
  <c r="C117" i="10"/>
  <c r="C119" i="10" s="1"/>
  <c r="C69" i="10"/>
  <c r="C153" i="10"/>
  <c r="C57" i="10"/>
  <c r="C141" i="10"/>
  <c r="C143" i="10" s="1"/>
  <c r="C93" i="10"/>
  <c r="C95" i="10" s="1"/>
  <c r="C44" i="10" l="1"/>
  <c r="C47" i="10"/>
  <c r="C98" i="10"/>
  <c r="C96" i="10"/>
  <c r="C86" i="10"/>
  <c r="C84" i="10"/>
  <c r="C182" i="10"/>
  <c r="C180" i="10"/>
  <c r="C120" i="10"/>
  <c r="C122" i="10"/>
  <c r="C110" i="10"/>
  <c r="C108" i="10"/>
  <c r="C146" i="10"/>
  <c r="C144" i="10"/>
  <c r="C168" i="10"/>
  <c r="C170" i="10"/>
  <c r="C156" i="10"/>
  <c r="C158" i="10"/>
  <c r="C60" i="10"/>
  <c r="C62" i="10"/>
  <c r="C134" i="10"/>
  <c r="C132" i="10"/>
  <c r="C72" i="10"/>
  <c r="C74" i="10"/>
  <c r="E72" i="10" l="1"/>
  <c r="C73" i="10"/>
  <c r="C85" i="10"/>
  <c r="E84" i="10"/>
  <c r="E120" i="10"/>
  <c r="C121" i="10"/>
  <c r="D186" i="10"/>
  <c r="F186" i="10" s="1"/>
  <c r="C181" i="10"/>
  <c r="E180" i="10"/>
  <c r="E168" i="10"/>
  <c r="C169" i="10"/>
  <c r="C145" i="10"/>
  <c r="E144" i="10"/>
  <c r="C109" i="10"/>
  <c r="E108" i="10"/>
  <c r="C61" i="10"/>
  <c r="E60" i="10"/>
  <c r="C157" i="10"/>
  <c r="E156" i="10"/>
  <c r="C49" i="10"/>
  <c r="C50" i="10" s="1"/>
  <c r="C46" i="10"/>
  <c r="C45" i="10"/>
  <c r="D185" i="10"/>
  <c r="F185" i="10" s="1"/>
  <c r="C133" i="10"/>
  <c r="E132" i="10"/>
  <c r="C97" i="10"/>
  <c r="E96" i="10"/>
  <c r="G107" i="9" l="1"/>
  <c r="G109" i="9" s="1"/>
  <c r="G112" i="9" s="1"/>
  <c r="G114" i="9"/>
  <c r="E57" i="6"/>
  <c r="E56" i="6"/>
  <c r="G100" i="9"/>
  <c r="G74" i="9"/>
  <c r="G76" i="9" s="1"/>
  <c r="B69" i="9"/>
  <c r="B58" i="9"/>
  <c r="G53" i="9"/>
  <c r="G60" i="9" s="1"/>
  <c r="G52" i="9"/>
  <c r="G101" i="9" s="1"/>
  <c r="B48" i="9"/>
  <c r="B41" i="9"/>
  <c r="B56" i="9"/>
  <c r="B51" i="9"/>
  <c r="B52" i="9"/>
  <c r="B40" i="9"/>
  <c r="B39" i="9"/>
  <c r="T102" i="6"/>
  <c r="T103" i="6"/>
  <c r="G33" i="9"/>
  <c r="G32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94" i="9" l="1"/>
  <c r="G96" i="9"/>
  <c r="G81" i="9"/>
  <c r="AF12" i="9"/>
  <c r="AH10" i="9"/>
  <c r="AE10" i="9"/>
  <c r="AE11" i="9"/>
  <c r="AE12" i="9"/>
  <c r="AF11" i="9"/>
  <c r="AG10" i="9"/>
  <c r="AF10" i="9"/>
  <c r="AJ7" i="9"/>
  <c r="AN7" i="9"/>
  <c r="AR7" i="9"/>
  <c r="G98" i="9" l="1"/>
  <c r="G41" i="9"/>
  <c r="G56" i="9" s="1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M66" i="9" l="1"/>
  <c r="I384" i="6"/>
  <c r="I383" i="6"/>
  <c r="I307" i="6"/>
  <c r="I390" i="6" l="1"/>
  <c r="I391" i="6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I306" i="6" l="1"/>
  <c r="I308" i="6" s="1"/>
  <c r="I312" i="6"/>
  <c r="I80" i="6"/>
  <c r="I78" i="6"/>
  <c r="I79" i="6"/>
  <c r="E136" i="6" l="1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s="1"/>
  <c r="G116" i="9" l="1"/>
  <c r="G118" i="9" s="1"/>
  <c r="G122" i="9" s="1"/>
  <c r="G85" i="9"/>
  <c r="M99" i="9" s="1"/>
  <c r="G102" i="9"/>
  <c r="G120" i="9" l="1"/>
  <c r="M121" i="9" s="1"/>
  <c r="G8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A89EF312-21CF-465F-A6A2-F26CE584289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5B23A54D-0F3D-4012-B30E-342D656B3FB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5532E5F8-F05A-4D8B-9703-C2986C2A7FE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40482F2E-575D-4331-9368-ED242928B14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2222F8B-5121-4F86-A5E3-1493FF1DDA13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29" authorId="0" shapeId="0" xr:uid="{F81E4AE3-0FE8-40EC-83D1-C464ACFB3835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2" authorId="0" shapeId="0" xr:uid="{C13271B4-80EF-452F-BF6D-431E1B4FA17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3" authorId="0" shapeId="0" xr:uid="{E1CEAF48-CC90-4BC8-BEDE-D0A595C031D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<sst xmlns="http://schemas.openxmlformats.org/spreadsheetml/2006/main" count="1501" uniqueCount="771">
  <si>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</si>
  <si>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</si>
  <si>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</si>
  <si>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</si>
  <si>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</si>
  <si>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</si>
  <si>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</si>
  <si>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</si>
  <si>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</si>
  <si>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</si>
  <si>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</si>
  <si>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</si>
  <si>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</si>
  <si>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</si>
  <si>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</si>
  <si>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</si>
  <si>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</si>
  <si>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</si>
  <si>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</si>
  <si>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</si>
  <si>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</si>
  <si>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</si>
  <si>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</si>
  <si>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</si>
  <si>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</si>
  <si>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</si>
  <si>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</si>
  <si>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</si>
  <si>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</si>
  <si>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</si>
  <si>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</si>
  <si>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</si>
  <si>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</si>
  <si>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</si>
  <si>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</si>
  <si>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</si>
  <si>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</si>
  <si>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</si>
  <si>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</si>
  <si>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</si>
  <si>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</si>
  <si>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</si>
  <si>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</si>
  <si>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</si>
  <si>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</si>
  <si>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</si>
  <si>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</si>
  <si>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</si>
  <si>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</si>
  <si>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</si>
  <si>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</si>
  <si>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</si>
  <si>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</si>
  <si>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</si>
  <si>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</si>
  <si>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</si>
  <si>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</si>
  <si>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</si>
  <si>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</si>
  <si>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</si>
  <si>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</si>
  <si>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</si>
  <si>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</si>
  <si>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</si>
  <si>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</si>
  <si>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</si>
  <si>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</si>
  <si>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</si>
  <si>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</si>
  <si>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</si>
  <si>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</si>
  <si>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</si>
  <si>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</si>
  <si>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</si>
  <si>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</si>
  <si>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</si>
  <si>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</si>
  <si>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</si>
  <si>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</si>
  <si>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</si>
  <si>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</si>
  <si>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</si>
  <si>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</si>
  <si>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</si>
  <si>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</si>
  <si>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</si>
  <si>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</si>
  <si>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</si>
  <si>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</si>
  <si>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</si>
  <si>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</si>
  <si>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</si>
  <si>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</si>
  <si>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</si>
  <si>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</si>
  <si>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</si>
  <si>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</si>
  <si>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</si>
  <si>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</si>
  <si>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</si>
  <si>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</si>
  <si>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</si>
  <si>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</si>
  <si>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</si>
  <si>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</si>
  <si>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</si>
  <si>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</si>
  <si>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</si>
  <si>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</si>
  <si>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</si>
  <si>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</si>
  <si>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</si>
  <si>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</si>
  <si>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</si>
  <si>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</si>
  <si>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</si>
  <si>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</si>
  <si>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</si>
  <si>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</si>
  <si>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</si>
  <si>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</si>
  <si>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</si>
  <si>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</si>
  <si>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</si>
  <si>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</si>
  <si>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</si>
  <si>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</si>
  <si>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</si>
  <si>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</si>
  <si>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</si>
  <si>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</si>
  <si>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</si>
  <si>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</si>
  <si>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</si>
  <si>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</si>
  <si>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</si>
  <si>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</si>
  <si>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</si>
  <si>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</si>
  <si>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</si>
  <si>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</si>
  <si>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</si>
  <si>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</si>
  <si>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</si>
  <si>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</si>
  <si>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</si>
  <si>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</si>
  <si>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</si>
  <si>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</si>
  <si>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</si>
  <si>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</si>
  <si>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</si>
  <si>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</si>
  <si>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</si>
  <si>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</si>
  <si>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</si>
  <si>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</si>
  <si>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</si>
  <si>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</si>
  <si>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</si>
  <si>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</si>
  <si>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</si>
  <si>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</si>
  <si>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</si>
  <si>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</si>
  <si>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</si>
  <si>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</si>
  <si>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</si>
  <si>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</si>
  <si>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</si>
  <si>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</si>
  <si>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</si>
  <si>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</si>
  <si>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</si>
  <si>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</si>
  <si>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</si>
  <si>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</si>
  <si>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</si>
  <si>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</si>
  <si>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</si>
  <si>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</si>
  <si>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</si>
  <si>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</si>
  <si>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</si>
  <si>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</si>
  <si>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</si>
  <si>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</si>
  <si>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</si>
  <si>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</si>
  <si>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</si>
  <si>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</si>
  <si>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</si>
  <si>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</si>
  <si>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</si>
  <si>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</si>
  <si>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</si>
  <si>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</si>
  <si>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</si>
  <si>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</si>
  <si>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</si>
  <si>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</si>
  <si>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</si>
  <si>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</si>
  <si>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</si>
  <si>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</si>
  <si>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</si>
  <si>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</si>
  <si>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</si>
  <si>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</si>
  <si>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</si>
  <si>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</si>
  <si>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</si>
  <si>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</si>
  <si>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</si>
  <si>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</si>
  <si>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</si>
  <si>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</si>
  <si>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</si>
  <si>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</si>
  <si>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</si>
  <si>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</si>
  <si>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</si>
  <si>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</si>
  <si>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</si>
  <si>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</si>
  <si>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</si>
  <si>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</si>
  <si>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</si>
  <si>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</si>
  <si>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</si>
  <si>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</si>
  <si>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</si>
  <si>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</si>
  <si>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</si>
  <si>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</si>
  <si>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</si>
  <si>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</si>
  <si>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</si>
  <si>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</si>
  <si>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</si>
  <si>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</si>
  <si>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</si>
  <si>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</si>
  <si>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</si>
  <si>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</si>
  <si>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</si>
  <si>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</si>
  <si>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</si>
  <si>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</si>
  <si>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</si>
  <si>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</si>
  <si>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</si>
  <si>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</si>
  <si>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</si>
  <si>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</si>
  <si>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</si>
  <si>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</si>
  <si>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</si>
  <si>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</si>
  <si>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</si>
  <si>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</si>
  <si>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</si>
  <si>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</si>
  <si>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</si>
  <si>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</si>
  <si>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</si>
  <si>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</si>
  <si>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</si>
  <si>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</si>
  <si>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</si>
  <si>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</si>
  <si>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</si>
  <si>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</si>
  <si>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</si>
  <si>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</si>
  <si>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</si>
  <si>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</si>
  <si>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</si>
  <si>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</si>
  <si>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</si>
  <si>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</si>
  <si>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</si>
  <si>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</si>
  <si>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</si>
  <si>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</si>
  <si>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</si>
  <si>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</si>
  <si>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</si>
  <si>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</si>
  <si>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</si>
  <si>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</si>
  <si>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</si>
  <si>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</si>
  <si>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</si>
  <si>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</si>
  <si>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</si>
  <si>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</si>
  <si>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</si>
  <si>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</si>
  <si>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</si>
  <si>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</si>
  <si>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</si>
  <si>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</si>
  <si>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</si>
  <si>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</si>
  <si>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</si>
  <si>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</si>
  <si>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</si>
  <si>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</si>
  <si>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</si>
  <si>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</si>
  <si>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</si>
  <si>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</si>
  <si>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</si>
  <si>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</si>
  <si>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</si>
  <si>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</si>
  <si>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</si>
  <si>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</si>
  <si>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</si>
  <si>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</si>
  <si>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</si>
  <si>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</si>
  <si>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</si>
  <si>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</si>
  <si>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</si>
  <si>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</si>
  <si>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</si>
  <si>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</si>
  <si>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</si>
  <si>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</si>
  <si>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</si>
  <si>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</si>
  <si>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</si>
  <si>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</si>
  <si>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</si>
  <si>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</si>
  <si>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</si>
  <si>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</si>
  <si>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</si>
  <si>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</si>
  <si>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</si>
  <si>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</si>
  <si>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</si>
  <si>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</si>
  <si>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</si>
  <si>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</si>
  <si>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</si>
  <si>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</si>
  <si>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</si>
  <si>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</si>
  <si>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</si>
  <si>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</si>
  <si>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</si>
  <si>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</si>
  <si>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</si>
  <si>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</si>
  <si>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</si>
  <si>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</si>
  <si>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</si>
  <si>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</si>
  <si>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</si>
  <si>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</si>
  <si>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</si>
  <si>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</si>
  <si>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</si>
  <si>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</si>
  <si>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</si>
  <si>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</si>
  <si>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</si>
  <si>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</si>
  <si>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</si>
  <si>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</si>
  <si>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</si>
  <si>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</si>
  <si>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</si>
  <si>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</si>
  <si>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</si>
  <si>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</si>
  <si>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</si>
  <si>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</si>
  <si>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</si>
  <si>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</si>
  <si>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</si>
  <si>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</si>
  <si>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</si>
  <si>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</si>
  <si>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</si>
  <si>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</si>
  <si>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</si>
  <si>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</si>
  <si>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</si>
  <si>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</si>
  <si>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</si>
  <si>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</si>
  <si>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</si>
  <si>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</si>
  <si>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</si>
  <si>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</si>
  <si>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</si>
  <si>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</si>
  <si>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</si>
  <si>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</si>
  <si>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</si>
  <si>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</si>
  <si>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</si>
  <si>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</si>
  <si>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</si>
  <si>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</si>
  <si>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</si>
  <si>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</si>
  <si>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</si>
  <si>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</si>
  <si>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</si>
  <si>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</si>
  <si>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</si>
  <si>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</si>
  <si>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</si>
  <si>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</si>
  <si>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</si>
  <si>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</si>
  <si>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</si>
  <si>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</si>
  <si>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</si>
  <si>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</si>
  <si>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</si>
  <si>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</si>
  <si>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</si>
  <si>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</si>
  <si>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</si>
  <si>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</si>
  <si>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</si>
  <si>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</si>
  <si>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</si>
  <si>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</si>
  <si>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</si>
  <si>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</si>
  <si>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</si>
  <si>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</si>
  <si>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</si>
  <si>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</si>
  <si>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</si>
  <si>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</si>
  <si>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</si>
  <si>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</si>
  <si>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</si>
  <si>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</si>
  <si>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</si>
  <si>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</si>
  <si>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</si>
  <si>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</si>
  <si>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</si>
  <si>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</si>
  <si>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</si>
  <si>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</si>
  <si>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</si>
  <si>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</si>
  <si>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</si>
  <si>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</si>
  <si>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</si>
  <si>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</si>
  <si>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</si>
  <si>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</si>
  <si>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</si>
  <si>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</si>
  <si>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</si>
  <si>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</si>
  <si>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</si>
  <si>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</si>
  <si>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</si>
  <si>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</si>
  <si>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</si>
  <si>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</si>
  <si>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</si>
  <si>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</si>
  <si>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</si>
  <si>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</si>
  <si>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</si>
  <si>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</si>
  <si>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</si>
  <si>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</si>
  <si>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</si>
  <si>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</si>
  <si>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</si>
  <si>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</si>
  <si>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</si>
  <si>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</si>
  <si>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</si>
  <si>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</si>
  <si>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</si>
  <si>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</si>
  <si>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</si>
  <si>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</si>
  <si>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</si>
  <si>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</si>
  <si>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</si>
  <si>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</si>
  <si>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</si>
  <si>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</si>
  <si>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</si>
  <si>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</si>
  <si>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</si>
  <si>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</si>
  <si>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</si>
  <si>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</si>
  <si>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</si>
  <si>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</si>
  <si>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</si>
  <si>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</si>
  <si>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</si>
  <si>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</si>
  <si>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</si>
  <si>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</si>
  <si>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</si>
  <si>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</si>
  <si>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</si>
  <si>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</si>
  <si>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</si>
  <si>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</si>
  <si>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</si>
  <si>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</si>
  <si>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</si>
  <si>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</si>
  <si>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</si>
  <si>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</si>
  <si>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</si>
  <si>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</si>
  <si>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</si>
  <si>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</si>
  <si>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</si>
  <si>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</si>
  <si>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</si>
  <si>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</si>
  <si>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</si>
  <si>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</si>
  <si>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</si>
  <si>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</si>
  <si>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</si>
  <si>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</si>
  <si>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</si>
  <si>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</si>
  <si>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</si>
  <si>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</si>
  <si>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</si>
  <si>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</si>
  <si>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</si>
  <si>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</si>
  <si>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</si>
  <si>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</si>
  <si>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</si>
  <si>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</si>
  <si>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</si>
  <si>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</si>
  <si>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</si>
  <si>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</si>
  <si>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</si>
  <si>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</si>
  <si>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</si>
  <si>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</si>
  <si>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</si>
  <si>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</si>
  <si>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</si>
  <si>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</si>
  <si>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</si>
  <si>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</si>
  <si>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</si>
  <si>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</si>
  <si>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</si>
  <si>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</si>
  <si>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</si>
  <si>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</si>
  <si>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</si>
  <si>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</si>
  <si>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</si>
  <si>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</si>
  <si>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</si>
  <si>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</si>
  <si>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</si>
  <si>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</si>
  <si>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</si>
  <si>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</si>
  <si>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</si>
  <si>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</si>
  <si>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</si>
  <si>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</si>
  <si>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</si>
  <si>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</si>
  <si>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</si>
  <si>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</si>
  <si>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</si>
  <si>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</si>
  <si>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</si>
  <si>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</si>
  <si>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</si>
  <si>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</si>
  <si>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</si>
  <si>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</si>
  <si>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</si>
  <si>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</si>
  <si>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</si>
  <si>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</si>
  <si>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</si>
  <si>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</si>
  <si>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</si>
  <si>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</si>
  <si>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</si>
  <si>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</si>
  <si>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</si>
  <si>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</si>
  <si>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</si>
  <si>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</si>
  <si>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</si>
  <si>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</si>
  <si>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</si>
  <si>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</si>
  <si>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</si>
  <si>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</si>
  <si>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</si>
  <si>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</si>
  <si>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</si>
  <si>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</si>
  <si>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</si>
  <si>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</si>
  <si>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</si>
  <si>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</si>
  <si>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</si>
  <si>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</si>
  <si>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</si>
  <si>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</si>
  <si>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</si>
  <si>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</si>
  <si>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</si>
  <si>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</si>
  <si>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</si>
  <si>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</si>
  <si>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</si>
  <si>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</si>
  <si>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</si>
  <si>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</si>
  <si>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</si>
  <si>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</si>
  <si>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</si>
  <si>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</si>
  <si>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</si>
  <si>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</si>
  <si>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</si>
  <si>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</si>
  <si>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</si>
  <si>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</si>
  <si>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</si>
  <si>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</si>
  <si>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</si>
  <si>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</si>
  <si>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</si>
  <si>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</si>
  <si>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</si>
  <si>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</si>
  <si>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</si>
  <si>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</si>
  <si>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</si>
  <si>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</si>
  <si>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</si>
  <si>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</si>
  <si>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</si>
  <si>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</si>
  <si>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</si>
  <si>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</si>
  <si>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</si>
  <si>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</si>
  <si>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</si>
  <si>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</si>
  <si>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</si>
  <si>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</si>
  <si>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</si>
  <si>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</si>
  <si>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</si>
  <si>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</si>
  <si>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</si>
  <si>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</si>
  <si>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</si>
  <si>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</si>
  <si>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</si>
  <si>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</si>
  <si>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</si>
  <si>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</si>
  <si>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</si>
  <si>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</si>
  <si>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</si>
  <si>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</si>
  <si>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</si>
  <si>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</si>
  <si>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</si>
  <si>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</si>
  <si>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</si>
  <si>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</si>
  <si>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</si>
  <si>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</si>
  <si>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</si>
  <si>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</si>
  <si>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</si>
  <si>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</si>
  <si>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</si>
  <si>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</si>
  <si>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</si>
  <si>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</si>
  <si>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</si>
  <si>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</si>
  <si>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</si>
  <si>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</si>
  <si>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</si>
  <si>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</si>
  <si>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</si>
  <si>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</si>
  <si>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</si>
  <si>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</si>
  <si>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</si>
  <si>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</si>
  <si>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</si>
  <si>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</si>
  <si>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</si>
  <si>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</si>
  <si>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</si>
  <si>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</si>
  <si>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</si>
  <si>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</si>
  <si>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</si>
  <si>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</si>
  <si>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</si>
  <si>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</si>
  <si>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</si>
  <si>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</si>
  <si>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</si>
  <si>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</si>
  <si>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</si>
  <si>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</si>
  <si>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</si>
  <si>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</si>
  <si>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</si>
  <si>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</si>
  <si>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</si>
  <si>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</si>
  <si>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</si>
  <si>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</si>
  <si>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</si>
  <si>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</si>
  <si>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</si>
  <si>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</si>
  <si>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</si>
  <si>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</si>
  <si>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</si>
  <si>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</si>
  <si>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</si>
  <si>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</si>
  <si>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</si>
  <si>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</si>
  <si>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</si>
  <si>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</si>
  <si>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Temperatura T</t>
  </si>
  <si>
    <t>Densidad ρ</t>
  </si>
  <si>
    <t>Columna1</t>
  </si>
  <si>
    <t>Diametro interconexión (D) m</t>
  </si>
  <si>
    <t>Viscocidad Dinamica del agua (µ)</t>
  </si>
  <si>
    <t>N.s/m2</t>
  </si>
  <si>
    <t>Viscocidad Cinematica del agua (v)</t>
  </si>
  <si>
    <t>Estabilidad del floculo (S)</t>
  </si>
  <si>
    <t>Estabilidad del floculo</t>
  </si>
  <si>
    <t>DETERMINACIÓN DE CARACTERÍSTICAS PRINCIPALES DEL SEDIMENTADOR</t>
  </si>
  <si>
    <t>Entrada</t>
  </si>
  <si>
    <t>Valor fijo</t>
  </si>
  <si>
    <t>¿20?</t>
  </si>
  <si>
    <t>Prueba lóg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</si>
</sst>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  <font>
      <b/>
      <sz val="11"/>
      <color theme="0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2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43" fillId="2" borderId="0" xfId="0" applyFont="1" applyFill="1"/>
    <xf numFmtId="0" fontId="43" fillId="2" borderId="3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horizontal="center" vertical="center"/>
    </xf>
    <xf numFmtId="0" fontId="43" fillId="2" borderId="1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wrapText="1"/>
    </xf>
    <xf numFmtId="2" fontId="43" fillId="2" borderId="0" xfId="0" applyNumberFormat="1" applyFont="1" applyFill="1" applyAlignment="1">
      <alignment horizontal="center" vertical="center"/>
    </xf>
    <xf numFmtId="2" fontId="43" fillId="2" borderId="0" xfId="0" applyNumberFormat="1" applyFont="1" applyFill="1"/>
    <xf numFmtId="0" fontId="42" fillId="2" borderId="0" xfId="0" applyFont="1" applyFill="1"/>
    <xf numFmtId="2" fontId="42" fillId="9" borderId="1" xfId="0" applyNumberFormat="1" applyFont="1" applyFill="1" applyBorder="1" applyAlignment="1">
      <alignment horizontal="left" vertical="center"/>
    </xf>
    <xf numFmtId="2" fontId="43" fillId="10" borderId="1" xfId="0" applyNumberFormat="1" applyFont="1" applyFill="1" applyBorder="1" applyAlignment="1">
      <alignment horizontal="left" vertical="center"/>
    </xf>
    <xf numFmtId="2" fontId="43" fillId="11" borderId="1" xfId="0" applyNumberFormat="1" applyFont="1" applyFill="1" applyBorder="1" applyAlignment="1">
      <alignment horizontal="left" vertical="center"/>
    </xf>
    <xf numFmtId="165" fontId="43" fillId="2" borderId="1" xfId="0" applyNumberFormat="1" applyFont="1" applyFill="1" applyBorder="1" applyAlignment="1">
      <alignment horizontal="left" vertical="center"/>
    </xf>
    <xf numFmtId="2" fontId="46" fillId="12" borderId="1" xfId="0" applyNumberFormat="1" applyFont="1" applyFill="1" applyBorder="1" applyAlignment="1">
      <alignment horizontal="left"/>
    </xf>
    <xf numFmtId="0" fontId="47" fillId="2" borderId="1" xfId="0" applyFont="1" applyFill="1" applyBorder="1"/>
    <xf numFmtId="0" fontId="51" fillId="2" borderId="1" xfId="0" applyFont="1" applyFill="1" applyBorder="1"/>
    <xf numFmtId="0" fontId="43" fillId="2" borderId="0" xfId="0" applyFont="1" applyFill="1" applyAlignment="1">
      <alignment horizontal="center"/>
    </xf>
    <xf numFmtId="173" fontId="47" fillId="2" borderId="0" xfId="0" applyNumberFormat="1" applyFont="1" applyFill="1" applyAlignment="1">
      <alignment horizontal="left"/>
    </xf>
    <xf numFmtId="0" fontId="44" fillId="2" borderId="0" xfId="0" applyFont="1" applyFill="1"/>
    <xf numFmtId="173" fontId="47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51" fillId="2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0" fontId="46" fillId="2" borderId="0" xfId="0" applyFont="1" applyFill="1" applyAlignment="1">
      <alignment horizontal="center" vertical="center"/>
    </xf>
    <xf numFmtId="0" fontId="49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173" fontId="48" fillId="2" borderId="0" xfId="0" applyNumberFormat="1" applyFont="1" applyFill="1" applyAlignment="1">
      <alignment horizontal="right"/>
    </xf>
    <xf numFmtId="0" fontId="42" fillId="13" borderId="0" xfId="0" applyFont="1" applyFill="1"/>
    <xf numFmtId="0" fontId="42" fillId="14" borderId="0" xfId="0" applyFont="1" applyFill="1"/>
    <xf numFmtId="0" fontId="57" fillId="15" borderId="0" xfId="0" applyFont="1" applyFill="1"/>
    <xf numFmtId="172" fontId="43" fillId="2" borderId="1" xfId="0" applyNumberFormat="1" applyFont="1" applyFill="1" applyBorder="1" applyAlignment="1">
      <alignment horizontal="left"/>
    </xf>
    <xf numFmtId="164" fontId="43" fillId="2" borderId="1" xfId="0" applyNumberFormat="1" applyFont="1" applyFill="1" applyBorder="1" applyAlignment="1">
      <alignment horizontal="left"/>
    </xf>
    <xf numFmtId="166" fontId="43" fillId="2" borderId="1" xfId="0" applyNumberFormat="1" applyFont="1" applyFill="1" applyBorder="1" applyAlignment="1">
      <alignment horizontal="left"/>
    </xf>
    <xf numFmtId="165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 vertical="center"/>
    </xf>
    <xf numFmtId="170" fontId="42" fillId="2" borderId="1" xfId="0" applyNumberFormat="1" applyFont="1" applyFill="1" applyBorder="1" applyAlignment="1">
      <alignment horizontal="left" vertical="center"/>
    </xf>
    <xf numFmtId="173" fontId="43" fillId="2" borderId="1" xfId="2" applyNumberFormat="1" applyFont="1" applyFill="1" applyBorder="1" applyAlignment="1">
      <alignment horizontal="left" vertical="center"/>
    </xf>
    <xf numFmtId="0" fontId="43" fillId="0" borderId="0" xfId="0" applyFont="1" applyFill="1"/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/>
    </xf>
    <xf numFmtId="0" fontId="43" fillId="2" borderId="0" xfId="0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43" fillId="2" borderId="0" xfId="0" applyFont="1" applyFill="1" applyAlignment="1">
      <alignment horizontal="left" vertical="center"/>
    </xf>
    <xf numFmtId="0" fontId="43" fillId="2" borderId="0" xfId="0" applyFont="1" applyFill="1" applyAlignment="1">
      <alignment horizontal="left" vertical="top" wrapText="1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9" fontId="5" fillId="2" borderId="1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73" fontId="8" fillId="2" borderId="0" xfId="0" applyNumberFormat="1" applyFont="1" applyFill="1" applyBorder="1" applyAlignment="1">
      <alignment horizontal="center" vertical="center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2" fontId="0" fillId="7" borderId="1" xfId="0" applyNumberFormat="1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left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173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0" fontId="17" fillId="2" borderId="1" xfId="0" applyFont="1" applyFill="1" applyBorder="1" applyAlignment="1">
      <alignment horizontal="center" vertical="center"/>
    </xf>
    <xf numFmtId="1" fontId="17" fillId="2" borderId="4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</cellXfs>
  <cellStyles count="3">
    <cellStyle name="Millares" xfId="2" builtinId="3"/>
    <cellStyle name="Moneda" xfId="1" builtinId="4"/>
    <cellStyle name="Normal" xfId="0" builtinId="0"/>
  </cellStyles>
  <dxfs count="47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34</xdr:row>
      <xdr:rowOff>31327</xdr:rowOff>
    </xdr:from>
    <xdr:to>
      <xdr:col>9</xdr:col>
      <xdr:colOff>630134</xdr:colOff>
      <xdr:row>41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004A0FF-E971-4233-A1E0-937B98244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28364" y="6660727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02BB80-C4BC-4EBF-9769-1E1E2EDB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8938" y="2015055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44</xdr:row>
      <xdr:rowOff>3123</xdr:rowOff>
    </xdr:from>
    <xdr:to>
      <xdr:col>9</xdr:col>
      <xdr:colOff>504826</xdr:colOff>
      <xdr:row>50</xdr:row>
      <xdr:rowOff>158530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EB72A1-1CE6-4C93-9881-910CB8CB8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2894" y="8575623"/>
          <a:ext cx="2419732" cy="1298407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55</xdr:row>
      <xdr:rowOff>82550</xdr:rowOff>
    </xdr:from>
    <xdr:to>
      <xdr:col>9</xdr:col>
      <xdr:colOff>714375</xdr:colOff>
      <xdr:row>59</xdr:row>
      <xdr:rowOff>142876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A69AB9D-3AA0-4BC5-9E74-0E941894C6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876225" y="10750550"/>
          <a:ext cx="2905950" cy="82232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7C45B86-4D5F-4DDC-8DAD-519820C570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7045590" y="4503207"/>
          <a:ext cx="2666641" cy="154109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313371</xdr:colOff>
      <xdr:row>74</xdr:row>
      <xdr:rowOff>9207</xdr:rowOff>
    </xdr:from>
    <xdr:to>
      <xdr:col>10</xdr:col>
      <xdr:colOff>82222</xdr:colOff>
      <xdr:row>80</xdr:row>
      <xdr:rowOff>39688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A276A74-00CD-4C3F-B8D2-CEF4042117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7095171" y="14420532"/>
          <a:ext cx="2816851" cy="1173481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62</xdr:row>
      <xdr:rowOff>26035</xdr:rowOff>
    </xdr:from>
    <xdr:to>
      <xdr:col>9</xdr:col>
      <xdr:colOff>175783</xdr:colOff>
      <xdr:row>65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C792C3-5B9F-48FE-B8DD-CA38C0E86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766884" y="1211326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69</xdr:row>
      <xdr:rowOff>74588</xdr:rowOff>
    </xdr:from>
    <xdr:to>
      <xdr:col>8</xdr:col>
      <xdr:colOff>544423</xdr:colOff>
      <xdr:row>72</xdr:row>
      <xdr:rowOff>2333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9F9F01A-8A72-492C-BF0C-BDEAC419C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640913" y="1349531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4</xdr:row>
      <xdr:rowOff>172243</xdr:rowOff>
    </xdr:to>
    <xdr:pic>
      <xdr:nvPicPr>
        <xdr:cNvPr id="10" name="Imagen 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35326E93-6929-4142-95FA-05560EDA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8A4C4A-1807-458F-A274-6DEC3FC259A4}" name="Tiempo_flocu" displayName="Tiempo_flocu" ref="AF1:AF24" totalsRowShown="0" headerRowDxfId="9" dataDxfId="7" headerRowBorderDxfId="8" tableBorderDxfId="6">
  <autoFilter ref="AF1:AF24" xr:uid="{0F1DBF49-F510-4DC5-8883-EF64B6045AAC}"/>
  <tableColumns count="1">
    <tableColumn id="1" xr3:uid="{59DD47F7-4462-4205-9F3C-E9372DE7ED1A}" name="Columna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4EC5C4-9ECA-48CD-9B4D-F821D556BD30}" name="Diametro_Interconex" displayName="Diametro_Interconex" ref="AH1:AH14" totalsRowShown="0" headerRowDxfId="4" dataDxfId="3">
  <autoFilter ref="AH1:AH14" xr:uid="{F6479503-94E1-43DE-88D0-FAD468A1C8E7}"/>
  <tableColumns count="1">
    <tableColumn id="1" xr3:uid="{B3C1CF73-ECF0-4C41-A297-2D5FEFE22EBE}" name="Columna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7633-142D-44EA-A934-D2394107C7BF}">
  <sheetPr codeName="Hoja2">
    <tabColor rgb="FF00B0F0"/>
  </sheetPr>
  <dimension ref="A1:AH197"/>
  <sheetViews>
    <sheetView topLeftCell="A9" zoomScale="80" zoomScaleNormal="80" zoomScaleSheetLayoutView="100" workbookViewId="0">
      <selection activeCell="E54" sqref="E54"/>
    </sheetView>
  </sheetViews>
  <sheetFormatPr baseColWidth="10" defaultColWidth="11.42578125" defaultRowHeight="15"/>
  <cols>
    <col min="1" max="1" width="11.42578125" style="667"/>
    <col min="2" max="2" width="36.5703125" style="667" customWidth="1"/>
    <col min="3" max="3" width="17.5703125" style="667" bestFit="1" customWidth="1"/>
    <col min="4" max="4" width="11.42578125" style="667"/>
    <col min="5" max="5" width="13.28515625" style="667" bestFit="1" customWidth="1"/>
    <col min="6" max="11" width="11.42578125" style="667"/>
    <col min="12" max="26" width="11.42578125" style="667" customWidth="1"/>
    <col min="27" max="27" width="13.85546875" style="667" customWidth="1"/>
    <col min="28" max="28" width="10.85546875" style="667" customWidth="1"/>
    <col min="29" max="29" width="20.85546875" style="667" customWidth="1"/>
    <col min="30" max="30" width="22.5703125" style="667" customWidth="1"/>
    <col min="31" max="31" width="11.42578125" style="667" customWidth="1"/>
    <col min="32" max="32" width="23" style="671" customWidth="1"/>
    <col min="33" max="33" width="11.42578125" style="667" customWidth="1"/>
    <col min="34" max="34" width="26.7109375" style="667" bestFit="1" customWidth="1"/>
    <col min="35" max="16384" width="11.42578125" style="667"/>
  </cols>
  <sheetData>
    <row r="1" spans="1:34">
      <c r="AA1" s="704" t="s">
        <v>757</v>
      </c>
      <c r="AB1" s="704" t="s">
        <v>758</v>
      </c>
      <c r="AC1" s="704" t="s">
        <v>132</v>
      </c>
      <c r="AD1" s="704" t="s">
        <v>130</v>
      </c>
      <c r="AF1" s="668" t="s">
        <v>759</v>
      </c>
      <c r="AH1" s="669" t="s">
        <v>759</v>
      </c>
    </row>
    <row r="2" spans="1:34">
      <c r="C2" s="98" t="s">
        <v>54</v>
      </c>
      <c r="AA2" s="705"/>
      <c r="AB2" s="705"/>
      <c r="AC2" s="705"/>
      <c r="AD2" s="705"/>
      <c r="AF2" s="670" t="s">
        <v>551</v>
      </c>
      <c r="AH2" s="669" t="s">
        <v>760</v>
      </c>
    </row>
    <row r="3" spans="1:34" ht="17.25">
      <c r="C3" s="98" t="s">
        <v>55</v>
      </c>
      <c r="AA3" s="374" t="s">
        <v>131</v>
      </c>
      <c r="AB3" s="374" t="s">
        <v>136</v>
      </c>
      <c r="AC3" s="375" t="s">
        <v>133</v>
      </c>
      <c r="AD3" s="374" t="s">
        <v>137</v>
      </c>
      <c r="AH3" s="669"/>
    </row>
    <row r="4" spans="1:34">
      <c r="C4" s="98" t="s">
        <v>630</v>
      </c>
      <c r="AA4" s="376">
        <v>0</v>
      </c>
      <c r="AB4" s="377">
        <v>999.82</v>
      </c>
      <c r="AC4" s="380">
        <v>1.792E-3</v>
      </c>
      <c r="AD4" s="379">
        <f>AC4/AB4</f>
        <v>1.7923226180712527E-6</v>
      </c>
      <c r="AF4" s="671">
        <v>20</v>
      </c>
      <c r="AH4" s="672"/>
    </row>
    <row r="5" spans="1:34">
      <c r="C5" s="98" t="s">
        <v>629</v>
      </c>
      <c r="AA5" s="657">
        <v>1</v>
      </c>
      <c r="AB5" s="382">
        <v>999.89</v>
      </c>
      <c r="AC5" s="383">
        <v>1.7310000000000001E-3</v>
      </c>
      <c r="AD5" s="379">
        <f t="shared" ref="AD5:AD39" si="0">AC5/AB5</f>
        <v>1.7311904309474043E-6</v>
      </c>
      <c r="AF5" s="671">
        <v>21</v>
      </c>
      <c r="AH5" s="673">
        <v>0.15</v>
      </c>
    </row>
    <row r="6" spans="1:34">
      <c r="AA6" s="657">
        <v>2</v>
      </c>
      <c r="AB6" s="382">
        <v>999.94</v>
      </c>
      <c r="AC6" s="383">
        <v>1.673E-3</v>
      </c>
      <c r="AD6" s="379">
        <f t="shared" si="0"/>
        <v>1.6731003860231613E-6</v>
      </c>
      <c r="AF6" s="671">
        <v>22</v>
      </c>
      <c r="AH6" s="673">
        <v>0.25</v>
      </c>
    </row>
    <row r="7" spans="1:34">
      <c r="AA7" s="657">
        <v>3</v>
      </c>
      <c r="AB7" s="382">
        <v>999.98</v>
      </c>
      <c r="AC7" s="383">
        <v>1.619E-3</v>
      </c>
      <c r="AD7" s="379">
        <f t="shared" si="0"/>
        <v>1.6190323806476128E-6</v>
      </c>
      <c r="AF7" s="671">
        <v>23</v>
      </c>
      <c r="AH7" s="673">
        <v>0.3</v>
      </c>
    </row>
    <row r="8" spans="1:34">
      <c r="AA8" s="657">
        <v>4</v>
      </c>
      <c r="AB8" s="382">
        <v>1000</v>
      </c>
      <c r="AC8" s="383">
        <v>1.567E-3</v>
      </c>
      <c r="AD8" s="379">
        <f t="shared" si="0"/>
        <v>1.567E-6</v>
      </c>
      <c r="AF8" s="671">
        <v>24</v>
      </c>
      <c r="AH8" s="673">
        <v>0.35</v>
      </c>
    </row>
    <row r="9" spans="1:34">
      <c r="AA9" s="657">
        <v>5</v>
      </c>
      <c r="AB9" s="382">
        <v>1000</v>
      </c>
      <c r="AC9" s="383">
        <v>1.519E-3</v>
      </c>
      <c r="AD9" s="379">
        <f t="shared" si="0"/>
        <v>1.519E-6</v>
      </c>
      <c r="AF9" s="671">
        <v>25</v>
      </c>
      <c r="AH9" s="673">
        <v>0.35</v>
      </c>
    </row>
    <row r="10" spans="1:34">
      <c r="B10" s="706" t="s">
        <v>545</v>
      </c>
      <c r="C10" s="706"/>
      <c r="D10" s="706"/>
      <c r="E10" s="706"/>
      <c r="F10" s="706"/>
      <c r="AA10" s="657">
        <v>6</v>
      </c>
      <c r="AB10" s="382">
        <v>999.99</v>
      </c>
      <c r="AC10" s="383">
        <v>1.4730000000000001E-3</v>
      </c>
      <c r="AD10" s="379">
        <f t="shared" si="0"/>
        <v>1.4730147301473016E-6</v>
      </c>
      <c r="AF10" s="671">
        <v>26</v>
      </c>
      <c r="AH10" s="673">
        <v>0.4</v>
      </c>
    </row>
    <row r="11" spans="1:34">
      <c r="B11" s="708" t="s">
        <v>546</v>
      </c>
      <c r="C11" s="708"/>
      <c r="D11" s="708"/>
      <c r="E11" s="708"/>
      <c r="F11" s="674"/>
      <c r="G11" s="707"/>
      <c r="H11" s="707"/>
      <c r="I11" s="707"/>
      <c r="J11" s="707"/>
      <c r="AA11" s="657">
        <v>7</v>
      </c>
      <c r="AB11" s="382">
        <v>999.96</v>
      </c>
      <c r="AC11" s="383">
        <v>1.428E-3</v>
      </c>
      <c r="AD11" s="379">
        <f t="shared" si="0"/>
        <v>1.4280571222848913E-6</v>
      </c>
      <c r="AF11" s="671">
        <v>27</v>
      </c>
      <c r="AH11" s="673">
        <v>0.45</v>
      </c>
    </row>
    <row r="12" spans="1:34">
      <c r="B12" s="709" t="s">
        <v>547</v>
      </c>
      <c r="C12" s="709"/>
      <c r="D12" s="709"/>
      <c r="E12" s="709"/>
      <c r="F12" s="674"/>
      <c r="G12" s="707"/>
      <c r="H12" s="707"/>
      <c r="I12" s="707"/>
      <c r="J12" s="707"/>
      <c r="AA12" s="657">
        <v>8</v>
      </c>
      <c r="AB12" s="382">
        <v>999.91</v>
      </c>
      <c r="AC12" s="383">
        <v>1.3859999999999999E-3</v>
      </c>
      <c r="AD12" s="379">
        <f t="shared" si="0"/>
        <v>1.3861247512276103E-6</v>
      </c>
      <c r="AF12" s="671">
        <v>28</v>
      </c>
      <c r="AH12" s="673">
        <v>0.45</v>
      </c>
    </row>
    <row r="13" spans="1:34">
      <c r="A13" s="667">
        <v>13</v>
      </c>
      <c r="B13" s="502" t="s">
        <v>548</v>
      </c>
      <c r="C13" s="675">
        <v>50</v>
      </c>
      <c r="D13" s="527" t="s">
        <v>549</v>
      </c>
      <c r="E13" s="693" t="s">
        <v>767</v>
      </c>
      <c r="G13" s="707"/>
      <c r="H13" s="707"/>
      <c r="I13" s="707"/>
      <c r="J13" s="707"/>
      <c r="AA13" s="657">
        <v>9</v>
      </c>
      <c r="AB13" s="382">
        <v>999.85</v>
      </c>
      <c r="AC13" s="383">
        <v>1.3460000000000002E-3</v>
      </c>
      <c r="AD13" s="379">
        <f t="shared" si="0"/>
        <v>1.3462019302895435E-6</v>
      </c>
      <c r="AF13" s="671">
        <v>29</v>
      </c>
      <c r="AH13" s="673">
        <v>0.5</v>
      </c>
    </row>
    <row r="14" spans="1:34">
      <c r="B14" s="502" t="s">
        <v>548</v>
      </c>
      <c r="C14" s="503">
        <f>C13/1000</f>
        <v>0.05</v>
      </c>
      <c r="D14" s="527" t="s">
        <v>550</v>
      </c>
      <c r="G14" s="707"/>
      <c r="H14" s="707"/>
      <c r="I14" s="707"/>
      <c r="J14" s="707"/>
      <c r="AA14" s="657">
        <v>10</v>
      </c>
      <c r="AB14" s="382">
        <v>999.77</v>
      </c>
      <c r="AC14" s="383">
        <v>1.3080000000000001E-3</v>
      </c>
      <c r="AD14" s="379">
        <f t="shared" si="0"/>
        <v>1.3083009092091183E-6</v>
      </c>
      <c r="AF14" s="671">
        <v>30</v>
      </c>
      <c r="AH14" s="673">
        <v>0.5</v>
      </c>
    </row>
    <row r="15" spans="1:34">
      <c r="A15" s="667">
        <v>15</v>
      </c>
      <c r="B15" s="502" t="s">
        <v>551</v>
      </c>
      <c r="C15" s="676">
        <v>27</v>
      </c>
      <c r="D15" s="521" t="s">
        <v>38</v>
      </c>
      <c r="E15" s="693" t="s">
        <v>767</v>
      </c>
      <c r="G15" s="707"/>
      <c r="H15" s="707"/>
      <c r="I15" s="707"/>
      <c r="J15" s="707"/>
      <c r="AA15" s="657">
        <v>11</v>
      </c>
      <c r="AB15" s="382">
        <v>999.68</v>
      </c>
      <c r="AC15" s="383">
        <v>1.271E-3</v>
      </c>
      <c r="AD15" s="379">
        <f t="shared" si="0"/>
        <v>1.2714068501920614E-6</v>
      </c>
      <c r="AF15" s="671">
        <v>31</v>
      </c>
    </row>
    <row r="16" spans="1:34">
      <c r="B16" s="502" t="s">
        <v>551</v>
      </c>
      <c r="C16" s="503">
        <f>C15*60</f>
        <v>1620</v>
      </c>
      <c r="D16" s="521" t="s">
        <v>6</v>
      </c>
      <c r="G16" s="707"/>
      <c r="H16" s="707"/>
      <c r="I16" s="707"/>
      <c r="J16" s="707"/>
      <c r="AA16" s="657">
        <v>12</v>
      </c>
      <c r="AB16" s="382">
        <v>999.58</v>
      </c>
      <c r="AC16" s="383">
        <v>1.2359999999999999E-3</v>
      </c>
      <c r="AD16" s="379">
        <f t="shared" si="0"/>
        <v>1.2365193381220111E-6</v>
      </c>
      <c r="AF16" s="671">
        <v>32</v>
      </c>
    </row>
    <row r="17" spans="1:32">
      <c r="B17" s="502" t="s">
        <v>552</v>
      </c>
      <c r="C17" s="503">
        <f>+C16/C36</f>
        <v>135</v>
      </c>
      <c r="D17" s="521" t="s">
        <v>6</v>
      </c>
      <c r="G17" s="707"/>
      <c r="H17" s="707"/>
      <c r="I17" s="707"/>
      <c r="J17" s="707"/>
      <c r="AA17" s="657">
        <v>13</v>
      </c>
      <c r="AB17" s="382">
        <v>999.46</v>
      </c>
      <c r="AC17" s="383">
        <v>1.2030000000000001E-3</v>
      </c>
      <c r="AD17" s="379">
        <f t="shared" si="0"/>
        <v>1.2036499709843315E-6</v>
      </c>
      <c r="AF17" s="671">
        <v>33</v>
      </c>
    </row>
    <row r="18" spans="1:32">
      <c r="B18" s="502" t="s">
        <v>553</v>
      </c>
      <c r="C18" s="504">
        <f>+C17*C14</f>
        <v>6.75</v>
      </c>
      <c r="D18" s="521" t="s">
        <v>554</v>
      </c>
      <c r="G18" s="707"/>
      <c r="H18" s="707"/>
      <c r="I18" s="707"/>
      <c r="J18" s="707"/>
      <c r="AA18" s="657">
        <v>14</v>
      </c>
      <c r="AB18" s="382">
        <v>999.33</v>
      </c>
      <c r="AC18" s="383">
        <v>1.1709999999999999E-3</v>
      </c>
      <c r="AD18" s="379">
        <f t="shared" si="0"/>
        <v>1.1717850960143296E-6</v>
      </c>
      <c r="AF18" s="671">
        <v>34</v>
      </c>
    </row>
    <row r="19" spans="1:32">
      <c r="B19" s="502" t="s">
        <v>555</v>
      </c>
      <c r="C19" s="677">
        <f>IF(0&lt;C13&lt;15,AH5,IF(C13&lt;25,AH6,IF(C13&lt;35,AH7,IF(C13&lt;55,AH9,IF(C13&lt;65,AH10,IF(C13&lt;85,AH12,IF(C13&lt;101,AH14,)))))))</f>
        <v>0.35</v>
      </c>
      <c r="D19" s="521" t="s">
        <v>3</v>
      </c>
      <c r="G19" s="707"/>
      <c r="H19" s="707"/>
      <c r="I19" s="707"/>
      <c r="J19" s="707"/>
      <c r="AA19" s="657">
        <v>15</v>
      </c>
      <c r="AB19" s="382">
        <v>999.19</v>
      </c>
      <c r="AC19" s="383">
        <v>1.14E-3</v>
      </c>
      <c r="AD19" s="379">
        <f t="shared" si="0"/>
        <v>1.1409241485603338E-6</v>
      </c>
      <c r="AF19" s="671">
        <v>35</v>
      </c>
    </row>
    <row r="20" spans="1:32" ht="24.75" customHeight="1">
      <c r="A20" s="667">
        <v>20</v>
      </c>
      <c r="B20" s="502" t="s">
        <v>556</v>
      </c>
      <c r="C20" s="505">
        <v>0.45963999999999999</v>
      </c>
      <c r="D20" s="521" t="s">
        <v>3</v>
      </c>
      <c r="E20" s="693" t="s">
        <v>767</v>
      </c>
      <c r="G20" s="707"/>
      <c r="H20" s="707"/>
      <c r="I20" s="707"/>
      <c r="J20" s="707"/>
      <c r="AA20" s="657">
        <v>16</v>
      </c>
      <c r="AB20" s="382">
        <v>999.03</v>
      </c>
      <c r="AC20" s="383">
        <v>1.111E-3</v>
      </c>
      <c r="AD20" s="379">
        <f t="shared" si="0"/>
        <v>1.1120787163548642E-6</v>
      </c>
      <c r="AF20" s="671">
        <v>36</v>
      </c>
    </row>
    <row r="21" spans="1:32">
      <c r="B21" s="502" t="s">
        <v>557</v>
      </c>
      <c r="C21" s="503">
        <f>(PI()*(C20^2))/4</f>
        <v>0.1659302292907848</v>
      </c>
      <c r="D21" s="521" t="s">
        <v>558</v>
      </c>
      <c r="G21" s="707"/>
      <c r="H21" s="707"/>
      <c r="I21" s="707"/>
      <c r="J21" s="707"/>
      <c r="AA21" s="657">
        <v>17</v>
      </c>
      <c r="AB21" s="382">
        <v>998.86</v>
      </c>
      <c r="AC21" s="383">
        <v>1.083E-3</v>
      </c>
      <c r="AD21" s="379">
        <f t="shared" si="0"/>
        <v>1.0842360290731433E-6</v>
      </c>
      <c r="AF21" s="671">
        <v>37</v>
      </c>
    </row>
    <row r="22" spans="1:32">
      <c r="A22" s="667">
        <v>22</v>
      </c>
      <c r="B22" s="502" t="s">
        <v>559</v>
      </c>
      <c r="C22" s="504">
        <v>0.50800000000000001</v>
      </c>
      <c r="D22" s="521" t="s">
        <v>3</v>
      </c>
      <c r="E22" s="693" t="s">
        <v>767</v>
      </c>
      <c r="G22" s="667" t="s">
        <v>560</v>
      </c>
      <c r="AA22" s="657">
        <v>18</v>
      </c>
      <c r="AB22" s="382">
        <v>998.68</v>
      </c>
      <c r="AC22" s="383">
        <v>1.0560000000000001E-3</v>
      </c>
      <c r="AD22" s="379">
        <f t="shared" si="0"/>
        <v>1.0573957624063765E-6</v>
      </c>
      <c r="AF22" s="671">
        <v>38</v>
      </c>
    </row>
    <row r="23" spans="1:32">
      <c r="B23" s="502" t="s">
        <v>561</v>
      </c>
      <c r="C23" s="701">
        <f>(PI()*(C22^2))/4</f>
        <v>0.20268299163899911</v>
      </c>
      <c r="D23" s="521" t="s">
        <v>558</v>
      </c>
      <c r="AA23" s="657">
        <v>19</v>
      </c>
      <c r="AB23" s="382">
        <v>998.49</v>
      </c>
      <c r="AC23" s="383">
        <v>1.0300000000000001E-3</v>
      </c>
      <c r="AD23" s="379">
        <f t="shared" si="0"/>
        <v>1.0315576520546026E-6</v>
      </c>
      <c r="AF23" s="671">
        <v>39</v>
      </c>
    </row>
    <row r="24" spans="1:32">
      <c r="A24" s="667">
        <v>24</v>
      </c>
      <c r="B24" s="502" t="s">
        <v>562</v>
      </c>
      <c r="C24" s="504">
        <v>1.3</v>
      </c>
      <c r="D24" s="521" t="s">
        <v>3</v>
      </c>
      <c r="E24" s="693" t="s">
        <v>767</v>
      </c>
      <c r="G24" s="707"/>
      <c r="H24" s="707"/>
      <c r="I24" s="707"/>
      <c r="J24" s="707"/>
      <c r="AA24" s="657">
        <v>20</v>
      </c>
      <c r="AB24" s="382">
        <v>998.29</v>
      </c>
      <c r="AC24" s="383">
        <v>1.005E-3</v>
      </c>
      <c r="AD24" s="379">
        <f t="shared" si="0"/>
        <v>1.0067214937543199E-6</v>
      </c>
      <c r="AF24" s="671">
        <v>40</v>
      </c>
    </row>
    <row r="25" spans="1:32">
      <c r="A25" s="667">
        <v>25</v>
      </c>
      <c r="B25" s="502" t="s">
        <v>563</v>
      </c>
      <c r="C25" s="504">
        <v>1.6</v>
      </c>
      <c r="D25" s="521" t="s">
        <v>3</v>
      </c>
      <c r="E25" s="693" t="s">
        <v>767</v>
      </c>
      <c r="F25" s="674"/>
      <c r="G25" s="707"/>
      <c r="H25" s="707"/>
      <c r="I25" s="707"/>
      <c r="J25" s="707"/>
      <c r="AA25" s="657">
        <v>21</v>
      </c>
      <c r="AB25" s="382">
        <v>998.08</v>
      </c>
      <c r="AC25" s="383">
        <v>9.810000000000001E-4</v>
      </c>
      <c r="AD25" s="379">
        <f t="shared" si="0"/>
        <v>9.8288714331516507E-7</v>
      </c>
    </row>
    <row r="26" spans="1:32">
      <c r="A26" s="667">
        <v>26</v>
      </c>
      <c r="B26" s="502" t="s">
        <v>564</v>
      </c>
      <c r="C26" s="504">
        <v>2.75</v>
      </c>
      <c r="D26" s="521" t="s">
        <v>3</v>
      </c>
      <c r="E26" s="693" t="s">
        <v>767</v>
      </c>
      <c r="G26" s="707"/>
      <c r="H26" s="707"/>
      <c r="I26" s="707"/>
      <c r="J26" s="707"/>
      <c r="AA26" s="657">
        <v>22</v>
      </c>
      <c r="AB26" s="382">
        <v>997.86</v>
      </c>
      <c r="AC26" s="383">
        <v>9.5790000000000003E-4</v>
      </c>
      <c r="AD26" s="379">
        <f t="shared" si="0"/>
        <v>9.5995430220672237E-7</v>
      </c>
    </row>
    <row r="27" spans="1:32">
      <c r="B27" s="502" t="s">
        <v>565</v>
      </c>
      <c r="C27" s="504">
        <f>IF(C31="…","",ROUND(VLOOKUP(C31,AA$1:AD$39,2,FALSE),9))</f>
        <v>998.29</v>
      </c>
      <c r="D27" s="521" t="s">
        <v>566</v>
      </c>
      <c r="G27" s="707"/>
      <c r="H27" s="707"/>
      <c r="I27" s="707"/>
      <c r="J27" s="707"/>
      <c r="AA27" s="657">
        <v>23</v>
      </c>
      <c r="AB27" s="382">
        <v>997.62</v>
      </c>
      <c r="AC27" s="383">
        <v>9.3579999999999998E-4</v>
      </c>
      <c r="AD27" s="379">
        <f t="shared" si="0"/>
        <v>9.3803251739139144E-7</v>
      </c>
    </row>
    <row r="28" spans="1:32">
      <c r="B28" s="502" t="s">
        <v>761</v>
      </c>
      <c r="C28" s="678">
        <f>IF(C31="…","",ROUND(VLOOKUP(C31,AA$1:AD$39,3,FALSE),9))</f>
        <v>1.005E-3</v>
      </c>
      <c r="D28" s="521" t="s">
        <v>762</v>
      </c>
      <c r="G28" s="707"/>
      <c r="H28" s="707"/>
      <c r="I28" s="707"/>
      <c r="J28" s="707"/>
      <c r="AA28" s="657">
        <v>24</v>
      </c>
      <c r="AB28" s="382">
        <v>997.38</v>
      </c>
      <c r="AC28" s="383">
        <v>9.142E-4</v>
      </c>
      <c r="AD28" s="379">
        <f t="shared" si="0"/>
        <v>9.1660149591930864E-7</v>
      </c>
    </row>
    <row r="29" spans="1:32">
      <c r="B29" s="502" t="s">
        <v>763</v>
      </c>
      <c r="C29" s="678">
        <f>IF(C31="…","",ROUND(VLOOKUP(C31,AA$1:AD$39,4,FALSE),9))</f>
        <v>1.0070000000000001E-6</v>
      </c>
      <c r="D29" s="521" t="s">
        <v>567</v>
      </c>
      <c r="G29" s="707"/>
      <c r="H29" s="707"/>
      <c r="I29" s="707"/>
      <c r="J29" s="707"/>
      <c r="AA29" s="657">
        <v>25</v>
      </c>
      <c r="AB29" s="382">
        <v>997.13</v>
      </c>
      <c r="AC29" s="383">
        <v>8.9370000000000009E-4</v>
      </c>
      <c r="AD29" s="379">
        <f t="shared" si="0"/>
        <v>8.9627230150532037E-7</v>
      </c>
    </row>
    <row r="30" spans="1:32" ht="18">
      <c r="A30" s="667">
        <v>30</v>
      </c>
      <c r="B30" s="502" t="s">
        <v>568</v>
      </c>
      <c r="C30" s="504">
        <v>9.81</v>
      </c>
      <c r="D30" s="521" t="s">
        <v>569</v>
      </c>
      <c r="E30" s="693" t="s">
        <v>767</v>
      </c>
      <c r="G30" s="707"/>
      <c r="H30" s="707"/>
      <c r="I30" s="707"/>
      <c r="J30" s="707"/>
      <c r="AA30" s="657">
        <v>26</v>
      </c>
      <c r="AB30" s="382">
        <v>996.86</v>
      </c>
      <c r="AC30" s="383">
        <v>8.7370000000000004E-4</v>
      </c>
      <c r="AD30" s="379">
        <f t="shared" si="0"/>
        <v>8.7645205946672558E-7</v>
      </c>
    </row>
    <row r="31" spans="1:32">
      <c r="A31" s="667">
        <v>31</v>
      </c>
      <c r="B31" s="506" t="s">
        <v>570</v>
      </c>
      <c r="C31" s="679">
        <v>20</v>
      </c>
      <c r="D31" s="521" t="s">
        <v>139</v>
      </c>
      <c r="E31" s="693" t="s">
        <v>767</v>
      </c>
      <c r="G31" s="707"/>
      <c r="H31" s="707"/>
      <c r="I31" s="707"/>
      <c r="J31" s="707"/>
      <c r="AA31" s="657">
        <v>27</v>
      </c>
      <c r="AB31" s="382">
        <v>996.59</v>
      </c>
      <c r="AC31" s="383">
        <v>8.5450000000000001E-4</v>
      </c>
      <c r="AD31" s="379">
        <f t="shared" si="0"/>
        <v>8.5742381520986557E-7</v>
      </c>
    </row>
    <row r="32" spans="1:32">
      <c r="A32" s="667">
        <v>32</v>
      </c>
      <c r="B32" s="506" t="s">
        <v>571</v>
      </c>
      <c r="C32" s="507">
        <v>0.76</v>
      </c>
      <c r="D32" s="523" t="s">
        <v>572</v>
      </c>
      <c r="E32" s="693" t="s">
        <v>767</v>
      </c>
      <c r="G32" s="707"/>
      <c r="H32" s="707"/>
      <c r="I32" s="707"/>
      <c r="J32" s="707"/>
      <c r="AA32" s="657">
        <v>28</v>
      </c>
      <c r="AB32" s="382">
        <v>996.31</v>
      </c>
      <c r="AC32" s="383">
        <v>8.3599999999999994E-4</v>
      </c>
      <c r="AD32" s="379">
        <f t="shared" si="0"/>
        <v>8.3909626521865684E-7</v>
      </c>
    </row>
    <row r="33" spans="1:30">
      <c r="A33" s="667">
        <v>33</v>
      </c>
      <c r="B33" s="506" t="s">
        <v>573</v>
      </c>
      <c r="C33" s="507">
        <v>0.8</v>
      </c>
      <c r="D33" s="523" t="s">
        <v>572</v>
      </c>
      <c r="E33" s="693" t="s">
        <v>767</v>
      </c>
      <c r="G33" s="667" t="s">
        <v>574</v>
      </c>
      <c r="AA33" s="657">
        <v>29</v>
      </c>
      <c r="AB33" s="382">
        <v>996.02</v>
      </c>
      <c r="AC33" s="383">
        <v>8.1799999999999993E-4</v>
      </c>
      <c r="AD33" s="379">
        <f t="shared" si="0"/>
        <v>8.2126864922391111E-7</v>
      </c>
    </row>
    <row r="34" spans="1:30">
      <c r="B34" s="706" t="s">
        <v>575</v>
      </c>
      <c r="C34" s="706"/>
      <c r="D34" s="706"/>
      <c r="E34" s="706"/>
      <c r="AA34" s="657">
        <v>30</v>
      </c>
      <c r="AB34" s="382">
        <v>995.71</v>
      </c>
      <c r="AC34" s="383">
        <v>8.007E-4</v>
      </c>
      <c r="AD34" s="379">
        <f t="shared" si="0"/>
        <v>8.0414980265338299E-7</v>
      </c>
    </row>
    <row r="35" spans="1:30">
      <c r="B35" s="508" t="s">
        <v>576</v>
      </c>
      <c r="C35" s="507">
        <f>+C24*C25*C26*C36</f>
        <v>68.640000000000015</v>
      </c>
      <c r="D35" s="522" t="s">
        <v>554</v>
      </c>
      <c r="G35" s="707"/>
      <c r="H35" s="707"/>
      <c r="I35" s="707"/>
      <c r="J35" s="707"/>
      <c r="AA35" s="657">
        <v>31</v>
      </c>
      <c r="AB35" s="382">
        <v>995.41</v>
      </c>
      <c r="AC35" s="383">
        <v>7.8400000000000008E-4</v>
      </c>
      <c r="AD35" s="379">
        <f t="shared" si="0"/>
        <v>7.8761515355481675E-7</v>
      </c>
    </row>
    <row r="36" spans="1:30">
      <c r="B36" s="508" t="s">
        <v>577</v>
      </c>
      <c r="C36" s="506">
        <v>12</v>
      </c>
      <c r="D36" s="522" t="s">
        <v>578</v>
      </c>
      <c r="E36" s="694" t="s">
        <v>768</v>
      </c>
      <c r="G36" s="707"/>
      <c r="H36" s="707"/>
      <c r="I36" s="707"/>
      <c r="J36" s="707"/>
      <c r="AA36" s="657">
        <v>32</v>
      </c>
      <c r="AB36" s="382">
        <v>995.09</v>
      </c>
      <c r="AC36" s="383">
        <v>7.6790000000000007E-4</v>
      </c>
      <c r="AD36" s="379">
        <f t="shared" si="0"/>
        <v>7.7168899295541107E-7</v>
      </c>
    </row>
    <row r="37" spans="1:30">
      <c r="B37" s="508" t="s">
        <v>579</v>
      </c>
      <c r="C37" s="509">
        <f>C14/C21</f>
        <v>0.30133147054463111</v>
      </c>
      <c r="D37" s="522" t="s">
        <v>5</v>
      </c>
      <c r="G37" s="707"/>
      <c r="H37" s="707"/>
      <c r="I37" s="707"/>
      <c r="J37" s="707"/>
      <c r="AA37" s="657">
        <v>33</v>
      </c>
      <c r="AB37" s="382">
        <v>994.76</v>
      </c>
      <c r="AC37" s="383">
        <v>7.5230000000000002E-4</v>
      </c>
      <c r="AD37" s="379">
        <f t="shared" si="0"/>
        <v>7.5626281716192853E-7</v>
      </c>
    </row>
    <row r="38" spans="1:30">
      <c r="B38" s="680" t="s">
        <v>580</v>
      </c>
      <c r="C38" s="510" t="str">
        <f>IF(C37&lt;0.25,"No cumple",IF(C37&gt;0.65,"No cumple","Cumple"))</f>
        <v>Cumple</v>
      </c>
      <c r="D38" s="525"/>
      <c r="G38" s="707"/>
      <c r="H38" s="707"/>
      <c r="I38" s="707"/>
      <c r="J38" s="707"/>
      <c r="AA38" s="657">
        <v>34</v>
      </c>
      <c r="AB38" s="382">
        <v>994.43</v>
      </c>
      <c r="AC38" s="383">
        <v>7.3709999999999997E-4</v>
      </c>
      <c r="AD38" s="379">
        <f t="shared" si="0"/>
        <v>7.4122864354454311E-7</v>
      </c>
    </row>
    <row r="39" spans="1:30">
      <c r="B39" s="511" t="s">
        <v>581</v>
      </c>
      <c r="C39" s="697">
        <f>+($C$14^2/((2*$C$30)*($C$32^2)*($C$21^2)))</f>
        <v>8.0124031759763303E-3</v>
      </c>
      <c r="D39" s="522" t="s">
        <v>3</v>
      </c>
      <c r="F39" s="674"/>
      <c r="G39" s="707"/>
      <c r="H39" s="707"/>
      <c r="I39" s="707"/>
      <c r="J39" s="707"/>
      <c r="AA39" s="657">
        <v>35</v>
      </c>
      <c r="AB39" s="382">
        <v>994.08</v>
      </c>
      <c r="AC39" s="383">
        <v>7.2250000000000005E-4</v>
      </c>
      <c r="AD39" s="379">
        <f t="shared" si="0"/>
        <v>7.2680267181715759E-7</v>
      </c>
    </row>
    <row r="40" spans="1:30">
      <c r="B40" s="511" t="s">
        <v>582</v>
      </c>
      <c r="C40" s="513">
        <f>+(0.4)*(($C$37^2)/(2*$C$30))</f>
        <v>1.8511856297775714E-3</v>
      </c>
      <c r="D40" s="522" t="s">
        <v>3</v>
      </c>
      <c r="G40" s="707"/>
      <c r="H40" s="707"/>
      <c r="I40" s="707"/>
      <c r="J40" s="707"/>
    </row>
    <row r="41" spans="1:30">
      <c r="B41" s="511" t="s">
        <v>583</v>
      </c>
      <c r="C41" s="513">
        <f>+($C$14^2/((2*$C$30)*($C$33^2)*($C$23^2)))</f>
        <v>4.8464799431426082E-3</v>
      </c>
      <c r="D41" s="522" t="s">
        <v>3</v>
      </c>
      <c r="G41" s="707"/>
      <c r="H41" s="707"/>
      <c r="I41" s="707"/>
      <c r="J41" s="707"/>
    </row>
    <row r="42" spans="1:30">
      <c r="B42" s="508" t="s">
        <v>584</v>
      </c>
      <c r="C42" s="699">
        <f>+$C$39+$C$40+$C$41</f>
        <v>1.4710068748896511E-2</v>
      </c>
      <c r="D42" s="522" t="s">
        <v>3</v>
      </c>
      <c r="G42" s="707"/>
      <c r="H42" s="707"/>
      <c r="I42" s="707"/>
      <c r="J42" s="707"/>
    </row>
    <row r="43" spans="1:30">
      <c r="A43" s="695" t="s">
        <v>769</v>
      </c>
      <c r="B43" s="508" t="s">
        <v>585</v>
      </c>
      <c r="C43" s="512">
        <f>+$C$42*$C$36</f>
        <v>0.17652082498675814</v>
      </c>
      <c r="D43" s="522" t="s">
        <v>3</v>
      </c>
      <c r="G43" s="667" t="s">
        <v>586</v>
      </c>
    </row>
    <row r="44" spans="1:30" ht="18">
      <c r="B44" s="508" t="s">
        <v>587</v>
      </c>
      <c r="C44" s="512">
        <f>(SQRT(($C$30*$C$42)/($C$29*$C$17)))</f>
        <v>32.580686830382156</v>
      </c>
      <c r="D44" s="522" t="s">
        <v>588</v>
      </c>
    </row>
    <row r="45" spans="1:30">
      <c r="B45" s="681" t="str">
        <f>+B44</f>
        <v>Gradiente de Mezcla (G)</v>
      </c>
      <c r="C45" s="514" t="str">
        <f>IF(C44&lt;35,"No cumple",IF(C44&gt;55,"No cumple","Cumple"))</f>
        <v>No cumple</v>
      </c>
      <c r="D45" s="526"/>
      <c r="G45" s="707"/>
      <c r="H45" s="707"/>
      <c r="I45" s="707"/>
      <c r="J45" s="707"/>
    </row>
    <row r="46" spans="1:30">
      <c r="B46" s="508" t="s">
        <v>589</v>
      </c>
      <c r="C46" s="702">
        <f>+$C$44*$C$17</f>
        <v>4398.3927221015911</v>
      </c>
      <c r="D46" s="522"/>
      <c r="G46" s="707"/>
      <c r="H46" s="707"/>
      <c r="I46" s="707"/>
      <c r="J46" s="707"/>
    </row>
    <row r="47" spans="1:30">
      <c r="B47" s="516" t="s">
        <v>590</v>
      </c>
      <c r="C47" s="510">
        <f>+C42/$C$25</f>
        <v>9.1937929680603186E-3</v>
      </c>
      <c r="D47" s="527" t="s">
        <v>204</v>
      </c>
      <c r="G47" s="707"/>
      <c r="H47" s="707"/>
      <c r="I47" s="707"/>
      <c r="J47" s="707"/>
    </row>
    <row r="48" spans="1:30">
      <c r="B48" s="516" t="s">
        <v>53</v>
      </c>
      <c r="C48" s="510">
        <f>(C27*C20*C37)/C28</f>
        <v>137579.25899110158</v>
      </c>
      <c r="D48" s="527"/>
      <c r="G48" s="707"/>
      <c r="H48" s="707"/>
      <c r="I48" s="707"/>
      <c r="J48" s="707"/>
    </row>
    <row r="49" spans="1:10">
      <c r="B49" s="516" t="s">
        <v>764</v>
      </c>
      <c r="C49" s="510">
        <f>(C44/(SQRT(C48)))</f>
        <v>8.7838265704231352E-2</v>
      </c>
      <c r="D49" s="527"/>
      <c r="G49" s="707"/>
      <c r="H49" s="707"/>
      <c r="I49" s="707"/>
      <c r="J49" s="707"/>
    </row>
    <row r="50" spans="1:10">
      <c r="A50" s="695" t="s">
        <v>770</v>
      </c>
      <c r="B50" s="506" t="s">
        <v>765</v>
      </c>
      <c r="C50" s="514" t="str">
        <f>IF(C49&lt;0.3,"Cumple",IF(C48&lt;0.3,"No cumple"))</f>
        <v>Cumple</v>
      </c>
      <c r="D50" s="523"/>
      <c r="E50" s="682"/>
      <c r="G50" s="707"/>
      <c r="H50" s="707"/>
      <c r="I50" s="707"/>
      <c r="J50" s="707"/>
    </row>
    <row r="51" spans="1:10">
      <c r="B51" s="682"/>
      <c r="C51" s="682"/>
      <c r="D51" s="682"/>
      <c r="E51" s="682"/>
      <c r="G51" s="707"/>
      <c r="H51" s="707"/>
      <c r="I51" s="707"/>
      <c r="J51" s="707"/>
    </row>
    <row r="52" spans="1:10">
      <c r="B52" s="674" t="s">
        <v>591</v>
      </c>
      <c r="C52" s="674"/>
      <c r="D52" s="674"/>
      <c r="E52" s="674"/>
      <c r="G52" s="707"/>
      <c r="H52" s="707"/>
      <c r="I52" s="707"/>
      <c r="J52" s="707"/>
    </row>
    <row r="53" spans="1:10">
      <c r="B53" s="502" t="s">
        <v>592</v>
      </c>
      <c r="C53" s="504">
        <v>0.46</v>
      </c>
      <c r="D53" s="521" t="s">
        <v>3</v>
      </c>
      <c r="G53" s="707"/>
      <c r="H53" s="707"/>
      <c r="I53" s="707"/>
      <c r="J53" s="707"/>
    </row>
    <row r="54" spans="1:10">
      <c r="B54" s="502" t="s">
        <v>593</v>
      </c>
      <c r="C54" s="700">
        <f>(PI()*(C53^2))/4</f>
        <v>0.16619025137490007</v>
      </c>
      <c r="D54" s="521" t="s">
        <v>558</v>
      </c>
      <c r="G54" s="707"/>
      <c r="H54" s="707"/>
      <c r="I54" s="707"/>
      <c r="J54" s="707"/>
    </row>
    <row r="55" spans="1:10">
      <c r="B55" s="502" t="s">
        <v>594</v>
      </c>
      <c r="C55" s="503">
        <f>+$C$33</f>
        <v>0.8</v>
      </c>
      <c r="D55" s="521"/>
    </row>
    <row r="56" spans="1:10">
      <c r="B56" s="506" t="s">
        <v>595</v>
      </c>
      <c r="C56" s="698">
        <f>+($C$14^2/((2*$C$30)*(C55^2)*($C$21^2)))</f>
        <v>7.231193866318637E-3</v>
      </c>
      <c r="D56" s="523" t="s">
        <v>3</v>
      </c>
      <c r="E56" s="703"/>
      <c r="G56" s="707"/>
      <c r="H56" s="707"/>
      <c r="I56" s="707"/>
      <c r="J56" s="707"/>
    </row>
    <row r="57" spans="1:10">
      <c r="B57" s="506" t="s">
        <v>582</v>
      </c>
      <c r="C57" s="699">
        <f>+(0.4)*(($C$37^2)/(2*$C$30))</f>
        <v>1.8511856297775714E-3</v>
      </c>
      <c r="D57" s="523" t="s">
        <v>3</v>
      </c>
      <c r="E57" s="703"/>
      <c r="G57" s="707"/>
      <c r="H57" s="707"/>
      <c r="I57" s="707"/>
      <c r="J57" s="707"/>
    </row>
    <row r="58" spans="1:10">
      <c r="B58" s="506" t="s">
        <v>583</v>
      </c>
      <c r="C58" s="698">
        <f>+($C$14^2/((2*$C$30)*($C$33^2)*(C54^2)))</f>
        <v>7.2085836452701873E-3</v>
      </c>
      <c r="D58" s="523" t="s">
        <v>3</v>
      </c>
      <c r="E58" s="703"/>
      <c r="G58" s="707"/>
      <c r="H58" s="707"/>
      <c r="I58" s="707"/>
      <c r="J58" s="707"/>
    </row>
    <row r="59" spans="1:10">
      <c r="B59" s="506" t="s">
        <v>584</v>
      </c>
      <c r="C59" s="696">
        <f>+C56+C57+C58</f>
        <v>1.6290963141366396E-2</v>
      </c>
      <c r="D59" s="523" t="s">
        <v>3</v>
      </c>
      <c r="F59" s="707"/>
      <c r="G59" s="707"/>
      <c r="H59" s="707"/>
      <c r="I59" s="707"/>
      <c r="J59" s="707"/>
    </row>
    <row r="60" spans="1:10" ht="21.75" customHeight="1">
      <c r="B60" s="506" t="s">
        <v>596</v>
      </c>
      <c r="C60" s="512">
        <f>(SQRT(($C$30*C59)/($C$29*$C$17)))</f>
        <v>34.286745570553727</v>
      </c>
      <c r="D60" s="523" t="s">
        <v>597</v>
      </c>
      <c r="E60" s="683" t="str">
        <f>IF(C60&lt;35,"No cumple",IF(C60&gt;55,"No cumple","Cumple"))</f>
        <v>No cumple</v>
      </c>
      <c r="F60" s="707"/>
      <c r="G60" s="707"/>
      <c r="H60" s="707"/>
      <c r="I60" s="707"/>
      <c r="J60" s="707"/>
    </row>
    <row r="61" spans="1:10">
      <c r="B61" s="508" t="s">
        <v>589</v>
      </c>
      <c r="C61" s="515">
        <f>+C60*$C$17</f>
        <v>4628.7106520247535</v>
      </c>
      <c r="D61" s="524"/>
      <c r="F61" s="707"/>
      <c r="G61" s="667" t="s">
        <v>598</v>
      </c>
    </row>
    <row r="62" spans="1:10">
      <c r="B62" s="508" t="s">
        <v>590</v>
      </c>
      <c r="C62" s="517">
        <f>+C59/$C$25</f>
        <v>1.0181851963353998E-2</v>
      </c>
      <c r="D62" s="524" t="s">
        <v>204</v>
      </c>
    </row>
    <row r="63" spans="1:10">
      <c r="G63" s="707"/>
      <c r="H63" s="707"/>
      <c r="I63" s="707"/>
      <c r="J63" s="707"/>
    </row>
    <row r="64" spans="1:10">
      <c r="B64" s="674" t="s">
        <v>599</v>
      </c>
      <c r="C64" s="674"/>
      <c r="D64" s="674"/>
      <c r="E64" s="674"/>
      <c r="G64" s="707"/>
      <c r="H64" s="707"/>
      <c r="I64" s="707"/>
      <c r="J64" s="707"/>
    </row>
    <row r="65" spans="2:10">
      <c r="B65" s="502" t="s">
        <v>592</v>
      </c>
      <c r="C65" s="504">
        <v>0.41</v>
      </c>
      <c r="D65" s="521" t="s">
        <v>3</v>
      </c>
      <c r="G65" s="707"/>
      <c r="H65" s="707"/>
      <c r="I65" s="707"/>
      <c r="J65" s="707"/>
    </row>
    <row r="66" spans="2:10">
      <c r="B66" s="502" t="s">
        <v>600</v>
      </c>
      <c r="C66" s="503">
        <f>(PI()*(C65^2))/4</f>
        <v>0.13202543126711103</v>
      </c>
      <c r="D66" s="521" t="s">
        <v>558</v>
      </c>
      <c r="G66" s="707"/>
      <c r="H66" s="707"/>
      <c r="I66" s="707"/>
      <c r="J66" s="707"/>
    </row>
    <row r="67" spans="2:10">
      <c r="B67" s="502" t="s">
        <v>594</v>
      </c>
      <c r="C67" s="503">
        <f>+$C$33</f>
        <v>0.8</v>
      </c>
      <c r="D67" s="521"/>
      <c r="G67" s="707"/>
      <c r="H67" s="707"/>
      <c r="I67" s="707"/>
      <c r="J67" s="707"/>
    </row>
    <row r="68" spans="2:10">
      <c r="B68" s="506" t="s">
        <v>595</v>
      </c>
      <c r="C68" s="696">
        <f>+($C$14^2/((2*$C$30)*(C67^2)*($C$21^2)))</f>
        <v>7.231193866318637E-3</v>
      </c>
      <c r="D68" s="523" t="s">
        <v>3</v>
      </c>
      <c r="G68" s="684" t="s">
        <v>601</v>
      </c>
    </row>
    <row r="69" spans="2:10">
      <c r="B69" s="506" t="s">
        <v>582</v>
      </c>
      <c r="C69" s="512">
        <f>+(0.4)*(($C$37^2)/(2*$C$30))</f>
        <v>1.8511856297775714E-3</v>
      </c>
      <c r="D69" s="523" t="s">
        <v>3</v>
      </c>
    </row>
    <row r="70" spans="2:10">
      <c r="B70" s="506" t="s">
        <v>583</v>
      </c>
      <c r="C70" s="512">
        <f>+($C$14^2/((2*$C$30)*($C$33^2)*(C66^2)))</f>
        <v>1.1422096948049354E-2</v>
      </c>
      <c r="D70" s="523" t="s">
        <v>3</v>
      </c>
      <c r="G70" s="707"/>
      <c r="H70" s="707"/>
      <c r="I70" s="707"/>
      <c r="J70" s="707"/>
    </row>
    <row r="71" spans="2:10">
      <c r="B71" s="506" t="s">
        <v>584</v>
      </c>
      <c r="C71" s="512">
        <f>+C68+C69+C70</f>
        <v>2.0504476444145561E-2</v>
      </c>
      <c r="D71" s="523" t="s">
        <v>3</v>
      </c>
      <c r="G71" s="707"/>
      <c r="H71" s="707"/>
      <c r="I71" s="707"/>
      <c r="J71" s="707"/>
    </row>
    <row r="72" spans="2:10" ht="18">
      <c r="B72" s="506" t="s">
        <v>596</v>
      </c>
      <c r="C72" s="512">
        <f>(SQRT(($C$30*C71)/($C$29*$C$17)))</f>
        <v>38.466017643470835</v>
      </c>
      <c r="D72" s="523" t="s">
        <v>597</v>
      </c>
      <c r="E72" s="683" t="str">
        <f>IF(C72&lt;35,"No cumple",IF(C72&gt;55,"No cumple","Cumple"))</f>
        <v>Cumple</v>
      </c>
      <c r="G72" s="707"/>
      <c r="H72" s="707"/>
      <c r="I72" s="707"/>
      <c r="J72" s="707"/>
    </row>
    <row r="73" spans="2:10">
      <c r="B73" s="508" t="s">
        <v>589</v>
      </c>
      <c r="C73" s="515">
        <f>+C72*$C$17</f>
        <v>5192.912381868563</v>
      </c>
      <c r="D73" s="524"/>
      <c r="F73" s="685"/>
      <c r="G73" s="707"/>
      <c r="H73" s="707"/>
      <c r="I73" s="707"/>
      <c r="J73" s="707"/>
    </row>
    <row r="74" spans="2:10">
      <c r="B74" s="508" t="s">
        <v>590</v>
      </c>
      <c r="C74" s="510">
        <f>+C71/$C$25</f>
        <v>1.2815297777590976E-2</v>
      </c>
      <c r="D74" s="524" t="s">
        <v>204</v>
      </c>
      <c r="G74" s="684" t="s">
        <v>602</v>
      </c>
    </row>
    <row r="76" spans="2:10">
      <c r="B76" s="686" t="s">
        <v>603</v>
      </c>
      <c r="C76" s="686"/>
      <c r="D76" s="686"/>
      <c r="E76" s="686"/>
      <c r="G76" s="707"/>
      <c r="H76" s="707"/>
      <c r="I76" s="707"/>
      <c r="J76" s="707"/>
    </row>
    <row r="77" spans="2:10">
      <c r="B77" s="502" t="s">
        <v>592</v>
      </c>
      <c r="C77" s="504">
        <v>0.46</v>
      </c>
      <c r="D77" s="521" t="s">
        <v>3</v>
      </c>
      <c r="G77" s="707"/>
      <c r="H77" s="707"/>
      <c r="I77" s="707"/>
      <c r="J77" s="707"/>
    </row>
    <row r="78" spans="2:10">
      <c r="B78" s="502" t="s">
        <v>604</v>
      </c>
      <c r="C78" s="503">
        <f>(PI()*(C77^2))/4</f>
        <v>0.16619025137490007</v>
      </c>
      <c r="D78" s="521" t="s">
        <v>558</v>
      </c>
      <c r="G78" s="707"/>
      <c r="H78" s="707"/>
      <c r="I78" s="707"/>
      <c r="J78" s="707"/>
    </row>
    <row r="79" spans="2:10">
      <c r="B79" s="502" t="s">
        <v>594</v>
      </c>
      <c r="C79" s="503">
        <f>+$C$33</f>
        <v>0.8</v>
      </c>
      <c r="D79" s="521"/>
      <c r="G79" s="707"/>
      <c r="H79" s="707"/>
      <c r="I79" s="707"/>
      <c r="J79" s="707"/>
    </row>
    <row r="80" spans="2:10">
      <c r="B80" s="506" t="s">
        <v>595</v>
      </c>
      <c r="C80" s="507">
        <f>+($C$14^2/((2*$C$30)*(C79^2)*($C$21^2)))</f>
        <v>7.231193866318637E-3</v>
      </c>
      <c r="D80" s="523" t="s">
        <v>3</v>
      </c>
      <c r="G80" s="707"/>
      <c r="H80" s="707"/>
      <c r="I80" s="707"/>
      <c r="J80" s="707"/>
    </row>
    <row r="81" spans="2:7">
      <c r="B81" s="506" t="s">
        <v>582</v>
      </c>
      <c r="C81" s="507">
        <f>+(0.4)*(($C$37^2)/(2*$C$30))</f>
        <v>1.8511856297775714E-3</v>
      </c>
      <c r="D81" s="523" t="s">
        <v>3</v>
      </c>
      <c r="G81" s="684" t="s">
        <v>605</v>
      </c>
    </row>
    <row r="82" spans="2:7">
      <c r="B82" s="506" t="s">
        <v>583</v>
      </c>
      <c r="C82" s="507">
        <f>+($C$14^2/((2*$C$30)*($C$33^2)*(C78^2)))</f>
        <v>7.2085836452701873E-3</v>
      </c>
      <c r="D82" s="523" t="s">
        <v>3</v>
      </c>
    </row>
    <row r="83" spans="2:7">
      <c r="B83" s="506" t="s">
        <v>584</v>
      </c>
      <c r="C83" s="507">
        <f>+C80+C81+C82</f>
        <v>1.6290963141366396E-2</v>
      </c>
      <c r="D83" s="523" t="s">
        <v>3</v>
      </c>
    </row>
    <row r="84" spans="2:7" ht="18">
      <c r="B84" s="506" t="s">
        <v>596</v>
      </c>
      <c r="C84" s="507">
        <f>(SQRT(($C$30*C83)/($C$29*$C$17)))</f>
        <v>34.286745570553727</v>
      </c>
      <c r="D84" s="523" t="s">
        <v>597</v>
      </c>
      <c r="E84" s="683" t="str">
        <f>IF(C84&lt;35,"No cumple",IF(C84&gt;55,"No cumple","Cumple"))</f>
        <v>No cumple</v>
      </c>
    </row>
    <row r="85" spans="2:7">
      <c r="B85" s="508" t="s">
        <v>589</v>
      </c>
      <c r="C85" s="515">
        <f>+C84*$C$17</f>
        <v>4628.7106520247535</v>
      </c>
      <c r="D85" s="524"/>
      <c r="F85" s="685"/>
    </row>
    <row r="86" spans="2:7">
      <c r="B86" s="508" t="s">
        <v>590</v>
      </c>
      <c r="C86" s="517">
        <f>+C83/$C$25</f>
        <v>1.0181851963353998E-2</v>
      </c>
      <c r="D86" s="524" t="s">
        <v>204</v>
      </c>
    </row>
    <row r="88" spans="2:7">
      <c r="B88" s="674" t="s">
        <v>606</v>
      </c>
      <c r="C88" s="674"/>
      <c r="D88" s="674"/>
      <c r="E88" s="674"/>
    </row>
    <row r="89" spans="2:7">
      <c r="B89" s="502" t="s">
        <v>592</v>
      </c>
      <c r="C89" s="504">
        <v>0.41</v>
      </c>
      <c r="D89" s="521" t="s">
        <v>3</v>
      </c>
    </row>
    <row r="90" spans="2:7">
      <c r="B90" s="502" t="s">
        <v>607</v>
      </c>
      <c r="C90" s="503">
        <f>(PI()*(C89^2))/4</f>
        <v>0.13202543126711103</v>
      </c>
      <c r="D90" s="521" t="s">
        <v>558</v>
      </c>
    </row>
    <row r="91" spans="2:7">
      <c r="B91" s="502" t="s">
        <v>594</v>
      </c>
      <c r="C91" s="503">
        <f>+$C$33</f>
        <v>0.8</v>
      </c>
      <c r="D91" s="521"/>
    </row>
    <row r="92" spans="2:7">
      <c r="B92" s="506" t="s">
        <v>595</v>
      </c>
      <c r="C92" s="507">
        <f>+($C$14^2/((2*$C$30)*(C91^2)*($C$21^2)))</f>
        <v>7.231193866318637E-3</v>
      </c>
      <c r="D92" s="523" t="s">
        <v>3</v>
      </c>
    </row>
    <row r="93" spans="2:7">
      <c r="B93" s="506" t="s">
        <v>582</v>
      </c>
      <c r="C93" s="507">
        <f>+(0.4)*(($C$37^2)/(2*$C$30))</f>
        <v>1.8511856297775714E-3</v>
      </c>
      <c r="D93" s="523" t="s">
        <v>3</v>
      </c>
    </row>
    <row r="94" spans="2:7">
      <c r="B94" s="506" t="s">
        <v>583</v>
      </c>
      <c r="C94" s="507">
        <f>+($C$14^2/((2*$C$30)*($C$33^2)*(C90^2)))</f>
        <v>1.1422096948049354E-2</v>
      </c>
      <c r="D94" s="523" t="s">
        <v>3</v>
      </c>
    </row>
    <row r="95" spans="2:7">
      <c r="B95" s="506" t="s">
        <v>584</v>
      </c>
      <c r="C95" s="507">
        <f>+C92+C93+C94</f>
        <v>2.0504476444145561E-2</v>
      </c>
      <c r="D95" s="523" t="s">
        <v>3</v>
      </c>
    </row>
    <row r="96" spans="2:7" ht="18">
      <c r="B96" s="506" t="s">
        <v>596</v>
      </c>
      <c r="C96" s="507">
        <f>(SQRT(($C$30*C95)/($C$29*$C$17)))</f>
        <v>38.466017643470835</v>
      </c>
      <c r="D96" s="523" t="s">
        <v>597</v>
      </c>
      <c r="E96" s="683" t="str">
        <f>IF(C96&lt;35,"No cumple",IF(C96&gt;55,"No cumple","Cumple"))</f>
        <v>Cumple</v>
      </c>
    </row>
    <row r="97" spans="2:6">
      <c r="B97" s="508" t="s">
        <v>589</v>
      </c>
      <c r="C97" s="515">
        <f>+C96*$C$17</f>
        <v>5192.912381868563</v>
      </c>
      <c r="D97" s="524"/>
      <c r="F97" s="685"/>
    </row>
    <row r="98" spans="2:6">
      <c r="B98" s="508" t="s">
        <v>590</v>
      </c>
      <c r="C98" s="517">
        <f>+C95/$C$25</f>
        <v>1.2815297777590976E-2</v>
      </c>
      <c r="D98" s="524" t="s">
        <v>204</v>
      </c>
    </row>
    <row r="100" spans="2:6">
      <c r="B100" s="686" t="s">
        <v>608</v>
      </c>
      <c r="C100" s="686"/>
      <c r="D100" s="686"/>
      <c r="E100" s="686"/>
    </row>
    <row r="101" spans="2:6">
      <c r="B101" s="502" t="s">
        <v>592</v>
      </c>
      <c r="C101" s="504">
        <v>0.46</v>
      </c>
      <c r="D101" s="521" t="s">
        <v>3</v>
      </c>
    </row>
    <row r="102" spans="2:6">
      <c r="B102" s="502" t="s">
        <v>609</v>
      </c>
      <c r="C102" s="503">
        <f>(PI()*(C101^2))/4</f>
        <v>0.16619025137490007</v>
      </c>
      <c r="D102" s="521" t="s">
        <v>558</v>
      </c>
    </row>
    <row r="103" spans="2:6">
      <c r="B103" s="502" t="s">
        <v>594</v>
      </c>
      <c r="C103" s="503">
        <f>+$C$33</f>
        <v>0.8</v>
      </c>
      <c r="D103" s="521"/>
    </row>
    <row r="104" spans="2:6">
      <c r="B104" s="506" t="s">
        <v>595</v>
      </c>
      <c r="C104" s="507">
        <f>+($C$14^2/((2*$C$30)*(C103^2)*($C$21^2)))</f>
        <v>7.231193866318637E-3</v>
      </c>
      <c r="D104" s="523" t="s">
        <v>3</v>
      </c>
    </row>
    <row r="105" spans="2:6">
      <c r="B105" s="506" t="s">
        <v>582</v>
      </c>
      <c r="C105" s="507">
        <f>+(0.4)*(($C$37^2)/(2*$C$30))</f>
        <v>1.8511856297775714E-3</v>
      </c>
      <c r="D105" s="523" t="s">
        <v>3</v>
      </c>
    </row>
    <row r="106" spans="2:6">
      <c r="B106" s="506" t="s">
        <v>583</v>
      </c>
      <c r="C106" s="507">
        <f>+($C$14^2/((2*$C$30)*($C$33^2)*(C102^2)))</f>
        <v>7.2085836452701873E-3</v>
      </c>
      <c r="D106" s="523" t="s">
        <v>3</v>
      </c>
    </row>
    <row r="107" spans="2:6">
      <c r="B107" s="506" t="s">
        <v>584</v>
      </c>
      <c r="C107" s="507">
        <f>+C104+C105+C106</f>
        <v>1.6290963141366396E-2</v>
      </c>
      <c r="D107" s="523" t="s">
        <v>3</v>
      </c>
    </row>
    <row r="108" spans="2:6" ht="18">
      <c r="B108" s="506" t="s">
        <v>596</v>
      </c>
      <c r="C108" s="507">
        <f>(SQRT(($C$30*C107)/($C$29*$C$17)))</f>
        <v>34.286745570553727</v>
      </c>
      <c r="D108" s="523" t="s">
        <v>597</v>
      </c>
      <c r="E108" s="683" t="str">
        <f>IF(C108&lt;35,"No cumple",IF(C108&gt;55,"No cumple","Cumple"))</f>
        <v>No cumple</v>
      </c>
    </row>
    <row r="109" spans="2:6">
      <c r="B109" s="508" t="s">
        <v>589</v>
      </c>
      <c r="C109" s="515">
        <f>+C108*$C$17</f>
        <v>4628.7106520247535</v>
      </c>
      <c r="D109" s="524"/>
      <c r="F109" s="685"/>
    </row>
    <row r="110" spans="2:6">
      <c r="B110" s="508" t="s">
        <v>590</v>
      </c>
      <c r="C110" s="517">
        <f>+C107/$C$25</f>
        <v>1.0181851963353998E-2</v>
      </c>
      <c r="D110" s="524" t="s">
        <v>204</v>
      </c>
    </row>
    <row r="112" spans="2:6">
      <c r="B112" s="674" t="s">
        <v>610</v>
      </c>
      <c r="C112" s="674"/>
      <c r="D112" s="674"/>
      <c r="E112" s="674"/>
    </row>
    <row r="113" spans="2:6">
      <c r="B113" s="502" t="s">
        <v>592</v>
      </c>
      <c r="C113" s="504">
        <v>0.41</v>
      </c>
      <c r="D113" s="521" t="s">
        <v>3</v>
      </c>
    </row>
    <row r="114" spans="2:6">
      <c r="B114" s="502" t="s">
        <v>611</v>
      </c>
      <c r="C114" s="503">
        <f>(PI()*(C113^2))/4</f>
        <v>0.13202543126711103</v>
      </c>
      <c r="D114" s="521" t="s">
        <v>558</v>
      </c>
    </row>
    <row r="115" spans="2:6">
      <c r="B115" s="502" t="s">
        <v>594</v>
      </c>
      <c r="C115" s="503">
        <f>+$C$33</f>
        <v>0.8</v>
      </c>
      <c r="D115" s="521"/>
    </row>
    <row r="116" spans="2:6">
      <c r="B116" s="506" t="s">
        <v>595</v>
      </c>
      <c r="C116" s="507">
        <f>+($C$14^2/((2*$C$30)*(C115^2)*($C$21^2)))</f>
        <v>7.231193866318637E-3</v>
      </c>
      <c r="D116" s="523" t="s">
        <v>3</v>
      </c>
    </row>
    <row r="117" spans="2:6">
      <c r="B117" s="506" t="s">
        <v>582</v>
      </c>
      <c r="C117" s="507">
        <f>+(0.4)*(($C$37^2)/(2*$C$30))</f>
        <v>1.8511856297775714E-3</v>
      </c>
      <c r="D117" s="523" t="s">
        <v>3</v>
      </c>
    </row>
    <row r="118" spans="2:6">
      <c r="B118" s="506" t="s">
        <v>583</v>
      </c>
      <c r="C118" s="507">
        <f>+($C$14^2/((2*$C$30)*($C$33^2)*(C114^2)))</f>
        <v>1.1422096948049354E-2</v>
      </c>
      <c r="D118" s="523" t="s">
        <v>3</v>
      </c>
    </row>
    <row r="119" spans="2:6">
      <c r="B119" s="506" t="s">
        <v>584</v>
      </c>
      <c r="C119" s="507">
        <f>+C116+C117+C118</f>
        <v>2.0504476444145561E-2</v>
      </c>
      <c r="D119" s="523" t="s">
        <v>3</v>
      </c>
    </row>
    <row r="120" spans="2:6" ht="18">
      <c r="B120" s="506" t="s">
        <v>596</v>
      </c>
      <c r="C120" s="507">
        <f>(SQRT(($C$30*C119)/($C$29*$C$17)))</f>
        <v>38.466017643470835</v>
      </c>
      <c r="D120" s="523" t="s">
        <v>597</v>
      </c>
      <c r="E120" s="683" t="str">
        <f>IF(C120&lt;35,"No cumple",IF(C120&gt;55,"No cumple","Cumple"))</f>
        <v>Cumple</v>
      </c>
    </row>
    <row r="121" spans="2:6">
      <c r="B121" s="508" t="s">
        <v>589</v>
      </c>
      <c r="C121" s="515">
        <f>+C120*$C$17</f>
        <v>5192.912381868563</v>
      </c>
      <c r="D121" s="524"/>
      <c r="F121" s="685"/>
    </row>
    <row r="122" spans="2:6">
      <c r="B122" s="508" t="s">
        <v>590</v>
      </c>
      <c r="C122" s="517">
        <f>+C119/$C$25</f>
        <v>1.2815297777590976E-2</v>
      </c>
      <c r="D122" s="524" t="s">
        <v>204</v>
      </c>
    </row>
    <row r="124" spans="2:6">
      <c r="B124" s="686" t="s">
        <v>612</v>
      </c>
      <c r="C124" s="686"/>
      <c r="D124" s="686"/>
      <c r="E124" s="686"/>
    </row>
    <row r="125" spans="2:6">
      <c r="B125" s="502" t="s">
        <v>592</v>
      </c>
      <c r="C125" s="504">
        <v>0.46</v>
      </c>
      <c r="D125" s="518"/>
    </row>
    <row r="126" spans="2:6">
      <c r="B126" s="502" t="s">
        <v>613</v>
      </c>
      <c r="C126" s="503">
        <f>(PI()*(C125^2))/4</f>
        <v>0.16619025137490007</v>
      </c>
      <c r="D126" s="518"/>
    </row>
    <row r="127" spans="2:6">
      <c r="B127" s="502" t="s">
        <v>594</v>
      </c>
      <c r="C127" s="503">
        <f>+$C$33</f>
        <v>0.8</v>
      </c>
      <c r="D127" s="518"/>
    </row>
    <row r="128" spans="2:6">
      <c r="B128" s="506" t="s">
        <v>595</v>
      </c>
      <c r="C128" s="507">
        <f>+($C$14^2/((2*$C$30)*(C127^2)*($C$21^2)))</f>
        <v>7.231193866318637E-3</v>
      </c>
      <c r="D128" s="518"/>
    </row>
    <row r="129" spans="2:6">
      <c r="B129" s="506" t="s">
        <v>582</v>
      </c>
      <c r="C129" s="507">
        <f>+(0.4)*(($C$37^2)/(2*$C$30))</f>
        <v>1.8511856297775714E-3</v>
      </c>
      <c r="D129" s="518"/>
    </row>
    <row r="130" spans="2:6">
      <c r="B130" s="506" t="s">
        <v>583</v>
      </c>
      <c r="C130" s="507">
        <f>+($C$14^2/((2*$C$30)*($C$33^2)*(C126^2)))</f>
        <v>7.2085836452701873E-3</v>
      </c>
      <c r="D130" s="518"/>
    </row>
    <row r="131" spans="2:6">
      <c r="B131" s="506" t="s">
        <v>584</v>
      </c>
      <c r="C131" s="507">
        <f>+C128+C129+C130</f>
        <v>1.6290963141366396E-2</v>
      </c>
      <c r="D131" s="518"/>
    </row>
    <row r="132" spans="2:6">
      <c r="B132" s="506" t="s">
        <v>596</v>
      </c>
      <c r="C132" s="507">
        <f>(SQRT(($C$30*C131)/($C$29*$C$17)))</f>
        <v>34.286745570553727</v>
      </c>
      <c r="D132" s="518"/>
      <c r="E132" s="683" t="str">
        <f>IF(C132&lt;35,"No cumple",IF(C132&gt;55,"No cumple","Cumple"))</f>
        <v>No cumple</v>
      </c>
    </row>
    <row r="133" spans="2:6">
      <c r="B133" s="508" t="s">
        <v>589</v>
      </c>
      <c r="C133" s="515">
        <f>+C132*$C$17</f>
        <v>4628.7106520247535</v>
      </c>
      <c r="D133" s="518"/>
      <c r="F133" s="685"/>
    </row>
    <row r="134" spans="2:6">
      <c r="B134" s="508" t="s">
        <v>590</v>
      </c>
      <c r="C134" s="517">
        <f>+C131/$C$25</f>
        <v>1.0181851963353998E-2</v>
      </c>
      <c r="D134" s="518"/>
    </row>
    <row r="136" spans="2:6">
      <c r="B136" s="674" t="s">
        <v>614</v>
      </c>
      <c r="C136" s="674"/>
      <c r="D136" s="674"/>
      <c r="E136" s="674"/>
    </row>
    <row r="137" spans="2:6">
      <c r="B137" s="502" t="s">
        <v>592</v>
      </c>
      <c r="C137" s="504">
        <v>0.41</v>
      </c>
      <c r="D137" s="521" t="s">
        <v>3</v>
      </c>
    </row>
    <row r="138" spans="2:6">
      <c r="B138" s="502" t="s">
        <v>615</v>
      </c>
      <c r="C138" s="503">
        <f>(PI()*(C137^2))/4</f>
        <v>0.13202543126711103</v>
      </c>
      <c r="D138" s="521" t="s">
        <v>558</v>
      </c>
    </row>
    <row r="139" spans="2:6">
      <c r="B139" s="502" t="s">
        <v>594</v>
      </c>
      <c r="C139" s="503">
        <f>+$C$33</f>
        <v>0.8</v>
      </c>
      <c r="D139" s="521"/>
    </row>
    <row r="140" spans="2:6">
      <c r="B140" s="506" t="s">
        <v>595</v>
      </c>
      <c r="C140" s="507">
        <f>+($C$14^2/((2*$C$30)*(C139^2)*($C$21^2)))</f>
        <v>7.231193866318637E-3</v>
      </c>
      <c r="D140" s="523" t="s">
        <v>3</v>
      </c>
    </row>
    <row r="141" spans="2:6">
      <c r="B141" s="506" t="s">
        <v>582</v>
      </c>
      <c r="C141" s="507">
        <f>+(0.4)*(($C$37^2)/(2*$C$30))</f>
        <v>1.8511856297775714E-3</v>
      </c>
      <c r="D141" s="523" t="s">
        <v>3</v>
      </c>
    </row>
    <row r="142" spans="2:6">
      <c r="B142" s="506" t="s">
        <v>583</v>
      </c>
      <c r="C142" s="507">
        <f>+($C$14^2/((2*$C$30)*($C$33^2)*(C138^2)))</f>
        <v>1.1422096948049354E-2</v>
      </c>
      <c r="D142" s="523" t="s">
        <v>3</v>
      </c>
    </row>
    <row r="143" spans="2:6">
      <c r="B143" s="506" t="s">
        <v>584</v>
      </c>
      <c r="C143" s="507">
        <f>+C140+C141+C142</f>
        <v>2.0504476444145561E-2</v>
      </c>
      <c r="D143" s="523" t="s">
        <v>3</v>
      </c>
    </row>
    <row r="144" spans="2:6" ht="18">
      <c r="B144" s="506" t="s">
        <v>596</v>
      </c>
      <c r="C144" s="507">
        <f>(SQRT(($C$30*C143)/($C$29*$C$17)))</f>
        <v>38.466017643470835</v>
      </c>
      <c r="D144" s="523" t="s">
        <v>597</v>
      </c>
      <c r="E144" s="683" t="str">
        <f>IF(C144&lt;35,"No cumple",IF(C144&gt;55,"No cumple","Cumple"))</f>
        <v>Cumple</v>
      </c>
    </row>
    <row r="145" spans="2:6">
      <c r="B145" s="508" t="s">
        <v>589</v>
      </c>
      <c r="C145" s="515">
        <f>+C144*$C$17</f>
        <v>5192.912381868563</v>
      </c>
      <c r="D145" s="524"/>
      <c r="F145" s="685"/>
    </row>
    <row r="146" spans="2:6">
      <c r="B146" s="508" t="s">
        <v>590</v>
      </c>
      <c r="C146" s="517">
        <f>+C143/$C$25</f>
        <v>1.2815297777590976E-2</v>
      </c>
      <c r="D146" s="524" t="s">
        <v>204</v>
      </c>
    </row>
    <row r="148" spans="2:6">
      <c r="B148" s="686" t="s">
        <v>616</v>
      </c>
      <c r="C148" s="686"/>
      <c r="D148" s="686"/>
      <c r="E148" s="686"/>
    </row>
    <row r="149" spans="2:6">
      <c r="B149" s="502" t="s">
        <v>592</v>
      </c>
      <c r="C149" s="504">
        <v>0.46</v>
      </c>
      <c r="D149" s="521" t="s">
        <v>3</v>
      </c>
    </row>
    <row r="150" spans="2:6">
      <c r="B150" s="502" t="s">
        <v>617</v>
      </c>
      <c r="C150" s="503">
        <f>(PI()*(C149^2))/4</f>
        <v>0.16619025137490007</v>
      </c>
      <c r="D150" s="521" t="s">
        <v>558</v>
      </c>
    </row>
    <row r="151" spans="2:6">
      <c r="B151" s="502" t="s">
        <v>594</v>
      </c>
      <c r="C151" s="503">
        <f>+$C$33</f>
        <v>0.8</v>
      </c>
      <c r="D151" s="521"/>
    </row>
    <row r="152" spans="2:6">
      <c r="B152" s="506" t="s">
        <v>595</v>
      </c>
      <c r="C152" s="507">
        <f>+($C$14^2/((2*$C$30)*(C151^2)*($C$21^2)))</f>
        <v>7.231193866318637E-3</v>
      </c>
      <c r="D152" s="523" t="s">
        <v>3</v>
      </c>
    </row>
    <row r="153" spans="2:6">
      <c r="B153" s="506" t="s">
        <v>582</v>
      </c>
      <c r="C153" s="507">
        <f>+(0.4)*(($C$37^2)/(2*$C$30))</f>
        <v>1.8511856297775714E-3</v>
      </c>
      <c r="D153" s="523" t="s">
        <v>3</v>
      </c>
    </row>
    <row r="154" spans="2:6">
      <c r="B154" s="506" t="s">
        <v>583</v>
      </c>
      <c r="C154" s="507">
        <f>+($C$14^2/((2*$C$30)*($C$33^2)*(C150^2)))</f>
        <v>7.2085836452701873E-3</v>
      </c>
      <c r="D154" s="523" t="s">
        <v>3</v>
      </c>
    </row>
    <row r="155" spans="2:6">
      <c r="B155" s="506" t="s">
        <v>584</v>
      </c>
      <c r="C155" s="507">
        <f>+C152+C153+C154</f>
        <v>1.6290963141366396E-2</v>
      </c>
      <c r="D155" s="523" t="s">
        <v>3</v>
      </c>
    </row>
    <row r="156" spans="2:6" ht="18">
      <c r="B156" s="506" t="s">
        <v>596</v>
      </c>
      <c r="C156" s="507">
        <f>(SQRT(($C$30*C155)/($C$29*$C$17)))</f>
        <v>34.286745570553727</v>
      </c>
      <c r="D156" s="523" t="s">
        <v>597</v>
      </c>
      <c r="E156" s="683" t="str">
        <f>IF(C156&lt;35,"No cumple",IF(C156&gt;55,"No cumple","Cumple"))</f>
        <v>No cumple</v>
      </c>
    </row>
    <row r="157" spans="2:6">
      <c r="B157" s="508" t="s">
        <v>589</v>
      </c>
      <c r="C157" s="515">
        <f>+C156*$C$17</f>
        <v>4628.7106520247535</v>
      </c>
      <c r="D157" s="524"/>
      <c r="F157" s="685"/>
    </row>
    <row r="158" spans="2:6">
      <c r="B158" s="508" t="s">
        <v>590</v>
      </c>
      <c r="C158" s="517">
        <f>+C155/$C$25</f>
        <v>1.0181851963353998E-2</v>
      </c>
      <c r="D158" s="524" t="s">
        <v>204</v>
      </c>
    </row>
    <row r="160" spans="2:6">
      <c r="B160" s="674" t="s">
        <v>618</v>
      </c>
      <c r="C160" s="674"/>
      <c r="D160" s="674"/>
      <c r="E160" s="674"/>
    </row>
    <row r="161" spans="2:6">
      <c r="B161" s="502" t="s">
        <v>592</v>
      </c>
      <c r="C161" s="504">
        <v>0.41</v>
      </c>
      <c r="D161" s="523" t="s">
        <v>3</v>
      </c>
    </row>
    <row r="162" spans="2:6">
      <c r="B162" s="502" t="s">
        <v>619</v>
      </c>
      <c r="C162" s="503">
        <f>(PI()*(C161^2))/4</f>
        <v>0.13202543126711103</v>
      </c>
      <c r="D162" s="523" t="s">
        <v>558</v>
      </c>
    </row>
    <row r="163" spans="2:6">
      <c r="B163" s="502" t="s">
        <v>594</v>
      </c>
      <c r="C163" s="503">
        <f>+$C$33</f>
        <v>0.8</v>
      </c>
      <c r="D163" s="523"/>
    </row>
    <row r="164" spans="2:6">
      <c r="B164" s="506" t="s">
        <v>595</v>
      </c>
      <c r="C164" s="507">
        <f>+($C$14^2/((2*$C$30)*(C163^2)*($C$21^2)))</f>
        <v>7.231193866318637E-3</v>
      </c>
      <c r="D164" s="523" t="s">
        <v>3</v>
      </c>
    </row>
    <row r="165" spans="2:6">
      <c r="B165" s="506" t="s">
        <v>582</v>
      </c>
      <c r="C165" s="507">
        <f>+(0.4)*(($C$37^2)/(2*$C$30))</f>
        <v>1.8511856297775714E-3</v>
      </c>
      <c r="D165" s="523" t="s">
        <v>3</v>
      </c>
    </row>
    <row r="166" spans="2:6">
      <c r="B166" s="506" t="s">
        <v>583</v>
      </c>
      <c r="C166" s="507">
        <f>+($C$14^2/((2*$C$30)*($C$33^2)*(C162^2)))</f>
        <v>1.1422096948049354E-2</v>
      </c>
      <c r="D166" s="523" t="s">
        <v>3</v>
      </c>
    </row>
    <row r="167" spans="2:6">
      <c r="B167" s="506" t="s">
        <v>584</v>
      </c>
      <c r="C167" s="507">
        <f>+C164+C165+C166</f>
        <v>2.0504476444145561E-2</v>
      </c>
      <c r="D167" s="523" t="s">
        <v>3</v>
      </c>
    </row>
    <row r="168" spans="2:6" ht="18">
      <c r="B168" s="506" t="s">
        <v>596</v>
      </c>
      <c r="C168" s="507">
        <f>(SQRT(($C$30*C167)/($C$29*$C$17)))</f>
        <v>38.466017643470835</v>
      </c>
      <c r="D168" s="523" t="s">
        <v>597</v>
      </c>
      <c r="E168" s="683" t="str">
        <f>IF(C168&lt;35,"No cumple",IF(C168&gt;55,"No cumple","Cumple"))</f>
        <v>Cumple</v>
      </c>
    </row>
    <row r="169" spans="2:6">
      <c r="B169" s="508" t="s">
        <v>589</v>
      </c>
      <c r="C169" s="515">
        <f>+C168*$C$17</f>
        <v>5192.912381868563</v>
      </c>
      <c r="D169" s="524"/>
      <c r="F169" s="685"/>
    </row>
    <row r="170" spans="2:6">
      <c r="B170" s="508" t="s">
        <v>590</v>
      </c>
      <c r="C170" s="517">
        <f>+C167/$C$25</f>
        <v>1.2815297777590976E-2</v>
      </c>
      <c r="D170" s="524" t="s">
        <v>204</v>
      </c>
    </row>
    <row r="172" spans="2:6">
      <c r="B172" s="686" t="s">
        <v>620</v>
      </c>
      <c r="C172" s="686"/>
      <c r="D172" s="686"/>
      <c r="E172" s="686"/>
    </row>
    <row r="173" spans="2:6">
      <c r="B173" s="502" t="s">
        <v>592</v>
      </c>
      <c r="C173" s="504">
        <v>0.46</v>
      </c>
      <c r="D173" s="521" t="s">
        <v>3</v>
      </c>
    </row>
    <row r="174" spans="2:6">
      <c r="B174" s="502" t="s">
        <v>621</v>
      </c>
      <c r="C174" s="503">
        <f>(PI()*(C173^2))/4</f>
        <v>0.16619025137490007</v>
      </c>
      <c r="D174" s="521" t="s">
        <v>558</v>
      </c>
    </row>
    <row r="175" spans="2:6">
      <c r="B175" s="502" t="s">
        <v>594</v>
      </c>
      <c r="C175" s="503">
        <f>+$C$33</f>
        <v>0.8</v>
      </c>
      <c r="D175" s="521"/>
    </row>
    <row r="176" spans="2:6">
      <c r="B176" s="506" t="s">
        <v>595</v>
      </c>
      <c r="C176" s="507">
        <f>+($C$14^2/((2*$C$30)*(C175^2)*($C$21^2)))</f>
        <v>7.231193866318637E-3</v>
      </c>
      <c r="D176" s="521" t="s">
        <v>3</v>
      </c>
    </row>
    <row r="177" spans="2:6">
      <c r="B177" s="506" t="s">
        <v>582</v>
      </c>
      <c r="C177" s="507">
        <f>+(0.4)*(($C$37^2)/(2*$C$30))</f>
        <v>1.8511856297775714E-3</v>
      </c>
      <c r="D177" s="521" t="s">
        <v>3</v>
      </c>
    </row>
    <row r="178" spans="2:6">
      <c r="B178" s="506" t="s">
        <v>583</v>
      </c>
      <c r="C178" s="507">
        <f>+($C$14^2/((2*$C$30)*($C$33^2)*(C174^2)))</f>
        <v>7.2085836452701873E-3</v>
      </c>
      <c r="D178" s="521" t="s">
        <v>3</v>
      </c>
    </row>
    <row r="179" spans="2:6">
      <c r="B179" s="506" t="s">
        <v>584</v>
      </c>
      <c r="C179" s="507">
        <f>+C176+C177+C178</f>
        <v>1.6290963141366396E-2</v>
      </c>
      <c r="D179" s="521" t="s">
        <v>3</v>
      </c>
    </row>
    <row r="180" spans="2:6" ht="18">
      <c r="B180" s="506" t="s">
        <v>596</v>
      </c>
      <c r="C180" s="507">
        <f>(SQRT(($C$30*C179)/($C$29*$C$17)))</f>
        <v>34.286745570553727</v>
      </c>
      <c r="D180" s="521" t="s">
        <v>597</v>
      </c>
      <c r="E180" s="683" t="str">
        <f>IF(C180&lt;35,"No cumple",IF(C180&gt;55,"No cumple","Cumple"))</f>
        <v>No cumple</v>
      </c>
    </row>
    <row r="181" spans="2:6">
      <c r="B181" s="508" t="s">
        <v>589</v>
      </c>
      <c r="C181" s="515">
        <f>+C180*$C$17</f>
        <v>4628.7106520247535</v>
      </c>
      <c r="D181" s="522"/>
      <c r="F181" s="685"/>
    </row>
    <row r="182" spans="2:6">
      <c r="B182" s="508" t="s">
        <v>590</v>
      </c>
      <c r="C182" s="517">
        <f>+C179/$C$25</f>
        <v>1.0181851963353998E-2</v>
      </c>
      <c r="D182" s="522" t="s">
        <v>204</v>
      </c>
    </row>
    <row r="183" spans="2:6">
      <c r="C183" s="687"/>
      <c r="D183" s="687"/>
      <c r="E183" s="687"/>
      <c r="F183" s="687"/>
    </row>
    <row r="184" spans="2:6">
      <c r="B184" s="688" t="s">
        <v>622</v>
      </c>
      <c r="C184" s="687"/>
      <c r="D184" s="687"/>
      <c r="E184" s="687"/>
      <c r="F184" s="687"/>
    </row>
    <row r="185" spans="2:6">
      <c r="B185" s="519" t="s">
        <v>623</v>
      </c>
      <c r="C185" s="511" t="s">
        <v>624</v>
      </c>
      <c r="D185" s="520">
        <f>+(C17*C44)+(C17*C60)+(C17*C72)+(C17*C84)+(C17*C96)+(C17*C108)+(C17*C120)+(C17*C132)+(C17*C144)+(C17*C156)+(C17*C168)+(C17*C180)</f>
        <v>58135.218543592928</v>
      </c>
      <c r="E185" s="518"/>
      <c r="F185" s="683" t="str">
        <f>IF(D185&lt;25000,"No cumple",IF(D185&gt;150000,"No cumple","Cumple"))</f>
        <v>Cumple</v>
      </c>
    </row>
    <row r="186" spans="2:6" ht="18">
      <c r="B186" s="519" t="s">
        <v>625</v>
      </c>
      <c r="C186" s="511" t="s">
        <v>626</v>
      </c>
      <c r="D186" s="510">
        <f>+(C180+C168+C156+C144+C132+C120+C108+C96+C84+C72+C60+C44)/12</f>
        <v>35.885937372588224</v>
      </c>
      <c r="E186" s="506" t="s">
        <v>597</v>
      </c>
      <c r="F186" s="683" t="str">
        <f>IF(D186&lt;35,"No cumple",IF(D186&gt;55,"No cumple","Cumple"))</f>
        <v>Cumple</v>
      </c>
    </row>
    <row r="187" spans="2:6">
      <c r="B187" s="689"/>
      <c r="C187" s="690"/>
      <c r="D187" s="691"/>
      <c r="E187" s="692"/>
      <c r="F187" s="685"/>
    </row>
    <row r="188" spans="2:6">
      <c r="B188" s="689"/>
      <c r="C188" s="690"/>
      <c r="D188" s="691"/>
      <c r="E188" s="692"/>
      <c r="F188" s="685"/>
    </row>
    <row r="189" spans="2:6" ht="34.5" customHeight="1">
      <c r="B189" s="710" t="s">
        <v>627</v>
      </c>
      <c r="C189" s="710"/>
      <c r="D189" s="710"/>
      <c r="E189" s="710"/>
      <c r="F189" s="710"/>
    </row>
    <row r="190" spans="2:6">
      <c r="B190" s="667" t="s">
        <v>628</v>
      </c>
    </row>
    <row r="192" spans="2:6">
      <c r="B192" s="16" t="s">
        <v>57</v>
      </c>
    </row>
    <row r="193" spans="2:2">
      <c r="B193" s="5" t="s">
        <v>58</v>
      </c>
    </row>
    <row r="194" spans="2:2">
      <c r="B194" s="5" t="s">
        <v>59</v>
      </c>
    </row>
    <row r="195" spans="2:2">
      <c r="B195" s="5"/>
    </row>
    <row r="196" spans="2:2">
      <c r="B196" s="16" t="s">
        <v>60</v>
      </c>
    </row>
    <row r="197" spans="2:2">
      <c r="B197" s="5" t="s">
        <v>631</v>
      </c>
    </row>
  </sheetData>
  <dataConsolidate/>
  <mergeCells count="18">
    <mergeCell ref="G76:J80"/>
    <mergeCell ref="B189:F189"/>
    <mergeCell ref="G24:J32"/>
    <mergeCell ref="B34:E34"/>
    <mergeCell ref="G35:J42"/>
    <mergeCell ref="G45:J54"/>
    <mergeCell ref="G56:J60"/>
    <mergeCell ref="F59:F61"/>
    <mergeCell ref="AC1:AC2"/>
    <mergeCell ref="AD1:AD2"/>
    <mergeCell ref="B10:F10"/>
    <mergeCell ref="G63:J67"/>
    <mergeCell ref="G70:J73"/>
    <mergeCell ref="B11:E11"/>
    <mergeCell ref="G11:J21"/>
    <mergeCell ref="B12:E12"/>
    <mergeCell ref="AA1:AA2"/>
    <mergeCell ref="AB1:AB2"/>
  </mergeCells>
  <conditionalFormatting sqref="C37:C38 C47:C49 E187:E188 D185:D186">
    <cfRule type="cellIs" dxfId="46" priority="37" operator="between">
      <formula>0.25</formula>
      <formula>0.65</formula>
    </cfRule>
  </conditionalFormatting>
  <conditionalFormatting sqref="C45">
    <cfRule type="cellIs" dxfId="45" priority="36" operator="between">
      <formula>0.25</formula>
      <formula>0.65</formula>
    </cfRule>
  </conditionalFormatting>
  <conditionalFormatting sqref="C62">
    <cfRule type="cellIs" dxfId="44" priority="35" operator="between">
      <formula>0.25</formula>
      <formula>0.65</formula>
    </cfRule>
  </conditionalFormatting>
  <conditionalFormatting sqref="C74">
    <cfRule type="cellIs" dxfId="43" priority="34" operator="between">
      <formula>0.25</formula>
      <formula>0.65</formula>
    </cfRule>
  </conditionalFormatting>
  <conditionalFormatting sqref="C86">
    <cfRule type="cellIs" dxfId="42" priority="33" operator="between">
      <formula>0.25</formula>
      <formula>0.65</formula>
    </cfRule>
  </conditionalFormatting>
  <conditionalFormatting sqref="C98">
    <cfRule type="cellIs" dxfId="41" priority="32" operator="between">
      <formula>0.25</formula>
      <formula>0.65</formula>
    </cfRule>
  </conditionalFormatting>
  <conditionalFormatting sqref="C110">
    <cfRule type="cellIs" dxfId="40" priority="31" operator="between">
      <formula>0.25</formula>
      <formula>0.65</formula>
    </cfRule>
  </conditionalFormatting>
  <conditionalFormatting sqref="C122">
    <cfRule type="cellIs" dxfId="39" priority="30" operator="between">
      <formula>0.25</formula>
      <formula>0.65</formula>
    </cfRule>
  </conditionalFormatting>
  <conditionalFormatting sqref="C134">
    <cfRule type="cellIs" dxfId="38" priority="29" operator="between">
      <formula>0.25</formula>
      <formula>0.65</formula>
    </cfRule>
  </conditionalFormatting>
  <conditionalFormatting sqref="C146">
    <cfRule type="cellIs" dxfId="37" priority="28" operator="between">
      <formula>0.25</formula>
      <formula>0.65</formula>
    </cfRule>
  </conditionalFormatting>
  <conditionalFormatting sqref="C158">
    <cfRule type="cellIs" dxfId="36" priority="27" operator="between">
      <formula>0.25</formula>
      <formula>0.65</formula>
    </cfRule>
  </conditionalFormatting>
  <conditionalFormatting sqref="C170">
    <cfRule type="cellIs" dxfId="35" priority="26" operator="between">
      <formula>0.25</formula>
      <formula>0.65</formula>
    </cfRule>
  </conditionalFormatting>
  <conditionalFormatting sqref="C182">
    <cfRule type="cellIs" dxfId="34" priority="25" operator="between">
      <formula>0.25</formula>
      <formula>0.65</formula>
    </cfRule>
  </conditionalFormatting>
  <conditionalFormatting sqref="E72">
    <cfRule type="cellIs" dxfId="33" priority="24" operator="between">
      <formula>0.25</formula>
      <formula>0.65</formula>
    </cfRule>
  </conditionalFormatting>
  <conditionalFormatting sqref="F73">
    <cfRule type="cellIs" dxfId="32" priority="23" operator="between">
      <formula>0.25</formula>
      <formula>0.65</formula>
    </cfRule>
  </conditionalFormatting>
  <conditionalFormatting sqref="E84">
    <cfRule type="cellIs" dxfId="31" priority="22" operator="between">
      <formula>0.25</formula>
      <formula>0.65</formula>
    </cfRule>
  </conditionalFormatting>
  <conditionalFormatting sqref="F85">
    <cfRule type="cellIs" dxfId="30" priority="21" operator="between">
      <formula>0.25</formula>
      <formula>0.65</formula>
    </cfRule>
  </conditionalFormatting>
  <conditionalFormatting sqref="E96">
    <cfRule type="cellIs" dxfId="29" priority="20" operator="between">
      <formula>0.25</formula>
      <formula>0.65</formula>
    </cfRule>
  </conditionalFormatting>
  <conditionalFormatting sqref="F97">
    <cfRule type="cellIs" dxfId="28" priority="19" operator="between">
      <formula>0.25</formula>
      <formula>0.65</formula>
    </cfRule>
  </conditionalFormatting>
  <conditionalFormatting sqref="E108">
    <cfRule type="cellIs" dxfId="27" priority="18" operator="between">
      <formula>0.25</formula>
      <formula>0.65</formula>
    </cfRule>
  </conditionalFormatting>
  <conditionalFormatting sqref="F109">
    <cfRule type="cellIs" dxfId="26" priority="17" operator="between">
      <formula>0.25</formula>
      <formula>0.65</formula>
    </cfRule>
  </conditionalFormatting>
  <conditionalFormatting sqref="E120">
    <cfRule type="cellIs" dxfId="25" priority="16" operator="between">
      <formula>0.25</formula>
      <formula>0.65</formula>
    </cfRule>
  </conditionalFormatting>
  <conditionalFormatting sqref="F121">
    <cfRule type="cellIs" dxfId="24" priority="15" operator="between">
      <formula>0.25</formula>
      <formula>0.65</formula>
    </cfRule>
  </conditionalFormatting>
  <conditionalFormatting sqref="E132">
    <cfRule type="cellIs" dxfId="23" priority="14" operator="between">
      <formula>0.25</formula>
      <formula>0.65</formula>
    </cfRule>
  </conditionalFormatting>
  <conditionalFormatting sqref="F133">
    <cfRule type="cellIs" dxfId="22" priority="13" operator="between">
      <formula>0.25</formula>
      <formula>0.65</formula>
    </cfRule>
  </conditionalFormatting>
  <conditionalFormatting sqref="E144">
    <cfRule type="cellIs" dxfId="21" priority="12" operator="between">
      <formula>0.25</formula>
      <formula>0.65</formula>
    </cfRule>
  </conditionalFormatting>
  <conditionalFormatting sqref="F145">
    <cfRule type="cellIs" dxfId="20" priority="11" operator="between">
      <formula>0.25</formula>
      <formula>0.65</formula>
    </cfRule>
  </conditionalFormatting>
  <conditionalFormatting sqref="E156">
    <cfRule type="cellIs" dxfId="19" priority="10" operator="between">
      <formula>0.25</formula>
      <formula>0.65</formula>
    </cfRule>
  </conditionalFormatting>
  <conditionalFormatting sqref="F157">
    <cfRule type="cellIs" dxfId="18" priority="9" operator="between">
      <formula>0.25</formula>
      <formula>0.65</formula>
    </cfRule>
  </conditionalFormatting>
  <conditionalFormatting sqref="E168">
    <cfRule type="cellIs" dxfId="17" priority="8" operator="between">
      <formula>0.25</formula>
      <formula>0.65</formula>
    </cfRule>
  </conditionalFormatting>
  <conditionalFormatting sqref="F169">
    <cfRule type="cellIs" dxfId="16" priority="7" operator="between">
      <formula>0.25</formula>
      <formula>0.65</formula>
    </cfRule>
  </conditionalFormatting>
  <conditionalFormatting sqref="E180">
    <cfRule type="cellIs" dxfId="15" priority="6" operator="between">
      <formula>0.25</formula>
      <formula>0.65</formula>
    </cfRule>
  </conditionalFormatting>
  <conditionalFormatting sqref="F181">
    <cfRule type="cellIs" dxfId="14" priority="5" operator="between">
      <formula>0.25</formula>
      <formula>0.65</formula>
    </cfRule>
  </conditionalFormatting>
  <conditionalFormatting sqref="F186:F188">
    <cfRule type="cellIs" dxfId="13" priority="4" operator="between">
      <formula>0.25</formula>
      <formula>0.65</formula>
    </cfRule>
  </conditionalFormatting>
  <conditionalFormatting sqref="F185">
    <cfRule type="cellIs" dxfId="12" priority="3" operator="between">
      <formula>0.25</formula>
      <formula>0.65</formula>
    </cfRule>
  </conditionalFormatting>
  <conditionalFormatting sqref="E60">
    <cfRule type="cellIs" dxfId="11" priority="2" operator="between">
      <formula>0.25</formula>
      <formula>0.65</formula>
    </cfRule>
  </conditionalFormatting>
  <conditionalFormatting sqref="C50">
    <cfRule type="cellIs" dxfId="10" priority="1" operator="between">
      <formula>0.25</formula>
      <formula>0.65</formula>
    </cfRule>
  </conditionalFormatting>
  <dataValidations count="3">
    <dataValidation type="list" allowBlank="1" showInputMessage="1" showErrorMessage="1" sqref="C15" xr:uid="{C36657CD-4973-4421-A2E4-18B8371FBF2E}">
      <formula1>$AF$4:$AF$24</formula1>
    </dataValidation>
    <dataValidation type="list" allowBlank="1" showInputMessage="1" showErrorMessage="1" sqref="C31" xr:uid="{16944D3A-ED18-468A-9260-94053F7F849F}">
      <formula1>$AA$4:$AA$39</formula1>
    </dataValidation>
    <dataValidation type="decimal" allowBlank="1" showInputMessage="1" showErrorMessage="1" error="Ingrese un valor valido entre 10 y 100" prompt="Ingrese un caudal entre 10 y 100" sqref="C13" xr:uid="{C6A90F2D-54E4-4E3C-BE50-A8C1E127CC19}">
      <formula1>10</formula1>
      <formula2>100</formula2>
    </dataValidation>
  </dataValidations>
  <pageMargins left="0.7" right="0.7" top="0.75" bottom="0.75" header="0.3" footer="0.3"/>
  <pageSetup paperSize="9" scale="61" orientation="portrait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B2:BJ368"/>
  <sheetViews>
    <sheetView tabSelected="1" topLeftCell="B33" zoomScale="80" zoomScaleNormal="80" workbookViewId="0">
      <selection activeCell="B51" sqref="B51:E51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2:62">
      <c r="B2" s="17"/>
      <c r="C2" s="17"/>
      <c r="D2" s="16" t="s">
        <v>54</v>
      </c>
      <c r="F2" s="16"/>
      <c r="V2" s="20"/>
    </row>
    <row r="3" spans="2:62">
      <c r="B3" s="17"/>
      <c r="C3" s="17"/>
      <c r="D3" s="16" t="s">
        <v>55</v>
      </c>
      <c r="F3" s="16"/>
    </row>
    <row r="4" spans="2:62">
      <c r="B4" s="17"/>
      <c r="C4" s="17"/>
      <c r="D4" s="501" t="s">
        <v>56</v>
      </c>
      <c r="F4" s="501"/>
      <c r="I4"/>
      <c r="J4" s="31"/>
      <c r="K4" s="31"/>
      <c r="L4" s="31"/>
      <c r="M4" s="31"/>
    </row>
    <row r="5" spans="2:62" ht="15" customHeight="1">
      <c r="B5" s="17"/>
      <c r="C5" s="17"/>
      <c r="D5" s="16" t="s">
        <v>61</v>
      </c>
      <c r="F5" s="16"/>
    </row>
    <row r="6" spans="2:62" ht="20.100000000000001" customHeight="1">
      <c r="T6" s="371" t="s">
        <v>129</v>
      </c>
      <c r="U6" s="541" t="s">
        <v>184</v>
      </c>
      <c r="V6" s="704" t="s">
        <v>132</v>
      </c>
      <c r="W6" s="704" t="s">
        <v>130</v>
      </c>
      <c r="Y6" s="745" t="s">
        <v>658</v>
      </c>
      <c r="Z6" s="751"/>
      <c r="AA6" s="742" t="s">
        <v>632</v>
      </c>
      <c r="AB6" s="742" t="s">
        <v>698</v>
      </c>
      <c r="AC6" s="742"/>
      <c r="AD6" s="742"/>
      <c r="AE6" s="745" t="s">
        <v>697</v>
      </c>
      <c r="AF6" s="854"/>
      <c r="AG6" s="751"/>
      <c r="AH6" s="742" t="s">
        <v>699</v>
      </c>
      <c r="AJ6" s="763" t="s">
        <v>692</v>
      </c>
      <c r="AK6" s="764"/>
      <c r="AL6" s="764"/>
      <c r="AM6" s="764"/>
      <c r="AN6" s="764"/>
      <c r="AO6" s="764"/>
      <c r="AP6" s="764"/>
      <c r="AQ6" s="764"/>
      <c r="AR6" s="764"/>
      <c r="AS6" s="764"/>
      <c r="AT6" s="764"/>
      <c r="AU6" s="765"/>
      <c r="AW6" s="845" t="s">
        <v>661</v>
      </c>
      <c r="AX6" s="846"/>
      <c r="AY6" s="847"/>
      <c r="BA6" s="742" t="s">
        <v>17</v>
      </c>
      <c r="BC6" s="745" t="s">
        <v>730</v>
      </c>
      <c r="BD6" s="751"/>
      <c r="BE6" s="742" t="s">
        <v>287</v>
      </c>
      <c r="BG6" s="745" t="s">
        <v>731</v>
      </c>
      <c r="BH6" s="782" t="s">
        <v>732</v>
      </c>
      <c r="BI6" s="782" t="s">
        <v>287</v>
      </c>
    </row>
    <row r="7" spans="2:62" ht="20.100000000000001" customHeight="1">
      <c r="B7" s="23" t="s">
        <v>179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42" t="s">
        <v>135</v>
      </c>
      <c r="U7" s="542" t="s">
        <v>134</v>
      </c>
      <c r="V7" s="705"/>
      <c r="W7" s="705"/>
      <c r="Y7" s="746"/>
      <c r="Z7" s="752"/>
      <c r="AA7" s="742"/>
      <c r="AB7" s="742"/>
      <c r="AC7" s="742"/>
      <c r="AD7" s="742"/>
      <c r="AE7" s="746"/>
      <c r="AF7" s="855"/>
      <c r="AG7" s="752"/>
      <c r="AH7" s="742"/>
      <c r="AJ7" s="763" t="str">
        <f>Y10</f>
        <v>Placas planas paralelas</v>
      </c>
      <c r="AK7" s="764"/>
      <c r="AL7" s="764"/>
      <c r="AM7" s="765"/>
      <c r="AN7" s="763" t="str">
        <f>Y11</f>
        <v>Placas onduladas paralelas</v>
      </c>
      <c r="AO7" s="764"/>
      <c r="AP7" s="764"/>
      <c r="AQ7" s="765"/>
      <c r="AR7" s="763" t="str">
        <f>Y12</f>
        <v>Conductos cuadrados</v>
      </c>
      <c r="AS7" s="764"/>
      <c r="AT7" s="764"/>
      <c r="AU7" s="765"/>
      <c r="AW7" s="848"/>
      <c r="AX7" s="849"/>
      <c r="AY7" s="850"/>
      <c r="BA7" s="742"/>
      <c r="BC7" s="746"/>
      <c r="BD7" s="752"/>
      <c r="BE7" s="742"/>
      <c r="BG7" s="746"/>
      <c r="BH7" s="783"/>
      <c r="BI7" s="783"/>
    </row>
    <row r="8" spans="2:62" ht="20.100000000000001" customHeight="1">
      <c r="B8" s="711" t="s">
        <v>180</v>
      </c>
      <c r="C8" s="712"/>
      <c r="D8" s="712"/>
      <c r="E8" s="713"/>
      <c r="F8" s="543" t="s">
        <v>182</v>
      </c>
      <c r="G8" s="310">
        <v>1.3</v>
      </c>
      <c r="H8" s="268"/>
      <c r="I8" s="51"/>
      <c r="J8" s="51"/>
      <c r="K8" s="51"/>
      <c r="L8" s="51"/>
      <c r="T8" s="374" t="s">
        <v>131</v>
      </c>
      <c r="U8" s="374" t="s">
        <v>136</v>
      </c>
      <c r="V8" s="375" t="s">
        <v>133</v>
      </c>
      <c r="W8" s="374" t="s">
        <v>137</v>
      </c>
      <c r="Y8" s="746"/>
      <c r="Z8" s="752"/>
      <c r="AA8" s="742"/>
      <c r="AB8" s="742"/>
      <c r="AC8" s="742"/>
      <c r="AD8" s="742"/>
      <c r="AE8" s="747"/>
      <c r="AF8" s="856"/>
      <c r="AG8" s="753"/>
      <c r="AH8" s="742"/>
      <c r="AJ8" s="556" t="s">
        <v>691</v>
      </c>
      <c r="AK8" s="557"/>
      <c r="AL8" s="545" t="s">
        <v>690</v>
      </c>
      <c r="AM8" s="545" t="s">
        <v>670</v>
      </c>
      <c r="AN8" s="763" t="s">
        <v>691</v>
      </c>
      <c r="AO8" s="765"/>
      <c r="AP8" s="545" t="s">
        <v>690</v>
      </c>
      <c r="AQ8" s="545" t="s">
        <v>670</v>
      </c>
      <c r="AR8" s="763" t="s">
        <v>691</v>
      </c>
      <c r="AS8" s="765"/>
      <c r="AT8" s="545" t="s">
        <v>690</v>
      </c>
      <c r="AU8" s="545" t="s">
        <v>670</v>
      </c>
      <c r="AW8" s="848"/>
      <c r="AX8" s="849"/>
      <c r="AY8" s="850"/>
      <c r="BA8" s="742"/>
      <c r="BC8" s="747"/>
      <c r="BD8" s="753"/>
      <c r="BE8" s="742"/>
      <c r="BG8" s="747"/>
      <c r="BH8" s="784"/>
      <c r="BI8" s="784"/>
    </row>
    <row r="9" spans="2:62" ht="20.100000000000001" customHeight="1">
      <c r="B9" s="711" t="s">
        <v>181</v>
      </c>
      <c r="C9" s="712"/>
      <c r="D9" s="712"/>
      <c r="E9" s="713"/>
      <c r="F9" s="543" t="s">
        <v>183</v>
      </c>
      <c r="G9" s="310">
        <v>1.6</v>
      </c>
      <c r="H9" s="268"/>
      <c r="I9" s="51"/>
      <c r="J9" s="51"/>
      <c r="K9" s="51"/>
      <c r="L9" s="51"/>
      <c r="T9" s="376" t="s">
        <v>140</v>
      </c>
      <c r="U9" s="377"/>
      <c r="V9" s="378"/>
      <c r="W9" s="379"/>
      <c r="Y9" s="357" t="s">
        <v>140</v>
      </c>
      <c r="Z9" s="358"/>
      <c r="AA9" s="358"/>
      <c r="AB9" s="334"/>
      <c r="AC9" s="334"/>
      <c r="AD9" s="334"/>
      <c r="AE9" s="334"/>
      <c r="AF9" s="334"/>
      <c r="AG9" s="334"/>
      <c r="AH9" s="334"/>
      <c r="AJ9" s="567" t="s">
        <v>668</v>
      </c>
      <c r="AK9" s="558"/>
      <c r="AL9" s="64" t="s">
        <v>671</v>
      </c>
      <c r="AM9" s="64">
        <v>4</v>
      </c>
      <c r="AN9" s="577" t="s">
        <v>669</v>
      </c>
      <c r="AO9" s="561"/>
      <c r="AP9" s="64" t="s">
        <v>677</v>
      </c>
      <c r="AQ9" s="64">
        <v>1.5</v>
      </c>
      <c r="AR9" s="577" t="s">
        <v>669</v>
      </c>
      <c r="AS9" s="561"/>
      <c r="AT9" s="64" t="s">
        <v>687</v>
      </c>
      <c r="AU9" s="64">
        <v>1.5</v>
      </c>
      <c r="AV9" s="540"/>
      <c r="AW9" s="357"/>
      <c r="AX9" s="553"/>
      <c r="AY9" s="358"/>
      <c r="BA9" s="64"/>
      <c r="BC9" s="743" t="s">
        <v>751</v>
      </c>
      <c r="BD9" s="744"/>
      <c r="BE9" s="643">
        <v>9.7379999999999994E-2</v>
      </c>
      <c r="BG9" s="658"/>
      <c r="BH9" s="659"/>
      <c r="BI9" s="660"/>
      <c r="BJ9" s="645"/>
    </row>
    <row r="10" spans="2:62" ht="20.100000000000001" customHeight="1">
      <c r="B10" s="711" t="s">
        <v>176</v>
      </c>
      <c r="C10" s="712"/>
      <c r="D10" s="712"/>
      <c r="E10" s="713"/>
      <c r="F10" s="543" t="s">
        <v>177</v>
      </c>
      <c r="G10" s="310">
        <v>4.4040000000000003E-2</v>
      </c>
      <c r="H10" s="543" t="s">
        <v>164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634</v>
      </c>
      <c r="Z10" s="334"/>
      <c r="AA10" s="328">
        <v>1</v>
      </c>
      <c r="AB10" s="584" t="s">
        <v>668</v>
      </c>
      <c r="AC10" s="584" t="s">
        <v>675</v>
      </c>
      <c r="AD10" s="584" t="s">
        <v>688</v>
      </c>
      <c r="AE10" s="583" t="str">
        <f>Y10&amp;" - "&amp;AB10</f>
        <v>Placas planas paralelas - Acero inoxidable AISI 316</v>
      </c>
      <c r="AF10" s="583" t="str">
        <f>Y10&amp;" - "&amp;AC10</f>
        <v>Placas planas paralelas - Polietileno alta densidad (HDPE)</v>
      </c>
      <c r="AG10" s="583" t="str">
        <f>Y10&amp;" - "&amp;AD10</f>
        <v>Placas planas paralelas - Poliestireno de alto impacto(HIPS)</v>
      </c>
      <c r="AH10" s="851" t="str">
        <f>F38&amp;" - "&amp;F39</f>
        <v>Placas onduladas paralelas - Polipropileno (PP)</v>
      </c>
      <c r="AJ10" s="568"/>
      <c r="AK10" s="559"/>
      <c r="AL10" s="64" t="s">
        <v>672</v>
      </c>
      <c r="AM10" s="64">
        <v>4</v>
      </c>
      <c r="AN10" s="575"/>
      <c r="AO10" s="562"/>
      <c r="AP10" s="64" t="s">
        <v>678</v>
      </c>
      <c r="AQ10" s="64">
        <v>1.5</v>
      </c>
      <c r="AR10" s="575"/>
      <c r="AS10" s="562"/>
      <c r="AT10" s="64" t="s">
        <v>681</v>
      </c>
      <c r="AU10" s="64">
        <v>1.5</v>
      </c>
      <c r="AW10" s="357" t="s">
        <v>662</v>
      </c>
      <c r="AX10" s="553"/>
      <c r="AY10" s="358"/>
      <c r="BA10" s="64">
        <v>2</v>
      </c>
      <c r="BC10" s="743" t="s">
        <v>736</v>
      </c>
      <c r="BD10" s="744"/>
      <c r="BE10" s="643">
        <v>0.14334</v>
      </c>
      <c r="BG10" s="658" t="s">
        <v>738</v>
      </c>
      <c r="BH10" s="659">
        <v>9</v>
      </c>
      <c r="BI10" s="660">
        <v>1.66E-2</v>
      </c>
      <c r="BJ10" s="645"/>
    </row>
    <row r="11" spans="2:62" ht="20.100000000000001" customHeight="1">
      <c r="B11" s="711" t="s">
        <v>175</v>
      </c>
      <c r="C11" s="712"/>
      <c r="D11" s="712"/>
      <c r="E11" s="713"/>
      <c r="F11" s="543" t="s">
        <v>174</v>
      </c>
      <c r="G11" s="269">
        <f>G10*G8</f>
        <v>5.7252000000000004E-2</v>
      </c>
      <c r="H11" s="543" t="s">
        <v>164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635</v>
      </c>
      <c r="Z11" s="334"/>
      <c r="AA11" s="340">
        <v>1.3</v>
      </c>
      <c r="AB11" s="585" t="s">
        <v>669</v>
      </c>
      <c r="AC11" s="585" t="s">
        <v>676</v>
      </c>
      <c r="AD11" s="585"/>
      <c r="AE11" s="583" t="str">
        <f>Y11&amp;" - "&amp;AB11</f>
        <v>Placas onduladas paralelas - Acrilonitrilo butadieno estireno (ABS)</v>
      </c>
      <c r="AF11" s="583" t="str">
        <f>Y11&amp;" - "&amp;AC11</f>
        <v>Placas onduladas paralelas - Polipropileno (PP)</v>
      </c>
      <c r="AG11" s="583"/>
      <c r="AH11" s="852"/>
      <c r="AJ11" s="568"/>
      <c r="AK11" s="559"/>
      <c r="AL11" s="64" t="s">
        <v>673</v>
      </c>
      <c r="AM11" s="64">
        <v>4</v>
      </c>
      <c r="AN11" s="575"/>
      <c r="AO11" s="562"/>
      <c r="AP11" s="64" t="s">
        <v>679</v>
      </c>
      <c r="AQ11" s="64">
        <v>1.5</v>
      </c>
      <c r="AR11" s="575"/>
      <c r="AS11" s="562"/>
      <c r="AT11" s="64" t="s">
        <v>689</v>
      </c>
      <c r="AU11" s="64">
        <v>1.5</v>
      </c>
      <c r="AW11" s="357" t="s">
        <v>667</v>
      </c>
      <c r="AX11" s="553"/>
      <c r="AY11" s="358"/>
      <c r="BA11" s="64">
        <v>3</v>
      </c>
      <c r="BC11" s="743" t="s">
        <v>737</v>
      </c>
      <c r="BD11" s="744"/>
      <c r="BE11" s="643">
        <v>0.18662000000000001</v>
      </c>
      <c r="BG11" s="658" t="s">
        <v>739</v>
      </c>
      <c r="BH11" s="659">
        <v>11</v>
      </c>
      <c r="BI11" s="660">
        <v>2.181E-2</v>
      </c>
      <c r="BJ11" s="645"/>
    </row>
    <row r="12" spans="2:62" ht="20.100000000000001" customHeight="1">
      <c r="B12" s="711" t="s">
        <v>178</v>
      </c>
      <c r="C12" s="712"/>
      <c r="D12" s="712"/>
      <c r="E12" s="713"/>
      <c r="F12" s="543" t="s">
        <v>218</v>
      </c>
      <c r="G12" s="269">
        <f>G10*G9</f>
        <v>7.0464000000000013E-2</v>
      </c>
      <c r="H12" s="543" t="s">
        <v>164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633</v>
      </c>
      <c r="Z12" s="334"/>
      <c r="AA12" s="329">
        <f>11/8</f>
        <v>1.375</v>
      </c>
      <c r="AB12" s="585" t="s">
        <v>669</v>
      </c>
      <c r="AC12" s="585" t="s">
        <v>676</v>
      </c>
      <c r="AD12" s="586"/>
      <c r="AE12" s="583" t="str">
        <f>Y12&amp;" - "&amp;AB12</f>
        <v>Conductos cuadrados - Acrilonitrilo butadieno estireno (ABS)</v>
      </c>
      <c r="AF12" s="583" t="str">
        <f>Y12&amp;" - "&amp;AC12</f>
        <v>Conductos cuadrados - Polipropileno (PP)</v>
      </c>
      <c r="AG12" s="583"/>
      <c r="AH12" s="853"/>
      <c r="AJ12" s="569"/>
      <c r="AK12" s="560"/>
      <c r="AL12" s="64" t="s">
        <v>674</v>
      </c>
      <c r="AM12" s="64">
        <v>5</v>
      </c>
      <c r="AN12" s="575"/>
      <c r="AO12" s="562"/>
      <c r="AP12" s="64" t="s">
        <v>680</v>
      </c>
      <c r="AQ12" s="64">
        <v>1.5</v>
      </c>
      <c r="AR12" s="576"/>
      <c r="AS12" s="563"/>
      <c r="AT12" s="64" t="s">
        <v>686</v>
      </c>
      <c r="AU12" s="64">
        <v>1.5</v>
      </c>
      <c r="BA12" s="64">
        <v>4</v>
      </c>
      <c r="BC12" s="655"/>
      <c r="BD12" s="655"/>
      <c r="BE12" s="665"/>
      <c r="BG12" s="658" t="s">
        <v>740</v>
      </c>
      <c r="BH12" s="661">
        <v>21</v>
      </c>
      <c r="BI12" s="660">
        <v>2.3630000000000002E-2</v>
      </c>
      <c r="BJ12" s="645"/>
    </row>
    <row r="13" spans="2:62" ht="20.100000000000001" customHeight="1">
      <c r="B13" s="544"/>
      <c r="C13" s="544"/>
      <c r="D13" s="544"/>
      <c r="E13" s="544"/>
      <c r="F13" s="75"/>
      <c r="G13" s="532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70" t="s">
        <v>675</v>
      </c>
      <c r="AK13" s="561"/>
      <c r="AL13" s="64" t="s">
        <v>677</v>
      </c>
      <c r="AM13" s="64">
        <v>8</v>
      </c>
      <c r="AN13" s="575"/>
      <c r="AO13" s="562"/>
      <c r="AP13" s="64" t="s">
        <v>681</v>
      </c>
      <c r="AQ13" s="64">
        <v>1.5</v>
      </c>
      <c r="AR13" s="577" t="s">
        <v>676</v>
      </c>
      <c r="AS13" s="561"/>
      <c r="AT13" s="64" t="s">
        <v>687</v>
      </c>
      <c r="AU13" s="64">
        <v>1.5</v>
      </c>
      <c r="BA13" s="64">
        <v>5</v>
      </c>
      <c r="BG13" s="658" t="s">
        <v>741</v>
      </c>
      <c r="BH13" s="661">
        <v>13.5</v>
      </c>
      <c r="BI13" s="660">
        <v>2.8479999999999998E-2</v>
      </c>
      <c r="BJ13" s="645"/>
    </row>
    <row r="14" spans="2:62" ht="20.100000000000001" customHeight="1">
      <c r="B14" s="23" t="s">
        <v>636</v>
      </c>
      <c r="C14" s="544"/>
      <c r="D14" s="544"/>
      <c r="E14" s="544"/>
      <c r="F14" s="75"/>
      <c r="G14" s="532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71"/>
      <c r="AK14" s="562"/>
      <c r="AL14" s="64" t="s">
        <v>678</v>
      </c>
      <c r="AM14" s="64">
        <v>8</v>
      </c>
      <c r="AN14" s="575"/>
      <c r="AO14" s="562"/>
      <c r="AP14" s="64" t="s">
        <v>682</v>
      </c>
      <c r="AQ14" s="64">
        <v>1.5</v>
      </c>
      <c r="AR14" s="575"/>
      <c r="AS14" s="562"/>
      <c r="AT14" s="64" t="s">
        <v>681</v>
      </c>
      <c r="AU14" s="64">
        <v>1.5</v>
      </c>
      <c r="BA14" s="64">
        <v>6</v>
      </c>
      <c r="BG14" s="658" t="s">
        <v>742</v>
      </c>
      <c r="BH14" s="659">
        <v>21</v>
      </c>
      <c r="BI14" s="660">
        <v>3.0200000000000001E-2</v>
      </c>
      <c r="BJ14" s="645"/>
    </row>
    <row r="15" spans="2:62" ht="20.100000000000001" customHeight="1">
      <c r="B15" s="711" t="s">
        <v>647</v>
      </c>
      <c r="C15" s="712"/>
      <c r="D15" s="712"/>
      <c r="E15" s="713"/>
      <c r="F15" s="543" t="s">
        <v>648</v>
      </c>
      <c r="G15" s="269" t="s">
        <v>646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71"/>
      <c r="AK15" s="562"/>
      <c r="AL15" s="64" t="s">
        <v>679</v>
      </c>
      <c r="AM15" s="64">
        <v>8</v>
      </c>
      <c r="AN15" s="575"/>
      <c r="AO15" s="562"/>
      <c r="AP15" s="64" t="s">
        <v>683</v>
      </c>
      <c r="AQ15" s="64">
        <v>1.5</v>
      </c>
      <c r="AR15" s="575"/>
      <c r="AS15" s="562"/>
      <c r="AT15" s="64" t="s">
        <v>689</v>
      </c>
      <c r="AU15" s="64">
        <v>1.5</v>
      </c>
      <c r="BA15" s="64">
        <v>7</v>
      </c>
      <c r="BG15" s="658" t="s">
        <v>743</v>
      </c>
      <c r="BH15" s="659">
        <v>21</v>
      </c>
      <c r="BI15" s="660">
        <v>3.814E-2</v>
      </c>
      <c r="BJ15" s="645"/>
    </row>
    <row r="16" spans="2:62" ht="20.100000000000001" customHeight="1">
      <c r="B16" s="711" t="s">
        <v>649</v>
      </c>
      <c r="C16" s="712"/>
      <c r="D16" s="712"/>
      <c r="E16" s="713"/>
      <c r="F16" s="551" t="s">
        <v>650</v>
      </c>
      <c r="G16" s="269" t="s">
        <v>646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696</v>
      </c>
      <c r="Z16" s="22">
        <v>3197150944</v>
      </c>
      <c r="AA16" s="36"/>
      <c r="AB16" s="36"/>
      <c r="AC16" s="36"/>
      <c r="AD16" s="36"/>
      <c r="AJ16" s="571"/>
      <c r="AK16" s="562"/>
      <c r="AL16" s="64" t="s">
        <v>680</v>
      </c>
      <c r="AM16" s="64">
        <v>8</v>
      </c>
      <c r="AN16" s="575"/>
      <c r="AO16" s="562"/>
      <c r="AP16" s="64" t="s">
        <v>684</v>
      </c>
      <c r="AQ16" s="64">
        <v>1.5</v>
      </c>
      <c r="AR16" s="576"/>
      <c r="AS16" s="563"/>
      <c r="AT16" s="64" t="s">
        <v>686</v>
      </c>
      <c r="AU16" s="64">
        <v>1.5</v>
      </c>
      <c r="BA16" s="64">
        <v>8</v>
      </c>
      <c r="BG16" s="658" t="s">
        <v>744</v>
      </c>
      <c r="BH16" s="659">
        <v>21</v>
      </c>
      <c r="BI16" s="660">
        <v>4.3679999999999997E-2</v>
      </c>
      <c r="BJ16" s="645"/>
    </row>
    <row r="17" spans="2:61" ht="20.100000000000001" customHeight="1">
      <c r="B17" s="816" t="s">
        <v>663</v>
      </c>
      <c r="C17" s="817"/>
      <c r="D17" s="817"/>
      <c r="E17" s="818"/>
      <c r="F17" s="758" t="s">
        <v>664</v>
      </c>
      <c r="G17" s="759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71"/>
      <c r="AK17" s="562"/>
      <c r="AL17" s="64" t="s">
        <v>681</v>
      </c>
      <c r="AM17" s="64">
        <v>8</v>
      </c>
      <c r="AN17" s="575"/>
      <c r="AO17" s="562"/>
      <c r="AP17" s="64" t="s">
        <v>685</v>
      </c>
      <c r="AQ17" s="64">
        <v>1.5</v>
      </c>
      <c r="AR17" s="22"/>
      <c r="AS17" s="22"/>
      <c r="AT17" s="22"/>
      <c r="BA17" s="22"/>
      <c r="BG17" s="658" t="s">
        <v>745</v>
      </c>
      <c r="BH17" s="659">
        <v>21</v>
      </c>
      <c r="BI17" s="660">
        <v>5.4579999999999997E-2</v>
      </c>
    </row>
    <row r="18" spans="2:61" ht="20.100000000000001" customHeight="1">
      <c r="B18" s="819"/>
      <c r="C18" s="820"/>
      <c r="D18" s="820"/>
      <c r="E18" s="821"/>
      <c r="F18" s="758"/>
      <c r="G18" s="760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71"/>
      <c r="AK18" s="562"/>
      <c r="AL18" s="64" t="s">
        <v>682</v>
      </c>
      <c r="AM18" s="64">
        <v>8</v>
      </c>
      <c r="AN18" s="576"/>
      <c r="AO18" s="563"/>
      <c r="AP18" s="64" t="s">
        <v>686</v>
      </c>
      <c r="AQ18" s="64">
        <v>1.5</v>
      </c>
      <c r="AR18" s="22"/>
      <c r="AS18" s="22"/>
      <c r="AT18" s="22"/>
      <c r="BA18" s="22"/>
      <c r="BG18" s="658" t="s">
        <v>748</v>
      </c>
      <c r="BH18" s="659">
        <v>26</v>
      </c>
      <c r="BI18" s="660">
        <v>5.57E-2</v>
      </c>
    </row>
    <row r="19" spans="2:61" ht="20.100000000000001" customHeight="1">
      <c r="B19" s="816" t="s">
        <v>666</v>
      </c>
      <c r="C19" s="817"/>
      <c r="D19" s="817"/>
      <c r="E19" s="818"/>
      <c r="F19" s="758" t="s">
        <v>665</v>
      </c>
      <c r="G19" s="759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71"/>
      <c r="AK19" s="562"/>
      <c r="AL19" s="64" t="s">
        <v>683</v>
      </c>
      <c r="AM19" s="549">
        <v>8</v>
      </c>
      <c r="AN19" s="577" t="s">
        <v>676</v>
      </c>
      <c r="AO19" s="578"/>
      <c r="AP19" s="64" t="s">
        <v>677</v>
      </c>
      <c r="AQ19" s="64">
        <v>1.5</v>
      </c>
      <c r="AR19" s="22"/>
      <c r="AS19" s="22"/>
      <c r="AT19" s="22"/>
      <c r="BA19" s="22"/>
      <c r="BG19" s="658" t="s">
        <v>747</v>
      </c>
      <c r="BH19" s="659">
        <v>21</v>
      </c>
      <c r="BI19" s="660">
        <v>6.6070000000000004E-2</v>
      </c>
    </row>
    <row r="20" spans="2:61" ht="20.100000000000001" customHeight="1">
      <c r="B20" s="819"/>
      <c r="C20" s="820"/>
      <c r="D20" s="820"/>
      <c r="E20" s="821"/>
      <c r="F20" s="758"/>
      <c r="G20" s="760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71"/>
      <c r="AK20" s="562"/>
      <c r="AL20" s="64" t="s">
        <v>684</v>
      </c>
      <c r="AM20" s="549">
        <v>8</v>
      </c>
      <c r="AN20" s="579"/>
      <c r="AO20" s="580"/>
      <c r="AP20" s="64" t="s">
        <v>678</v>
      </c>
      <c r="AQ20" s="64">
        <v>1.5</v>
      </c>
      <c r="AR20" s="22"/>
      <c r="AS20" s="22"/>
      <c r="AT20" s="22"/>
      <c r="BA20" s="22"/>
      <c r="BG20" s="658" t="s">
        <v>749</v>
      </c>
      <c r="BH20" s="659">
        <v>26</v>
      </c>
      <c r="BI20" s="660">
        <v>6.7449999999999996E-2</v>
      </c>
    </row>
    <row r="21" spans="2:61" ht="20.100000000000001" customHeight="1">
      <c r="B21" s="711" t="s">
        <v>638</v>
      </c>
      <c r="C21" s="712"/>
      <c r="D21" s="712"/>
      <c r="E21" s="713"/>
      <c r="F21" s="593" t="s">
        <v>652</v>
      </c>
      <c r="G21" s="269" t="s">
        <v>38</v>
      </c>
      <c r="H21" s="75"/>
      <c r="I21" s="761"/>
      <c r="J21" s="761"/>
      <c r="K21" s="761"/>
      <c r="L21" s="761"/>
      <c r="M21" s="624"/>
      <c r="N21" s="532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71"/>
      <c r="AK21" s="562"/>
      <c r="AL21" s="64" t="s">
        <v>685</v>
      </c>
      <c r="AM21" s="549">
        <v>8</v>
      </c>
      <c r="AN21" s="579"/>
      <c r="AO21" s="580"/>
      <c r="AP21" s="64" t="s">
        <v>679</v>
      </c>
      <c r="AQ21" s="64">
        <v>1.5</v>
      </c>
      <c r="AR21" s="22"/>
      <c r="AS21" s="22"/>
      <c r="AT21" s="22"/>
      <c r="BG21" s="658" t="s">
        <v>746</v>
      </c>
      <c r="BH21" s="659">
        <v>21</v>
      </c>
      <c r="BI21" s="660">
        <v>8.0420000000000005E-2</v>
      </c>
    </row>
    <row r="22" spans="2:61" ht="20.100000000000001" customHeight="1">
      <c r="B22" s="711" t="s">
        <v>637</v>
      </c>
      <c r="C22" s="712"/>
      <c r="D22" s="712"/>
      <c r="E22" s="713"/>
      <c r="F22" s="593" t="s">
        <v>651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72"/>
      <c r="AK22" s="563"/>
      <c r="AL22" s="64" t="s">
        <v>686</v>
      </c>
      <c r="AM22" s="549">
        <v>8</v>
      </c>
      <c r="AN22" s="579"/>
      <c r="AO22" s="580"/>
      <c r="AP22" s="64" t="s">
        <v>680</v>
      </c>
      <c r="AQ22" s="64">
        <v>1.5</v>
      </c>
      <c r="AR22" s="22"/>
      <c r="AS22" s="22"/>
      <c r="AT22" s="22"/>
      <c r="BG22" s="658" t="s">
        <v>750</v>
      </c>
      <c r="BH22" s="659">
        <v>26</v>
      </c>
      <c r="BI22" s="660">
        <v>8.2040000000000002E-2</v>
      </c>
    </row>
    <row r="23" spans="2:61" ht="20.100000000000001" customHeight="1">
      <c r="B23" s="711" t="s">
        <v>639</v>
      </c>
      <c r="C23" s="712"/>
      <c r="D23" s="712"/>
      <c r="E23" s="713"/>
      <c r="F23" s="543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67" t="s">
        <v>688</v>
      </c>
      <c r="AK23" s="564"/>
      <c r="AL23" s="359" t="s">
        <v>677</v>
      </c>
      <c r="AM23" s="549">
        <v>3</v>
      </c>
      <c r="AN23" s="579"/>
      <c r="AO23" s="580"/>
      <c r="AP23" s="64" t="s">
        <v>681</v>
      </c>
      <c r="AQ23" s="64">
        <v>1.5</v>
      </c>
      <c r="AR23" s="22"/>
      <c r="AS23" s="22"/>
      <c r="AT23" s="22"/>
    </row>
    <row r="24" spans="2:61" ht="20.100000000000001" customHeight="1">
      <c r="B24" s="711" t="s">
        <v>53</v>
      </c>
      <c r="C24" s="712"/>
      <c r="D24" s="712"/>
      <c r="E24" s="713"/>
      <c r="F24" s="543" t="s">
        <v>653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73"/>
      <c r="AK24" s="565"/>
      <c r="AL24" s="359" t="s">
        <v>687</v>
      </c>
      <c r="AM24" s="549">
        <v>5</v>
      </c>
      <c r="AN24" s="579"/>
      <c r="AO24" s="580"/>
      <c r="AP24" s="64" t="s">
        <v>682</v>
      </c>
      <c r="AQ24" s="64">
        <v>1.5</v>
      </c>
      <c r="AR24" s="22"/>
      <c r="AS24" s="22"/>
      <c r="AT24" s="22"/>
    </row>
    <row r="25" spans="2:61" ht="20.100000000000001" customHeight="1">
      <c r="B25" s="711" t="s">
        <v>640</v>
      </c>
      <c r="C25" s="712"/>
      <c r="D25" s="712"/>
      <c r="E25" s="713"/>
      <c r="F25" s="543" t="s">
        <v>654</v>
      </c>
      <c r="G25" s="269" t="s">
        <v>644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73"/>
      <c r="AK25" s="565"/>
      <c r="AL25" s="359" t="s">
        <v>683</v>
      </c>
      <c r="AM25" s="549">
        <v>3</v>
      </c>
      <c r="AN25" s="579"/>
      <c r="AO25" s="580"/>
      <c r="AP25" s="64" t="s">
        <v>683</v>
      </c>
      <c r="AQ25" s="64">
        <v>1.5</v>
      </c>
      <c r="AR25" s="22"/>
      <c r="AS25" s="22"/>
      <c r="AT25" s="22"/>
    </row>
    <row r="26" spans="2:61" ht="20.100000000000001" customHeight="1">
      <c r="B26" s="711" t="s">
        <v>641</v>
      </c>
      <c r="C26" s="712"/>
      <c r="D26" s="712"/>
      <c r="E26" s="713"/>
      <c r="F26" s="550" t="s">
        <v>655</v>
      </c>
      <c r="G26" s="547" t="s">
        <v>645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74"/>
      <c r="AK26" s="566"/>
      <c r="AL26" s="359" t="s">
        <v>686</v>
      </c>
      <c r="AM26" s="549">
        <v>5</v>
      </c>
      <c r="AN26" s="579"/>
      <c r="AO26" s="580"/>
      <c r="AP26" s="64" t="s">
        <v>684</v>
      </c>
      <c r="AQ26" s="64">
        <v>1.5</v>
      </c>
      <c r="AR26" s="22"/>
      <c r="AS26" s="22"/>
      <c r="AT26" s="22"/>
    </row>
    <row r="27" spans="2:61" ht="20.100000000000001" customHeight="1">
      <c r="B27" s="711" t="s">
        <v>642</v>
      </c>
      <c r="C27" s="712"/>
      <c r="D27" s="712"/>
      <c r="E27" s="713"/>
      <c r="F27" s="285" t="s">
        <v>656</v>
      </c>
      <c r="G27" s="547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79"/>
      <c r="AO27" s="580"/>
      <c r="AP27" s="64" t="s">
        <v>685</v>
      </c>
      <c r="AQ27" s="64">
        <v>1.5</v>
      </c>
      <c r="AR27" s="22"/>
      <c r="AS27" s="22"/>
      <c r="AT27" s="22"/>
    </row>
    <row r="28" spans="2:61" ht="20.100000000000001" customHeight="1">
      <c r="B28" s="711" t="s">
        <v>643</v>
      </c>
      <c r="C28" s="712"/>
      <c r="D28" s="712"/>
      <c r="E28" s="713"/>
      <c r="F28" s="552" t="s">
        <v>657</v>
      </c>
      <c r="G28" s="533" t="s">
        <v>204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81"/>
      <c r="AO28" s="582"/>
      <c r="AP28" s="64" t="s">
        <v>686</v>
      </c>
      <c r="AQ28" s="64">
        <v>1.5</v>
      </c>
      <c r="AR28" s="22"/>
      <c r="AS28" s="22"/>
      <c r="AT28" s="22"/>
    </row>
    <row r="29" spans="2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55"/>
      <c r="AO29" s="555"/>
      <c r="AP29" s="22"/>
      <c r="AQ29" s="22"/>
      <c r="AR29" s="22"/>
      <c r="AS29" s="22"/>
      <c r="AT29" s="22"/>
    </row>
    <row r="30" spans="2:61" ht="20.100000000000001" customHeight="1">
      <c r="B30" s="23" t="s">
        <v>157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2:61" ht="20.100000000000001" customHeight="1">
      <c r="B31" s="813" t="s">
        <v>138</v>
      </c>
      <c r="C31" s="814"/>
      <c r="D31" s="814"/>
      <c r="E31" s="815"/>
      <c r="F31" s="543" t="s">
        <v>135</v>
      </c>
      <c r="G31" s="528">
        <v>20</v>
      </c>
      <c r="H31" s="543" t="s">
        <v>139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2:61" ht="20.100000000000001" customHeight="1">
      <c r="B32" s="813" t="str">
        <f>"Densidad del agua a "&amp;G31&amp;" °C"</f>
        <v>Densidad del agua a 20 °C</v>
      </c>
      <c r="C32" s="814"/>
      <c r="D32" s="814"/>
      <c r="E32" s="815"/>
      <c r="F32" s="543" t="s">
        <v>134</v>
      </c>
      <c r="G32" s="268">
        <f>IF(G31="…","",ROUND(VLOOKUP(G31,T10:W45,2,FALSE),9))</f>
        <v>998.29</v>
      </c>
      <c r="H32" s="543" t="s">
        <v>165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2:39" ht="20.100000000000001" customHeight="1">
      <c r="B33" s="813" t="str">
        <f>"Viscocidad dinámica del agua a "&amp;G31&amp;" °C"</f>
        <v>Viscocidad dinámica del agua a 20 °C</v>
      </c>
      <c r="C33" s="814"/>
      <c r="D33" s="814"/>
      <c r="E33" s="815"/>
      <c r="F33" s="543" t="s">
        <v>104</v>
      </c>
      <c r="G33" s="589">
        <f>IF(G31="…","",ROUND(VLOOKUP(G31,T10:W45,3,FALSE),9))</f>
        <v>1.005E-3</v>
      </c>
      <c r="H33" s="79" t="s">
        <v>166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2:39" ht="20.100000000000001" customHeight="1">
      <c r="B34" s="813" t="str">
        <f>"Viscocidad cinemática del agua a "&amp;G31&amp;" °C"</f>
        <v>Viscocidad cinemática del agua a 20 °C</v>
      </c>
      <c r="C34" s="814"/>
      <c r="D34" s="814"/>
      <c r="E34" s="815"/>
      <c r="F34" s="18" t="s">
        <v>2</v>
      </c>
      <c r="G34" s="268">
        <f>IF(G31="…","",ROUND(VLOOKUP(G31,T10:W45,4,FALSE),9))</f>
        <v>1.0070000000000001E-6</v>
      </c>
      <c r="H34" s="79" t="s">
        <v>167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2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2:39" ht="20.100000000000001" customHeight="1">
      <c r="B36" s="833" t="s">
        <v>63</v>
      </c>
      <c r="C36" s="833"/>
      <c r="D36" s="833"/>
      <c r="E36" s="833"/>
      <c r="F36" s="833"/>
      <c r="G36" s="833"/>
      <c r="H36" s="833"/>
      <c r="I36" s="834"/>
      <c r="J36" s="15"/>
      <c r="K36" s="15"/>
      <c r="L36" s="15"/>
      <c r="M36" s="15"/>
      <c r="O36" s="857"/>
      <c r="P36" s="857"/>
      <c r="Q36" s="857"/>
      <c r="R36" s="857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2:39" ht="20.100000000000001" customHeight="1">
      <c r="B37" s="769" t="s">
        <v>661</v>
      </c>
      <c r="C37" s="769"/>
      <c r="D37" s="769"/>
      <c r="E37" s="769"/>
      <c r="F37" s="830" t="s">
        <v>662</v>
      </c>
      <c r="G37" s="831"/>
      <c r="H37" s="832"/>
      <c r="I37" s="15"/>
      <c r="J37" s="15"/>
      <c r="K37" s="15"/>
      <c r="L37" s="15"/>
      <c r="M37" s="15"/>
      <c r="O37" s="591"/>
      <c r="P37" s="591"/>
      <c r="Q37" s="591"/>
      <c r="R37" s="591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2:39" ht="20.100000000000001" customHeight="1">
      <c r="B38" s="769" t="s">
        <v>702</v>
      </c>
      <c r="C38" s="769"/>
      <c r="D38" s="769"/>
      <c r="E38" s="769"/>
      <c r="F38" s="830" t="s">
        <v>635</v>
      </c>
      <c r="G38" s="831"/>
      <c r="H38" s="832"/>
      <c r="I38" s="15"/>
      <c r="J38" s="15"/>
      <c r="K38" s="15">
        <f>SQRT(3/16)*10</f>
        <v>4.3301270189221928</v>
      </c>
      <c r="L38" s="15"/>
      <c r="M38" s="15"/>
      <c r="O38" s="591"/>
      <c r="P38" s="591"/>
      <c r="Q38" s="591"/>
      <c r="R38" s="591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2:39" ht="20.100000000000001" customHeight="1">
      <c r="B39" s="798" t="str">
        <f>IF(F38=Y9,"",IF(F38=Y10,"Material de "&amp;Y10,IF(F38=Y11,"Material de "&amp;Y11,IF(F38=Y12,"Material de módulos de "&amp;Y12))))</f>
        <v>Material de Placas onduladas paralelas</v>
      </c>
      <c r="C39" s="799"/>
      <c r="D39" s="799"/>
      <c r="E39" s="800"/>
      <c r="F39" s="830" t="s">
        <v>676</v>
      </c>
      <c r="G39" s="831"/>
      <c r="H39" s="832"/>
      <c r="I39" s="15"/>
      <c r="J39" s="15"/>
      <c r="K39" s="15"/>
      <c r="L39" s="15"/>
      <c r="M39" s="15"/>
      <c r="O39" s="591"/>
      <c r="P39" s="591"/>
      <c r="Q39" s="591"/>
      <c r="R39" s="591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55"/>
      <c r="AK39" s="555"/>
      <c r="AL39" s="22"/>
      <c r="AM39" s="22"/>
    </row>
    <row r="40" spans="2:39" ht="20.100000000000001" customHeight="1">
      <c r="B40" s="798" t="str">
        <f>IF(F38=Y9,"",IF(F38=Y10,"Dimensiones de "&amp;Y10,IF(F38=Y11,"Dimensiones de "&amp;Y11,IF(F38=Y12,"Sección tranversal inclinada de módulos de "&amp;Y12))))</f>
        <v>Dimensiones de Placas onduladas paralelas</v>
      </c>
      <c r="C40" s="799"/>
      <c r="D40" s="799"/>
      <c r="E40" s="800"/>
      <c r="F40" s="588" t="s">
        <v>700</v>
      </c>
      <c r="G40" s="531"/>
      <c r="H40" s="13" t="s">
        <v>701</v>
      </c>
      <c r="I40" s="15"/>
      <c r="J40" s="15"/>
      <c r="K40" s="15"/>
      <c r="L40" s="15"/>
      <c r="M40" s="15"/>
      <c r="O40" s="591"/>
      <c r="P40" s="591"/>
      <c r="Q40" s="591"/>
      <c r="R40" s="591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55"/>
      <c r="AK40" s="555"/>
      <c r="AL40" s="22"/>
      <c r="AM40" s="22"/>
    </row>
    <row r="41" spans="2:39" ht="20.100000000000001" customHeight="1">
      <c r="B41" s="798" t="str">
        <f>IF(F38=Y9,"",IF(F38=Y10,"Espesor de "&amp;Y10,IF(F38=Y11,"Espesor de "&amp;Y11,IF(F38=Y12,"Espesor de pared de "&amp;Y12))))</f>
        <v>Espesor de Placas onduladas paralelas</v>
      </c>
      <c r="C41" s="799"/>
      <c r="D41" s="799"/>
      <c r="E41" s="800"/>
      <c r="F41" s="596" t="s">
        <v>10</v>
      </c>
      <c r="G41" s="9" t="e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#N/A</v>
      </c>
      <c r="H41" s="596" t="s">
        <v>128</v>
      </c>
      <c r="I41" s="15"/>
      <c r="J41" s="15"/>
      <c r="K41" s="15"/>
      <c r="L41" s="15"/>
      <c r="M41" s="15"/>
      <c r="O41" s="591"/>
      <c r="P41" s="591"/>
      <c r="Q41" s="591"/>
      <c r="R41" s="591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55" t="s">
        <v>11</v>
      </c>
      <c r="AK41" s="555"/>
      <c r="AL41" s="22"/>
      <c r="AM41" s="22"/>
    </row>
    <row r="42" spans="2:39" ht="20.100000000000001" customHeight="1">
      <c r="B42" s="798" t="str">
        <f>IF(F38=Y9,"",IF(F38=Y10,"Ángulo de inclinación de "&amp;Y10,IF(F38=Y11,"Ángulo de inclinación de "&amp;Y11,IF(F38=Y12,"Ángulo de inclinación de "&amp;Y12))))</f>
        <v>Ángulo de inclinación de Placas onduladas paralelas</v>
      </c>
      <c r="C42" s="799"/>
      <c r="D42" s="799"/>
      <c r="E42" s="800"/>
      <c r="F42" s="69" t="s">
        <v>13</v>
      </c>
      <c r="G42" s="554">
        <v>60</v>
      </c>
      <c r="H42" s="594" t="s">
        <v>12</v>
      </c>
      <c r="I42" s="15"/>
      <c r="J42" s="15"/>
      <c r="K42" s="15"/>
      <c r="L42" s="15"/>
      <c r="M42" s="15"/>
      <c r="O42" s="591"/>
      <c r="P42" s="591"/>
      <c r="Q42" s="591"/>
      <c r="R42" s="591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55"/>
      <c r="AK42" s="555"/>
      <c r="AL42" s="22"/>
      <c r="AM42" s="22"/>
    </row>
    <row r="43" spans="2:39" ht="20.100000000000001" customHeight="1">
      <c r="B43" s="798" t="str">
        <f>"Eficiencia crítica para "&amp;F38</f>
        <v>Eficiencia crítica para Placas onduladas paralelas</v>
      </c>
      <c r="C43" s="799"/>
      <c r="D43" s="799"/>
      <c r="E43" s="800"/>
      <c r="F43" s="599" t="s">
        <v>659</v>
      </c>
      <c r="G43" s="535">
        <f>IF(F38="…","",VLOOKUP(F38,Y$10:AA$12,3,FALSE))</f>
        <v>1.3</v>
      </c>
      <c r="H43" s="536"/>
      <c r="I43" s="15"/>
      <c r="J43" s="15"/>
      <c r="K43" s="15"/>
      <c r="L43" s="15"/>
      <c r="M43" s="15"/>
      <c r="O43" s="591"/>
      <c r="P43" s="591"/>
      <c r="Q43" s="591"/>
      <c r="R43" s="591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55" t="s">
        <v>693</v>
      </c>
      <c r="AK43" s="555"/>
      <c r="AL43" s="22"/>
      <c r="AM43" s="22"/>
    </row>
    <row r="44" spans="2:39" ht="20.100000000000001" customHeight="1">
      <c r="B44" s="769" t="s">
        <v>18</v>
      </c>
      <c r="C44" s="769"/>
      <c r="D44" s="769"/>
      <c r="E44" s="769"/>
      <c r="F44" s="596" t="s">
        <v>0</v>
      </c>
      <c r="G44" s="529">
        <f>G11</f>
        <v>5.7252000000000004E-2</v>
      </c>
      <c r="H44" s="596" t="s">
        <v>313</v>
      </c>
      <c r="I44" s="7"/>
      <c r="J44" s="7"/>
      <c r="K44" s="7"/>
      <c r="L44" s="7"/>
      <c r="M44" s="7"/>
      <c r="O44" s="600"/>
      <c r="P44" s="591"/>
      <c r="Q44" s="600"/>
      <c r="R44" s="591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55"/>
      <c r="AK44" s="555"/>
      <c r="AL44" s="22"/>
      <c r="AM44" s="22"/>
    </row>
    <row r="45" spans="2:39" ht="20.100000000000001" customHeight="1">
      <c r="B45" s="769" t="s">
        <v>704</v>
      </c>
      <c r="C45" s="769"/>
      <c r="D45" s="769"/>
      <c r="E45" s="769"/>
      <c r="F45" s="596" t="s">
        <v>3</v>
      </c>
      <c r="G45" s="531">
        <v>4</v>
      </c>
      <c r="H45" s="596" t="s">
        <v>15</v>
      </c>
      <c r="I45" s="7"/>
      <c r="J45" s="7"/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34">
        <f t="shared" si="0"/>
        <v>7.2680267181715759E-7</v>
      </c>
      <c r="AJ45" s="555" t="s">
        <v>694</v>
      </c>
      <c r="AK45" s="555"/>
      <c r="AL45" s="22"/>
      <c r="AM45" s="22"/>
    </row>
    <row r="46" spans="2:39" ht="20.100000000000001" customHeight="1">
      <c r="B46" s="769" t="s">
        <v>705</v>
      </c>
      <c r="C46" s="769"/>
      <c r="D46" s="769"/>
      <c r="E46" s="769"/>
      <c r="F46" s="596" t="s">
        <v>706</v>
      </c>
      <c r="G46" s="529">
        <f>G44/G45</f>
        <v>1.4313000000000001E-2</v>
      </c>
      <c r="H46" s="596" t="s">
        <v>313</v>
      </c>
      <c r="I46" s="7"/>
      <c r="J46" s="7"/>
      <c r="K46" s="7"/>
      <c r="L46" s="7"/>
      <c r="M46" s="7"/>
      <c r="O46" s="8"/>
      <c r="P46" s="7"/>
      <c r="Q46" s="7"/>
      <c r="R46" s="8"/>
      <c r="T46" s="22"/>
      <c r="U46" s="587"/>
      <c r="V46" s="142"/>
      <c r="W46" s="141"/>
      <c r="AJ46" s="555" t="s">
        <v>695</v>
      </c>
      <c r="AK46" s="555"/>
      <c r="AL46" s="22"/>
      <c r="AM46" s="22"/>
    </row>
    <row r="47" spans="2:39" ht="20.100000000000001" customHeight="1">
      <c r="B47" s="769" t="s">
        <v>7</v>
      </c>
      <c r="C47" s="769"/>
      <c r="D47" s="769"/>
      <c r="E47" s="769"/>
      <c r="F47" s="3" t="s">
        <v>2</v>
      </c>
      <c r="G47" s="530">
        <f>G34</f>
        <v>1.0070000000000001E-6</v>
      </c>
      <c r="H47" s="596" t="s">
        <v>660</v>
      </c>
      <c r="I47" s="7"/>
      <c r="J47" s="7"/>
      <c r="K47" s="7"/>
      <c r="L47" s="7"/>
      <c r="M47" s="7"/>
      <c r="O47" s="8"/>
      <c r="P47" s="7"/>
      <c r="Q47" s="7"/>
      <c r="R47" s="8"/>
      <c r="T47" s="22"/>
      <c r="U47" s="587"/>
      <c r="V47" s="142"/>
      <c r="W47" s="141"/>
      <c r="AJ47" s="555"/>
      <c r="AK47" s="555"/>
      <c r="AL47" s="22"/>
      <c r="AM47" s="22"/>
    </row>
    <row r="48" spans="2:39" ht="20.100000000000001" customHeight="1">
      <c r="B48" s="769" t="str">
        <f>IF(F38=Y9,"",IF(F38=Y10,"Distancia entre placas",IF(F38=Y11,"Distancia entre placas",IF(F38=Y12,"Lado interno de "&amp;Y12))))</f>
        <v>Distancia entre placas</v>
      </c>
      <c r="C48" s="769"/>
      <c r="D48" s="769"/>
      <c r="E48" s="769"/>
      <c r="F48" s="596" t="s">
        <v>8</v>
      </c>
      <c r="G48" s="554">
        <v>5</v>
      </c>
      <c r="H48" s="596" t="s">
        <v>645</v>
      </c>
      <c r="I48" s="24"/>
      <c r="J48" s="24"/>
      <c r="K48" s="24"/>
      <c r="L48" s="24"/>
      <c r="M48" s="24"/>
      <c r="O48" s="8"/>
      <c r="P48" s="7"/>
      <c r="Q48" s="7"/>
      <c r="R48" s="8"/>
      <c r="T48" s="22"/>
      <c r="U48" s="587"/>
      <c r="V48" s="142"/>
      <c r="W48" s="141"/>
      <c r="AJ48" s="555" t="s">
        <v>322</v>
      </c>
      <c r="AK48" s="555"/>
      <c r="AL48" s="22"/>
      <c r="AM48" s="22"/>
    </row>
    <row r="49" spans="2:23" ht="20.100000000000001" customHeight="1"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48"/>
      <c r="V49" s="142"/>
      <c r="W49" s="141"/>
    </row>
    <row r="50" spans="2:23" ht="20.100000000000001" customHeight="1">
      <c r="B50" s="833" t="s">
        <v>766</v>
      </c>
      <c r="C50" s="833"/>
      <c r="D50" s="833"/>
      <c r="E50" s="833"/>
      <c r="F50" s="833"/>
      <c r="G50" s="833"/>
      <c r="H50" s="833"/>
      <c r="I50" s="834"/>
      <c r="J50" s="7"/>
      <c r="K50" s="7"/>
      <c r="L50" s="7"/>
      <c r="M50" s="7"/>
      <c r="O50" s="8"/>
      <c r="P50" s="7"/>
      <c r="Q50" s="7"/>
      <c r="R50" s="8"/>
      <c r="T50" s="22"/>
      <c r="U50" s="592"/>
      <c r="V50" s="142"/>
      <c r="W50" s="141"/>
    </row>
    <row r="51" spans="2:23" ht="20.100000000000001" customHeight="1">
      <c r="B51" s="798" t="str">
        <f>IF(F38=Y9,"",IF(F38=Y10,"Longitud ocupada por las placas (longitud de tanque)",IF(F38=Y11,"Longitud ocupada por las placas (longitud de tanque)",IF(F38=Y12,"Longitud ocupada por los módulos (longitud de tanque)"))))</f>
        <v>Longitud ocupada por las placas (longitud de tanque)</v>
      </c>
      <c r="C51" s="799"/>
      <c r="D51" s="799"/>
      <c r="E51" s="800"/>
      <c r="F51" s="590" t="s">
        <v>141</v>
      </c>
      <c r="G51" s="613">
        <v>5.8570000000000002</v>
      </c>
      <c r="H51" s="287" t="s">
        <v>3</v>
      </c>
      <c r="I51" s="775"/>
      <c r="J51" s="775"/>
      <c r="K51" s="775"/>
      <c r="L51" s="775"/>
      <c r="M51" s="7"/>
      <c r="O51" s="8"/>
      <c r="P51" s="7"/>
      <c r="Q51" s="7"/>
      <c r="R51" s="8"/>
      <c r="T51" s="22"/>
      <c r="U51" s="592"/>
      <c r="V51" s="142"/>
      <c r="W51" s="141"/>
    </row>
    <row r="52" spans="2:23" ht="20.100000000000001" customHeight="1">
      <c r="B52" s="798" t="str">
        <f>IF(F38=Y9,"",IF(F38=Y10,"Ancho de placas (ancho de tanque)",IF(F38=Y11,"Ancho de placas (ancho de tanque)",IF(F38=Y12,"Ancho de módulos (ancho de tanque)"))))</f>
        <v>Ancho de placas (ancho de tanque)</v>
      </c>
      <c r="C52" s="799"/>
      <c r="D52" s="799"/>
      <c r="E52" s="800"/>
      <c r="F52" s="69" t="s">
        <v>11</v>
      </c>
      <c r="G52" s="535" t="e">
        <f>RIGHT(G40,4)/1000</f>
        <v>#VALUE!</v>
      </c>
      <c r="H52" s="287" t="s">
        <v>3</v>
      </c>
      <c r="I52" s="775"/>
      <c r="J52" s="775"/>
      <c r="K52" s="775"/>
      <c r="L52" s="775"/>
      <c r="M52" s="7"/>
      <c r="O52" s="8"/>
      <c r="P52" s="7"/>
      <c r="Q52" s="7"/>
      <c r="R52" s="8"/>
      <c r="T52" s="22"/>
      <c r="U52" s="592"/>
      <c r="V52" s="142"/>
      <c r="W52" s="141"/>
    </row>
    <row r="53" spans="2:23" ht="20.100000000000001" customHeight="1">
      <c r="B53" s="798" t="s">
        <v>708</v>
      </c>
      <c r="C53" s="799"/>
      <c r="D53" s="799"/>
      <c r="E53" s="800"/>
      <c r="F53" s="615" t="s">
        <v>9</v>
      </c>
      <c r="G53" s="619" t="e">
        <f>LEFT(G40,4)/1000</f>
        <v>#VALUE!</v>
      </c>
      <c r="H53" s="597" t="s">
        <v>3</v>
      </c>
      <c r="I53" s="616"/>
      <c r="J53" s="617"/>
      <c r="K53" s="617"/>
      <c r="L53" s="618"/>
      <c r="M53" s="7"/>
      <c r="O53" s="8"/>
      <c r="P53" s="7"/>
      <c r="Q53" s="7"/>
      <c r="R53" s="8"/>
      <c r="T53" s="22"/>
      <c r="U53" s="595"/>
      <c r="V53" s="142"/>
      <c r="W53" s="141"/>
    </row>
    <row r="54" spans="2:23" ht="20.100000000000001" customHeight="1">
      <c r="B54" s="776" t="s">
        <v>48</v>
      </c>
      <c r="C54" s="777"/>
      <c r="D54" s="777"/>
      <c r="E54" s="778"/>
      <c r="F54" s="738" t="s">
        <v>49</v>
      </c>
      <c r="G54" s="754" t="e">
        <f>(G46*86400)/(G51*G52)</f>
        <v>#VALUE!</v>
      </c>
      <c r="H54" s="756" t="s">
        <v>703</v>
      </c>
      <c r="I54" s="724"/>
      <c r="J54" s="725"/>
      <c r="K54" s="725"/>
      <c r="L54" s="726"/>
      <c r="M54" s="623"/>
      <c r="O54" s="8"/>
      <c r="P54" s="7"/>
      <c r="Q54" s="7"/>
      <c r="R54" s="8"/>
      <c r="T54" s="22"/>
      <c r="U54" s="595"/>
      <c r="V54" s="142"/>
      <c r="W54" s="141"/>
    </row>
    <row r="55" spans="2:23" ht="20.100000000000001" customHeight="1">
      <c r="B55" s="779"/>
      <c r="C55" s="780"/>
      <c r="D55" s="780"/>
      <c r="E55" s="781"/>
      <c r="F55" s="739"/>
      <c r="G55" s="755"/>
      <c r="H55" s="757"/>
      <c r="I55" s="727"/>
      <c r="J55" s="728"/>
      <c r="K55" s="728"/>
      <c r="L55" s="729"/>
      <c r="M55" s="623" t="e">
        <f>IF(G54&lt;120,"¡Carga superficial baja, seleccione otra longitud de tanque y/u otro número de módulos!",IF(G54&gt;185,"¡Carga superficial alta, seleccione otra longitud de tanque y/u otro número de módulos!","¡Ok!"))</f>
        <v>#VALUE!</v>
      </c>
      <c r="O55" s="8"/>
      <c r="P55" s="7"/>
      <c r="Q55" s="7"/>
      <c r="R55" s="8"/>
      <c r="T55" s="22"/>
      <c r="U55" s="595"/>
      <c r="V55" s="142"/>
      <c r="W55" s="141"/>
    </row>
    <row r="56" spans="2:23" ht="20.100000000000001" customHeight="1">
      <c r="B56" s="776" t="str">
        <f>IF(F38=Y9,"",IF(F38=Y10,"Número de canales a lo largo de la unidad",IF(F38=Y11,"Número de canales a lo largo de la unidad",IF(F38=Y12,"Número de conductos a lo largo de la unidad"))))</f>
        <v>Número de canales a lo largo de la unidad</v>
      </c>
      <c r="C56" s="777"/>
      <c r="D56" s="777"/>
      <c r="E56" s="778"/>
      <c r="F56" s="738" t="s">
        <v>14</v>
      </c>
      <c r="G56" s="771" t="e">
        <f>ROUND((G51*SIN(G42*PI()/180)+G41/1000)/(G48/100+G41/1000),0)</f>
        <v>#N/A</v>
      </c>
      <c r="H56" s="756" t="s">
        <v>15</v>
      </c>
      <c r="I56" s="724"/>
      <c r="J56" s="725"/>
      <c r="K56" s="725"/>
      <c r="L56" s="726"/>
      <c r="M56" s="7"/>
      <c r="N56" s="601"/>
      <c r="O56" s="36"/>
      <c r="P56" s="22"/>
      <c r="Q56" s="22"/>
      <c r="R56" s="601"/>
      <c r="S56" s="601"/>
      <c r="T56" s="22"/>
      <c r="U56" s="612"/>
      <c r="V56" s="637"/>
      <c r="W56" s="141"/>
    </row>
    <row r="57" spans="2:23" ht="20.100000000000001" customHeight="1">
      <c r="B57" s="779"/>
      <c r="C57" s="780"/>
      <c r="D57" s="780"/>
      <c r="E57" s="781"/>
      <c r="F57" s="739"/>
      <c r="G57" s="772"/>
      <c r="H57" s="757"/>
      <c r="I57" s="727"/>
      <c r="J57" s="728"/>
      <c r="K57" s="728"/>
      <c r="L57" s="729"/>
      <c r="M57" s="7"/>
      <c r="N57" s="601"/>
      <c r="O57" s="36"/>
      <c r="P57" s="22"/>
      <c r="Q57" s="22"/>
      <c r="R57" s="601"/>
      <c r="S57" s="601"/>
      <c r="T57" s="22"/>
      <c r="U57" s="612"/>
      <c r="V57" s="637"/>
      <c r="W57" s="141"/>
    </row>
    <row r="58" spans="2:23" ht="20.100000000000001" customHeight="1">
      <c r="B58" s="776" t="str">
        <f>IF(F38=Y9,"",IF(F38=Y10,"Velocidad promedio del flujo entre placas",IF(F38=Y11,"Velocidad promedio del flujo entre placas",IF(F38=Y12,"Velocidad promedio del flujo entre conductos"))))</f>
        <v>Velocidad promedio del flujo entre placas</v>
      </c>
      <c r="C58" s="777"/>
      <c r="D58" s="777"/>
      <c r="E58" s="778"/>
      <c r="F58" s="738" t="s">
        <v>707</v>
      </c>
      <c r="G58" s="811" t="e">
        <f>G46/(G56*(G48/100)*G52)</f>
        <v>#N/A</v>
      </c>
      <c r="H58" s="756" t="s">
        <v>5</v>
      </c>
      <c r="I58" s="724"/>
      <c r="J58" s="725"/>
      <c r="K58" s="725"/>
      <c r="L58" s="726"/>
      <c r="M58" s="7"/>
      <c r="O58" s="8"/>
      <c r="P58" s="7"/>
      <c r="Q58" s="7"/>
      <c r="R58" s="8"/>
      <c r="T58" s="22"/>
      <c r="U58" s="595"/>
      <c r="V58" s="142"/>
      <c r="W58" s="141"/>
    </row>
    <row r="59" spans="2:23" ht="20.100000000000001" customHeight="1">
      <c r="B59" s="779"/>
      <c r="C59" s="780"/>
      <c r="D59" s="780"/>
      <c r="E59" s="781"/>
      <c r="F59" s="739"/>
      <c r="G59" s="812"/>
      <c r="H59" s="757"/>
      <c r="I59" s="727"/>
      <c r="J59" s="728"/>
      <c r="K59" s="728"/>
      <c r="L59" s="729"/>
      <c r="M59" s="7" t="e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#N/A</v>
      </c>
      <c r="O59" s="8"/>
      <c r="P59" s="7"/>
      <c r="Q59" s="7"/>
      <c r="R59" s="8"/>
      <c r="T59" s="22"/>
      <c r="U59" s="595"/>
      <c r="V59" s="142"/>
      <c r="W59" s="141"/>
    </row>
    <row r="60" spans="2:23" ht="20.100000000000001" customHeight="1">
      <c r="B60" s="776" t="s">
        <v>51</v>
      </c>
      <c r="C60" s="777"/>
      <c r="D60" s="777"/>
      <c r="E60" s="778"/>
      <c r="F60" s="738" t="s">
        <v>46</v>
      </c>
      <c r="G60" s="754" t="e">
        <f>G53/(G48/100)</f>
        <v>#VALUE!</v>
      </c>
      <c r="H60" s="756"/>
      <c r="I60" s="724"/>
      <c r="J60" s="725"/>
      <c r="K60" s="725"/>
      <c r="L60" s="726"/>
      <c r="M60" s="7"/>
      <c r="O60" s="8"/>
      <c r="P60" s="7"/>
      <c r="Q60" s="7"/>
      <c r="R60" s="8"/>
      <c r="T60" s="22"/>
      <c r="U60" s="595"/>
      <c r="V60" s="142"/>
      <c r="W60" s="141"/>
    </row>
    <row r="61" spans="2:23" ht="20.100000000000001" customHeight="1">
      <c r="B61" s="779"/>
      <c r="C61" s="780"/>
      <c r="D61" s="780"/>
      <c r="E61" s="781"/>
      <c r="F61" s="739"/>
      <c r="G61" s="755"/>
      <c r="H61" s="757"/>
      <c r="I61" s="727"/>
      <c r="J61" s="728"/>
      <c r="K61" s="728"/>
      <c r="L61" s="729"/>
      <c r="M61" s="7"/>
      <c r="O61" s="8"/>
      <c r="P61" s="7"/>
      <c r="Q61" s="7"/>
      <c r="R61" s="8"/>
      <c r="T61" s="22"/>
      <c r="U61" s="595"/>
      <c r="V61" s="142"/>
      <c r="W61" s="141"/>
    </row>
    <row r="62" spans="2:23" ht="20.100000000000001" customHeight="1">
      <c r="B62" s="776" t="s">
        <v>709</v>
      </c>
      <c r="C62" s="777"/>
      <c r="D62" s="777"/>
      <c r="E62" s="778"/>
      <c r="F62" s="738" t="s">
        <v>711</v>
      </c>
      <c r="G62" s="809" t="e">
        <f>0.058*G58*(G48/100)/G34</f>
        <v>#N/A</v>
      </c>
      <c r="H62" s="756"/>
      <c r="I62" s="724"/>
      <c r="J62" s="725"/>
      <c r="K62" s="725"/>
      <c r="L62" s="726"/>
      <c r="M62" s="7"/>
      <c r="O62" s="8"/>
      <c r="P62" s="7"/>
      <c r="Q62" s="7"/>
      <c r="R62" s="8"/>
      <c r="T62" s="22"/>
      <c r="U62" s="595"/>
      <c r="V62" s="142"/>
      <c r="W62" s="141"/>
    </row>
    <row r="63" spans="2:23" ht="20.100000000000001" customHeight="1">
      <c r="B63" s="779"/>
      <c r="C63" s="780"/>
      <c r="D63" s="780"/>
      <c r="E63" s="781"/>
      <c r="F63" s="739"/>
      <c r="G63" s="810"/>
      <c r="H63" s="757"/>
      <c r="I63" s="727"/>
      <c r="J63" s="728"/>
      <c r="K63" s="728"/>
      <c r="L63" s="729"/>
      <c r="M63" s="622"/>
      <c r="O63" s="8"/>
      <c r="P63" s="7"/>
      <c r="Q63" s="7"/>
      <c r="R63" s="8"/>
      <c r="T63" s="22"/>
      <c r="U63" s="595"/>
      <c r="V63" s="142"/>
      <c r="W63" s="141"/>
    </row>
    <row r="64" spans="2:23" ht="20.100000000000001" customHeight="1">
      <c r="B64" s="769" t="s">
        <v>710</v>
      </c>
      <c r="C64" s="769"/>
      <c r="D64" s="769"/>
      <c r="E64" s="769"/>
      <c r="F64" s="614" t="s">
        <v>712</v>
      </c>
      <c r="G64" s="620" t="e">
        <f>IF(G62&lt;G60,G60-G62,G60)</f>
        <v>#N/A</v>
      </c>
      <c r="H64" s="598"/>
      <c r="I64" s="748"/>
      <c r="J64" s="749"/>
      <c r="K64" s="749"/>
      <c r="L64" s="750"/>
      <c r="M64" s="164" t="e">
        <f>IF(G62&gt;G64,"L´ &gt; Lc; aumente el valor de la longitud del sedimentador, l, a un valor comercial aproximado a 2·Lc·e","¡Ok!")</f>
        <v>#N/A</v>
      </c>
      <c r="N64" s="621"/>
      <c r="O64" s="8"/>
      <c r="P64" s="7"/>
      <c r="Q64" s="7"/>
      <c r="R64" s="8"/>
      <c r="T64" s="22"/>
      <c r="U64" s="595"/>
      <c r="V64" s="142"/>
      <c r="W64" s="141"/>
    </row>
    <row r="65" spans="2:23" ht="20.100000000000001" customHeight="1">
      <c r="B65" s="776" t="s">
        <v>52</v>
      </c>
      <c r="C65" s="777"/>
      <c r="D65" s="777"/>
      <c r="E65" s="778"/>
      <c r="F65" s="738" t="s">
        <v>713</v>
      </c>
      <c r="G65" s="754" t="e">
        <f>(G43*(G58*86400))/(SIN(G42*PI()/180)+G64*COS(G42*PI()/180))</f>
        <v>#N/A</v>
      </c>
      <c r="H65" s="756" t="s">
        <v>4</v>
      </c>
      <c r="I65" s="724"/>
      <c r="J65" s="725"/>
      <c r="K65" s="725"/>
      <c r="L65" s="726"/>
      <c r="M65" s="7"/>
      <c r="O65" s="8"/>
      <c r="P65" s="7"/>
      <c r="Q65" s="7"/>
      <c r="R65" s="8"/>
      <c r="T65" s="22"/>
      <c r="U65" s="595"/>
      <c r="V65" s="142"/>
      <c r="W65" s="141"/>
    </row>
    <row r="66" spans="2:23" ht="20.100000000000001" customHeight="1">
      <c r="B66" s="779"/>
      <c r="C66" s="780"/>
      <c r="D66" s="780"/>
      <c r="E66" s="781"/>
      <c r="F66" s="739"/>
      <c r="G66" s="755"/>
      <c r="H66" s="757"/>
      <c r="I66" s="727"/>
      <c r="J66" s="728"/>
      <c r="K66" s="728"/>
      <c r="L66" s="729"/>
      <c r="M66" s="164" t="e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#N/A</v>
      </c>
      <c r="O66" s="8"/>
      <c r="P66" s="7"/>
      <c r="Q66" s="7"/>
      <c r="R66" s="8"/>
      <c r="T66" s="22"/>
      <c r="U66" s="595"/>
      <c r="V66" s="142"/>
      <c r="W66" s="141"/>
    </row>
    <row r="67" spans="2:23" ht="20.100000000000001" customHeight="1">
      <c r="B67" s="776" t="s">
        <v>53</v>
      </c>
      <c r="C67" s="777"/>
      <c r="D67" s="777"/>
      <c r="E67" s="778"/>
      <c r="F67" s="738" t="s">
        <v>1</v>
      </c>
      <c r="G67" s="771" t="e">
        <f>ROUND((G58*(G48/100))/G34,0)</f>
        <v>#N/A</v>
      </c>
      <c r="H67" s="756"/>
      <c r="I67" s="724"/>
      <c r="J67" s="725"/>
      <c r="K67" s="725"/>
      <c r="L67" s="726"/>
      <c r="M67" s="164"/>
      <c r="O67" s="8"/>
      <c r="P67" s="7"/>
      <c r="Q67" s="7"/>
      <c r="R67" s="8"/>
      <c r="T67" s="22"/>
      <c r="U67" s="595"/>
      <c r="V67" s="142"/>
      <c r="W67" s="141"/>
    </row>
    <row r="68" spans="2:23" ht="20.100000000000001" customHeight="1">
      <c r="B68" s="779"/>
      <c r="C68" s="780"/>
      <c r="D68" s="780"/>
      <c r="E68" s="781"/>
      <c r="F68" s="739"/>
      <c r="G68" s="772"/>
      <c r="H68" s="757"/>
      <c r="I68" s="727"/>
      <c r="J68" s="728"/>
      <c r="K68" s="728"/>
      <c r="L68" s="729"/>
      <c r="M68" s="164" t="e">
        <f>IF(G67&lt;100,"¡Valor de Re es bajo, ajuste datos de entrada!",IF(G67&gt;500,"¡Valor de Re es alto, ajuste datos de entrada!","¡Ok!"))</f>
        <v>#N/A</v>
      </c>
      <c r="O68" s="8"/>
      <c r="P68" s="7"/>
      <c r="Q68" s="7"/>
      <c r="R68" s="8"/>
      <c r="T68" s="22"/>
      <c r="U68" s="595"/>
      <c r="V68" s="142"/>
      <c r="W68" s="141"/>
    </row>
    <row r="69" spans="2:23" ht="20.100000000000001" customHeight="1">
      <c r="B69" s="769" t="str">
        <f>IF(F38=Y9,"",IF(F38=Y10,"Tiempo de retención en cada canal",IF(F38=Y11,"Tiempo de retención en cada canal",IF(F38=Y12,"Tiempo de retención en cada conducto"))))</f>
        <v>Tiempo de retención en cada canal</v>
      </c>
      <c r="C69" s="769"/>
      <c r="D69" s="769"/>
      <c r="E69" s="769"/>
      <c r="F69" s="770" t="s">
        <v>714</v>
      </c>
      <c r="G69" s="773" t="e">
        <f>(G53/G58)/60</f>
        <v>#VALUE!</v>
      </c>
      <c r="H69" s="774" t="s">
        <v>38</v>
      </c>
      <c r="I69" s="775"/>
      <c r="J69" s="775"/>
      <c r="K69" s="775"/>
      <c r="L69" s="775"/>
      <c r="M69" s="164"/>
      <c r="O69" s="8"/>
      <c r="P69" s="7"/>
      <c r="Q69" s="7"/>
      <c r="R69" s="8"/>
      <c r="T69" s="22"/>
      <c r="U69" s="595"/>
      <c r="V69" s="142"/>
      <c r="W69" s="141"/>
    </row>
    <row r="70" spans="2:23" ht="20.100000000000001" customHeight="1">
      <c r="B70" s="769"/>
      <c r="C70" s="769"/>
      <c r="D70" s="769"/>
      <c r="E70" s="769"/>
      <c r="F70" s="770"/>
      <c r="G70" s="773"/>
      <c r="H70" s="774"/>
      <c r="I70" s="775"/>
      <c r="J70" s="775"/>
      <c r="K70" s="775"/>
      <c r="L70" s="775"/>
      <c r="M70" s="164" t="e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#VALUE!</v>
      </c>
      <c r="O70" s="8"/>
      <c r="P70" s="7"/>
      <c r="Q70" s="7"/>
      <c r="R70" s="8"/>
      <c r="T70" s="22"/>
      <c r="U70" s="595"/>
      <c r="V70" s="142"/>
      <c r="W70" s="141"/>
    </row>
    <row r="71" spans="2:23" ht="20.100000000000001" customHeight="1">
      <c r="B71" s="625"/>
      <c r="C71" s="625"/>
      <c r="D71" s="625"/>
      <c r="E71" s="625"/>
      <c r="F71" s="626"/>
      <c r="G71" s="627"/>
      <c r="H71" s="628"/>
      <c r="I71" s="629"/>
      <c r="J71" s="629"/>
      <c r="K71" s="629"/>
      <c r="L71" s="629"/>
      <c r="M71" s="164"/>
      <c r="O71" s="8"/>
      <c r="P71" s="7"/>
      <c r="Q71" s="7"/>
      <c r="R71" s="8"/>
      <c r="T71" s="22"/>
      <c r="U71" s="595"/>
      <c r="V71" s="142"/>
      <c r="W71" s="141"/>
    </row>
    <row r="72" spans="2:23" ht="20.100000000000001" customHeight="1">
      <c r="B72" s="829" t="s">
        <v>718</v>
      </c>
      <c r="C72" s="829"/>
      <c r="D72" s="829"/>
      <c r="E72" s="829"/>
      <c r="F72" s="634"/>
      <c r="G72" s="635"/>
      <c r="H72" s="232"/>
      <c r="I72" s="762"/>
      <c r="J72" s="762"/>
      <c r="K72" s="762"/>
      <c r="L72" s="762"/>
      <c r="M72" s="164"/>
      <c r="O72" s="8"/>
      <c r="P72" s="7"/>
      <c r="Q72" s="7"/>
      <c r="R72" s="8"/>
      <c r="T72" s="22"/>
      <c r="U72" s="612"/>
      <c r="V72" s="142"/>
      <c r="W72" s="141"/>
    </row>
    <row r="73" spans="2:23" ht="20.100000000000001" customHeight="1">
      <c r="B73" s="730" t="s">
        <v>24</v>
      </c>
      <c r="C73" s="731"/>
      <c r="D73" s="731"/>
      <c r="E73" s="732"/>
      <c r="F73" s="604" t="s">
        <v>143</v>
      </c>
      <c r="G73" s="662">
        <v>0.9</v>
      </c>
      <c r="H73" s="608" t="s">
        <v>3</v>
      </c>
      <c r="I73" s="792"/>
      <c r="J73" s="793"/>
      <c r="K73" s="793"/>
      <c r="L73" s="794"/>
      <c r="M73" s="164"/>
      <c r="O73" s="8"/>
      <c r="P73" s="7"/>
      <c r="Q73" s="7"/>
      <c r="R73" s="8"/>
      <c r="T73" s="22"/>
      <c r="U73" s="612"/>
      <c r="V73" s="142"/>
      <c r="W73" s="141"/>
    </row>
    <row r="74" spans="2:23" ht="20.100000000000001" customHeight="1">
      <c r="B74" s="730" t="s">
        <v>74</v>
      </c>
      <c r="C74" s="731"/>
      <c r="D74" s="731"/>
      <c r="E74" s="732"/>
      <c r="F74" s="720" t="s">
        <v>144</v>
      </c>
      <c r="G74" s="736">
        <f>ROUNDDOWN(G51/G73,0)</f>
        <v>6</v>
      </c>
      <c r="H74" s="827" t="s">
        <v>15</v>
      </c>
      <c r="I74" s="792"/>
      <c r="J74" s="793"/>
      <c r="K74" s="793"/>
      <c r="L74" s="794"/>
      <c r="M74" s="164"/>
      <c r="O74" s="8"/>
      <c r="P74" s="7"/>
      <c r="Q74" s="7"/>
      <c r="R74" s="8"/>
      <c r="T74" s="22"/>
      <c r="U74" s="612"/>
      <c r="V74" s="142"/>
      <c r="W74" s="141"/>
    </row>
    <row r="75" spans="2:23" ht="20.100000000000001" customHeight="1">
      <c r="B75" s="733"/>
      <c r="C75" s="734"/>
      <c r="D75" s="734"/>
      <c r="E75" s="735"/>
      <c r="F75" s="721"/>
      <c r="G75" s="737"/>
      <c r="H75" s="828"/>
      <c r="I75" s="795"/>
      <c r="J75" s="796"/>
      <c r="K75" s="796"/>
      <c r="L75" s="797"/>
      <c r="M75" s="164"/>
      <c r="O75" s="8"/>
      <c r="P75" s="7"/>
      <c r="Q75" s="7"/>
      <c r="R75" s="8"/>
      <c r="T75" s="22"/>
      <c r="U75" s="612"/>
      <c r="V75" s="142"/>
      <c r="W75" s="141"/>
    </row>
    <row r="76" spans="2:23" ht="20.100000000000001" customHeight="1">
      <c r="B76" s="730" t="s">
        <v>75</v>
      </c>
      <c r="C76" s="731"/>
      <c r="D76" s="731"/>
      <c r="E76" s="732"/>
      <c r="F76" s="720" t="s">
        <v>143</v>
      </c>
      <c r="G76" s="736">
        <f>G51/G74</f>
        <v>0.97616666666666674</v>
      </c>
      <c r="H76" s="822" t="s">
        <v>3</v>
      </c>
      <c r="I76" s="792"/>
      <c r="J76" s="793"/>
      <c r="K76" s="793"/>
      <c r="L76" s="794"/>
      <c r="M76" s="164"/>
      <c r="O76" s="8"/>
      <c r="P76" s="7"/>
      <c r="Q76" s="7"/>
      <c r="R76" s="8"/>
      <c r="T76" s="22"/>
      <c r="U76" s="612"/>
      <c r="V76" s="142"/>
      <c r="W76" s="141"/>
    </row>
    <row r="77" spans="2:23" ht="20.100000000000001" customHeight="1">
      <c r="B77" s="733"/>
      <c r="C77" s="734"/>
      <c r="D77" s="734"/>
      <c r="E77" s="735"/>
      <c r="F77" s="721"/>
      <c r="G77" s="737"/>
      <c r="H77" s="823"/>
      <c r="I77" s="795"/>
      <c r="J77" s="796"/>
      <c r="K77" s="796"/>
      <c r="L77" s="797"/>
      <c r="M77" s="164"/>
      <c r="O77" s="8"/>
      <c r="P77" s="7"/>
      <c r="Q77" s="7"/>
      <c r="R77" s="8"/>
      <c r="T77" s="22"/>
      <c r="U77" s="612"/>
      <c r="V77" s="142"/>
      <c r="W77" s="141"/>
    </row>
    <row r="78" spans="2:23" ht="20.100000000000001" customHeight="1">
      <c r="B78" s="625"/>
      <c r="C78" s="625"/>
      <c r="D78" s="625"/>
      <c r="E78" s="625"/>
      <c r="F78" s="626"/>
      <c r="G78" s="627"/>
      <c r="H78" s="628"/>
      <c r="I78" s="629"/>
      <c r="J78" s="629"/>
      <c r="K78" s="629"/>
      <c r="L78" s="629"/>
      <c r="M78" s="164"/>
      <c r="O78" s="8"/>
      <c r="P78" s="7"/>
      <c r="Q78" s="7"/>
      <c r="R78" s="8"/>
      <c r="T78" s="22"/>
      <c r="U78" s="612"/>
      <c r="V78" s="142"/>
      <c r="W78" s="141"/>
    </row>
    <row r="79" spans="2:23" ht="20.100000000000001" customHeight="1">
      <c r="B79" s="23" t="s">
        <v>715</v>
      </c>
      <c r="C79" s="609"/>
      <c r="D79" s="625"/>
      <c r="E79" s="625"/>
      <c r="F79" s="626"/>
      <c r="G79" s="627"/>
      <c r="H79" s="628"/>
      <c r="I79" s="629"/>
      <c r="J79" s="629"/>
      <c r="K79" s="629"/>
      <c r="L79" s="629"/>
      <c r="M79" s="164"/>
      <c r="O79" s="8"/>
      <c r="P79" s="7"/>
      <c r="Q79" s="7"/>
      <c r="R79" s="8"/>
      <c r="T79" s="22"/>
      <c r="U79" s="612"/>
      <c r="V79" s="142"/>
      <c r="W79" s="141"/>
    </row>
    <row r="80" spans="2:23" ht="20.100000000000001" customHeight="1">
      <c r="B80" s="711" t="s">
        <v>719</v>
      </c>
      <c r="C80" s="712"/>
      <c r="D80" s="712"/>
      <c r="E80" s="713"/>
      <c r="F80" s="603" t="s">
        <v>447</v>
      </c>
      <c r="G80" s="636">
        <v>0.6</v>
      </c>
      <c r="H80" s="610" t="s">
        <v>3</v>
      </c>
      <c r="I80" s="766"/>
      <c r="J80" s="767"/>
      <c r="K80" s="767"/>
      <c r="L80" s="768"/>
      <c r="M80" s="164"/>
      <c r="O80" s="8"/>
      <c r="P80" s="7"/>
      <c r="Q80" s="7"/>
      <c r="R80" s="8"/>
      <c r="T80" s="22"/>
      <c r="U80" s="612"/>
      <c r="V80" s="142"/>
      <c r="W80" s="141"/>
    </row>
    <row r="81" spans="2:23" ht="20.100000000000001" customHeight="1">
      <c r="B81" s="711" t="s">
        <v>16</v>
      </c>
      <c r="C81" s="712"/>
      <c r="D81" s="712"/>
      <c r="E81" s="713"/>
      <c r="F81" s="603" t="s">
        <v>142</v>
      </c>
      <c r="G81" s="633" t="e">
        <f>G53*SIN(G42*PI()/180)</f>
        <v>#VALUE!</v>
      </c>
      <c r="H81" s="610" t="s">
        <v>3</v>
      </c>
      <c r="I81" s="766"/>
      <c r="J81" s="767"/>
      <c r="K81" s="767"/>
      <c r="L81" s="768"/>
      <c r="M81" s="164"/>
      <c r="O81" s="8"/>
      <c r="P81" s="7"/>
      <c r="Q81" s="7"/>
      <c r="R81" s="8"/>
      <c r="T81" s="22"/>
      <c r="U81" s="612"/>
      <c r="V81" s="142"/>
      <c r="W81" s="141"/>
    </row>
    <row r="82" spans="2:23" ht="20.100000000000001" customHeight="1">
      <c r="B82" s="730" t="s">
        <v>27</v>
      </c>
      <c r="C82" s="731"/>
      <c r="D82" s="731"/>
      <c r="E82" s="732"/>
      <c r="F82" s="720" t="s">
        <v>716</v>
      </c>
      <c r="G82" s="736" t="e">
        <f>G76*(G58*86400)/432</f>
        <v>#N/A</v>
      </c>
      <c r="H82" s="827" t="s">
        <v>3</v>
      </c>
      <c r="I82" s="792"/>
      <c r="J82" s="793"/>
      <c r="K82" s="793"/>
      <c r="L82" s="794"/>
      <c r="M82" s="164"/>
      <c r="O82" s="8"/>
      <c r="P82" s="7"/>
      <c r="Q82" s="7"/>
      <c r="R82" s="8"/>
      <c r="T82" s="22"/>
      <c r="U82" s="612"/>
      <c r="V82" s="142"/>
      <c r="W82" s="141"/>
    </row>
    <row r="83" spans="2:23" ht="20.100000000000001" customHeight="1">
      <c r="B83" s="733"/>
      <c r="C83" s="734"/>
      <c r="D83" s="734"/>
      <c r="E83" s="735"/>
      <c r="F83" s="721"/>
      <c r="G83" s="737"/>
      <c r="H83" s="828"/>
      <c r="I83" s="795"/>
      <c r="J83" s="796"/>
      <c r="K83" s="796"/>
      <c r="L83" s="797"/>
      <c r="M83" s="164"/>
      <c r="O83" s="8"/>
      <c r="P83" s="7"/>
      <c r="Q83" s="7"/>
      <c r="R83" s="8"/>
      <c r="T83" s="22"/>
      <c r="U83" s="612"/>
      <c r="V83" s="142"/>
      <c r="W83" s="141"/>
    </row>
    <row r="84" spans="2:23" ht="20.100000000000001" customHeight="1">
      <c r="B84" s="711" t="s">
        <v>33</v>
      </c>
      <c r="C84" s="712"/>
      <c r="D84" s="712"/>
      <c r="E84" s="713"/>
      <c r="F84" s="602" t="s">
        <v>145</v>
      </c>
      <c r="G84" s="633" t="e">
        <f>G80+G81+G82</f>
        <v>#VALUE!</v>
      </c>
      <c r="H84" s="602" t="s">
        <v>3</v>
      </c>
      <c r="I84" s="766"/>
      <c r="J84" s="767"/>
      <c r="K84" s="767"/>
      <c r="L84" s="768"/>
      <c r="M84" s="164"/>
      <c r="O84" s="8"/>
      <c r="P84" s="7"/>
      <c r="Q84" s="7"/>
      <c r="R84" s="8"/>
      <c r="T84" s="22"/>
      <c r="U84" s="612"/>
      <c r="V84" s="142"/>
      <c r="W84" s="141"/>
    </row>
    <row r="85" spans="2:23" ht="20.100000000000001" customHeight="1">
      <c r="B85" s="730" t="s">
        <v>725</v>
      </c>
      <c r="C85" s="731"/>
      <c r="D85" s="731"/>
      <c r="E85" s="732"/>
      <c r="F85" s="652" t="s">
        <v>726</v>
      </c>
      <c r="G85" s="653" t="e">
        <f>G84*G51*G52-(G56-1)*G53*G52*(G41/1000)</f>
        <v>#VALUE!</v>
      </c>
      <c r="H85" s="652" t="s">
        <v>717</v>
      </c>
      <c r="I85" s="792"/>
      <c r="J85" s="793"/>
      <c r="K85" s="793"/>
      <c r="L85" s="794"/>
      <c r="M85" s="164"/>
      <c r="O85" s="8"/>
      <c r="P85" s="7"/>
      <c r="Q85" s="7"/>
      <c r="R85" s="8"/>
      <c r="T85" s="22"/>
      <c r="U85" s="612"/>
      <c r="V85" s="142"/>
      <c r="W85" s="141"/>
    </row>
    <row r="86" spans="2:23" ht="20.100000000000001" customHeight="1">
      <c r="B86" s="825" t="s">
        <v>37</v>
      </c>
      <c r="C86" s="825"/>
      <c r="D86" s="825"/>
      <c r="E86" s="825"/>
      <c r="F86" s="824" t="s">
        <v>147</v>
      </c>
      <c r="G86" s="826" t="e">
        <f>G85/(G46*60)</f>
        <v>#VALUE!</v>
      </c>
      <c r="H86" s="824" t="s">
        <v>38</v>
      </c>
      <c r="I86" s="801"/>
      <c r="J86" s="801"/>
      <c r="K86" s="801"/>
      <c r="L86" s="801"/>
      <c r="M86" s="164"/>
      <c r="O86" s="8"/>
      <c r="P86" s="7"/>
      <c r="Q86" s="7"/>
      <c r="R86" s="8"/>
      <c r="T86" s="22"/>
      <c r="U86" s="612"/>
      <c r="V86" s="142"/>
      <c r="W86" s="141"/>
    </row>
    <row r="87" spans="2:23" ht="20.100000000000001" customHeight="1">
      <c r="B87" s="825"/>
      <c r="C87" s="825"/>
      <c r="D87" s="825"/>
      <c r="E87" s="825"/>
      <c r="F87" s="824"/>
      <c r="G87" s="826"/>
      <c r="H87" s="824"/>
      <c r="I87" s="801"/>
      <c r="J87" s="801"/>
      <c r="K87" s="801"/>
      <c r="L87" s="801"/>
      <c r="M87" s="164"/>
      <c r="O87" s="8"/>
      <c r="P87" s="7"/>
      <c r="Q87" s="7"/>
      <c r="R87" s="8"/>
      <c r="T87" s="22"/>
      <c r="U87" s="612"/>
      <c r="V87" s="142"/>
      <c r="W87" s="141"/>
    </row>
    <row r="88" spans="2:23" ht="20.100000000000001" customHeight="1">
      <c r="B88" s="762"/>
      <c r="C88" s="762"/>
      <c r="D88" s="762"/>
      <c r="E88" s="762"/>
      <c r="F88" s="634"/>
      <c r="G88" s="635"/>
      <c r="H88" s="232"/>
      <c r="I88" s="762"/>
      <c r="J88" s="762"/>
      <c r="K88" s="762"/>
      <c r="L88" s="762"/>
      <c r="M88" s="164"/>
      <c r="O88" s="8"/>
      <c r="P88" s="7"/>
      <c r="Q88" s="7"/>
      <c r="R88" s="8"/>
      <c r="T88" s="22"/>
      <c r="U88" s="612"/>
      <c r="V88" s="142"/>
      <c r="W88" s="141"/>
    </row>
    <row r="89" spans="2:23" ht="20.100000000000001" customHeight="1">
      <c r="B89" s="23" t="s">
        <v>720</v>
      </c>
      <c r="C89" s="110"/>
      <c r="D89" s="110"/>
      <c r="E89" s="110"/>
      <c r="F89" s="634"/>
      <c r="G89" s="635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12"/>
      <c r="V89" s="142"/>
      <c r="W89" s="141"/>
    </row>
    <row r="90" spans="2:23" ht="20.100000000000001" customHeight="1">
      <c r="B90" s="769" t="s">
        <v>28</v>
      </c>
      <c r="C90" s="769"/>
      <c r="D90" s="769"/>
      <c r="E90" s="769"/>
      <c r="F90" s="611" t="s">
        <v>29</v>
      </c>
      <c r="G90" s="613">
        <v>0.3</v>
      </c>
      <c r="H90" s="632" t="s">
        <v>3</v>
      </c>
      <c r="I90" s="766"/>
      <c r="J90" s="767"/>
      <c r="K90" s="767"/>
      <c r="L90" s="768"/>
      <c r="M90" s="164"/>
      <c r="O90" s="8"/>
      <c r="P90" s="7"/>
      <c r="Q90" s="7"/>
      <c r="R90" s="8"/>
      <c r="T90" s="22"/>
      <c r="U90" s="612"/>
      <c r="V90" s="142"/>
      <c r="W90" s="141"/>
    </row>
    <row r="91" spans="2:23" ht="20.100000000000001" customHeight="1">
      <c r="B91" s="798" t="s">
        <v>724</v>
      </c>
      <c r="C91" s="799"/>
      <c r="D91" s="799"/>
      <c r="E91" s="800"/>
      <c r="F91" s="611" t="s">
        <v>721</v>
      </c>
      <c r="G91" s="613">
        <v>0.3</v>
      </c>
      <c r="H91" s="632" t="s">
        <v>3</v>
      </c>
      <c r="I91" s="605"/>
      <c r="J91" s="606"/>
      <c r="K91" s="606"/>
      <c r="L91" s="607"/>
      <c r="M91" s="164"/>
      <c r="O91" s="8"/>
      <c r="P91" s="7"/>
      <c r="Q91" s="7"/>
      <c r="R91" s="8"/>
      <c r="T91" s="22"/>
      <c r="U91" s="612"/>
      <c r="V91" s="142"/>
      <c r="W91" s="141"/>
    </row>
    <row r="92" spans="2:23" ht="20.100000000000001" customHeight="1">
      <c r="B92" s="798" t="s">
        <v>39</v>
      </c>
      <c r="C92" s="799"/>
      <c r="D92" s="799"/>
      <c r="E92" s="800"/>
      <c r="F92" s="611" t="s">
        <v>44</v>
      </c>
      <c r="G92" s="640">
        <v>55</v>
      </c>
      <c r="H92" s="632" t="s">
        <v>12</v>
      </c>
      <c r="I92" s="605"/>
      <c r="J92" s="606"/>
      <c r="K92" s="606"/>
      <c r="L92" s="607"/>
      <c r="M92" s="164"/>
      <c r="O92" s="8"/>
      <c r="P92" s="7"/>
      <c r="Q92" s="7"/>
      <c r="R92" s="8"/>
      <c r="T92" s="22"/>
      <c r="U92" s="612"/>
      <c r="V92" s="142"/>
      <c r="W92" s="141"/>
    </row>
    <row r="93" spans="2:23" ht="20.100000000000001" customHeight="1">
      <c r="B93" s="769" t="s">
        <v>728</v>
      </c>
      <c r="C93" s="769"/>
      <c r="D93" s="769"/>
      <c r="E93" s="769"/>
      <c r="F93" s="611" t="s">
        <v>729</v>
      </c>
      <c r="G93" s="639">
        <v>0.1</v>
      </c>
      <c r="H93" s="632" t="s">
        <v>3</v>
      </c>
      <c r="I93" s="766"/>
      <c r="J93" s="767"/>
      <c r="K93" s="767"/>
      <c r="L93" s="768"/>
      <c r="M93" s="164"/>
      <c r="O93" s="8"/>
      <c r="P93" s="7"/>
      <c r="Q93" s="7"/>
      <c r="R93" s="8"/>
      <c r="T93" s="22"/>
      <c r="U93" s="612"/>
      <c r="V93" s="142"/>
      <c r="W93" s="141"/>
    </row>
    <row r="94" spans="2:23" ht="20.100000000000001" customHeight="1">
      <c r="B94" s="802" t="s">
        <v>62</v>
      </c>
      <c r="C94" s="803"/>
      <c r="D94" s="803"/>
      <c r="E94" s="804"/>
      <c r="F94" s="720" t="s">
        <v>722</v>
      </c>
      <c r="G94" s="740" t="e">
        <f>"1 : "&amp;ROUND(G51/G52,1)</f>
        <v>#VALUE!</v>
      </c>
      <c r="H94" s="720"/>
      <c r="I94" s="792"/>
      <c r="J94" s="793"/>
      <c r="K94" s="793"/>
      <c r="L94" s="794"/>
      <c r="M94" s="164"/>
      <c r="O94" s="8"/>
      <c r="P94" s="7"/>
      <c r="Q94" s="7"/>
      <c r="R94" s="8"/>
      <c r="T94" s="22"/>
      <c r="U94" s="612"/>
      <c r="V94" s="142"/>
      <c r="W94" s="141"/>
    </row>
    <row r="95" spans="2:23" ht="20.100000000000001" customHeight="1">
      <c r="B95" s="805"/>
      <c r="C95" s="806"/>
      <c r="D95" s="806"/>
      <c r="E95" s="807"/>
      <c r="F95" s="721"/>
      <c r="G95" s="741"/>
      <c r="H95" s="721"/>
      <c r="I95" s="795"/>
      <c r="J95" s="796"/>
      <c r="K95" s="796"/>
      <c r="L95" s="797"/>
      <c r="M95" s="164"/>
      <c r="O95" s="8"/>
      <c r="P95" s="7"/>
      <c r="Q95" s="7"/>
      <c r="R95" s="8"/>
      <c r="T95" s="22"/>
      <c r="U95" s="612"/>
      <c r="V95" s="142"/>
      <c r="W95" s="141"/>
    </row>
    <row r="96" spans="2:23" ht="20.100000000000001" customHeight="1">
      <c r="B96" s="802" t="s">
        <v>42</v>
      </c>
      <c r="C96" s="803"/>
      <c r="D96" s="803"/>
      <c r="E96" s="804"/>
      <c r="F96" s="720" t="s">
        <v>148</v>
      </c>
      <c r="G96" s="736" t="e">
        <f>((G52-G93)/2)*TAN(G92*PI()/180)</f>
        <v>#VALUE!</v>
      </c>
      <c r="H96" s="720" t="s">
        <v>3</v>
      </c>
      <c r="I96" s="792"/>
      <c r="J96" s="793"/>
      <c r="K96" s="793"/>
      <c r="L96" s="794"/>
      <c r="M96" s="164"/>
      <c r="O96" s="8"/>
      <c r="P96" s="7"/>
      <c r="Q96" s="7"/>
      <c r="R96" s="8"/>
      <c r="T96" s="22"/>
      <c r="U96" s="612"/>
      <c r="V96" s="142"/>
      <c r="W96" s="141"/>
    </row>
    <row r="97" spans="2:23" ht="20.100000000000001" customHeight="1">
      <c r="B97" s="805"/>
      <c r="C97" s="806"/>
      <c r="D97" s="806"/>
      <c r="E97" s="807"/>
      <c r="F97" s="721"/>
      <c r="G97" s="737"/>
      <c r="H97" s="721"/>
      <c r="I97" s="795"/>
      <c r="J97" s="796"/>
      <c r="K97" s="796"/>
      <c r="L97" s="797"/>
      <c r="M97" s="164"/>
      <c r="O97" s="8"/>
      <c r="P97" s="7"/>
      <c r="Q97" s="7"/>
      <c r="R97" s="8"/>
      <c r="T97" s="22"/>
      <c r="U97" s="612"/>
      <c r="V97" s="142"/>
      <c r="W97" s="141"/>
    </row>
    <row r="98" spans="2:23" ht="20.100000000000001" customHeight="1">
      <c r="B98" s="730" t="s">
        <v>727</v>
      </c>
      <c r="C98" s="731"/>
      <c r="D98" s="731"/>
      <c r="E98" s="732"/>
      <c r="F98" s="720" t="s">
        <v>146</v>
      </c>
      <c r="G98" s="736" t="e">
        <f>G51*G96*(G93+(G52-G93)/2)</f>
        <v>#VALUE!</v>
      </c>
      <c r="H98" s="720" t="s">
        <v>717</v>
      </c>
      <c r="I98" s="792"/>
      <c r="J98" s="793"/>
      <c r="K98" s="793"/>
      <c r="L98" s="794"/>
      <c r="M98" s="164"/>
      <c r="N98" s="638"/>
      <c r="O98" s="8"/>
      <c r="P98" s="7"/>
      <c r="Q98" s="7"/>
      <c r="R98" s="8"/>
      <c r="T98" s="22"/>
      <c r="U98" s="631"/>
      <c r="V98" s="142"/>
      <c r="W98" s="141"/>
    </row>
    <row r="99" spans="2:23" ht="20.100000000000001" customHeight="1">
      <c r="B99" s="733"/>
      <c r="C99" s="734"/>
      <c r="D99" s="734"/>
      <c r="E99" s="735"/>
      <c r="F99" s="721"/>
      <c r="G99" s="737"/>
      <c r="H99" s="721"/>
      <c r="I99" s="795"/>
      <c r="J99" s="796"/>
      <c r="K99" s="796"/>
      <c r="L99" s="797"/>
      <c r="M99" s="164" t="e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#VALUE!</v>
      </c>
      <c r="O99" s="8"/>
      <c r="P99" s="7"/>
      <c r="Q99" s="7"/>
      <c r="R99" s="8"/>
      <c r="T99" s="22"/>
      <c r="U99" s="631"/>
      <c r="V99" s="142"/>
      <c r="W99" s="141"/>
    </row>
    <row r="100" spans="2:23" ht="20.100000000000001" customHeight="1">
      <c r="B100" s="802" t="s">
        <v>45</v>
      </c>
      <c r="C100" s="803"/>
      <c r="D100" s="803"/>
      <c r="E100" s="804"/>
      <c r="F100" s="652" t="s">
        <v>149</v>
      </c>
      <c r="G100" s="653">
        <f>2*G91+G51</f>
        <v>6.4569999999999999</v>
      </c>
      <c r="H100" s="652" t="s">
        <v>3</v>
      </c>
      <c r="I100" s="792"/>
      <c r="J100" s="793"/>
      <c r="K100" s="793"/>
      <c r="L100" s="794"/>
      <c r="M100" s="164"/>
      <c r="O100" s="8"/>
      <c r="P100" s="7"/>
      <c r="Q100" s="7"/>
      <c r="R100" s="8"/>
      <c r="T100" s="22"/>
      <c r="U100" s="612"/>
      <c r="V100" s="142"/>
      <c r="W100" s="141"/>
    </row>
    <row r="101" spans="2:23" ht="20.100000000000001" customHeight="1">
      <c r="B101" s="802" t="s">
        <v>47</v>
      </c>
      <c r="C101" s="803"/>
      <c r="D101" s="803"/>
      <c r="E101" s="804"/>
      <c r="F101" s="652" t="s">
        <v>150</v>
      </c>
      <c r="G101" s="653" t="e">
        <f>(G52+G91)*G45</f>
        <v>#VALUE!</v>
      </c>
      <c r="H101" s="652" t="s">
        <v>3</v>
      </c>
      <c r="I101" s="792"/>
      <c r="J101" s="793"/>
      <c r="K101" s="793"/>
      <c r="L101" s="794"/>
      <c r="M101" s="164"/>
      <c r="O101" s="8"/>
      <c r="P101" s="7"/>
      <c r="Q101" s="7"/>
      <c r="R101" s="8"/>
      <c r="T101" s="22"/>
      <c r="U101" s="612"/>
      <c r="V101" s="142"/>
      <c r="W101" s="141"/>
    </row>
    <row r="102" spans="2:23" ht="20.100000000000001" customHeight="1">
      <c r="B102" s="808" t="s">
        <v>723</v>
      </c>
      <c r="C102" s="808"/>
      <c r="D102" s="808"/>
      <c r="E102" s="808"/>
      <c r="F102" s="647" t="s">
        <v>151</v>
      </c>
      <c r="G102" s="656" t="e">
        <f>G91+G96+G84+G90</f>
        <v>#VALUE!</v>
      </c>
      <c r="H102" s="647" t="s">
        <v>3</v>
      </c>
      <c r="I102" s="801"/>
      <c r="J102" s="801"/>
      <c r="K102" s="801"/>
      <c r="L102" s="801"/>
      <c r="M102" s="164"/>
      <c r="O102" s="8"/>
      <c r="P102" s="7"/>
      <c r="Q102" s="7"/>
      <c r="R102" s="8"/>
      <c r="T102" s="22"/>
      <c r="U102" s="612"/>
      <c r="V102" s="142"/>
      <c r="W102" s="141"/>
    </row>
    <row r="103" spans="2:23" ht="20.100000000000001" customHeight="1">
      <c r="B103" s="609"/>
      <c r="C103" s="609"/>
      <c r="D103" s="609"/>
      <c r="E103" s="609"/>
      <c r="F103" s="634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12"/>
      <c r="V103" s="142"/>
      <c r="W103" s="141"/>
    </row>
    <row r="104" spans="2:23" ht="20.100000000000001" customHeight="1">
      <c r="B104" s="838"/>
      <c r="C104" s="838"/>
      <c r="D104" s="838"/>
      <c r="E104" s="838"/>
      <c r="F104" s="4"/>
      <c r="G104" s="2"/>
      <c r="H104" s="2"/>
      <c r="O104" s="6"/>
      <c r="P104" s="7"/>
      <c r="Q104" s="7"/>
      <c r="R104" s="8"/>
    </row>
    <row r="105" spans="2:23" ht="20.100000000000001" customHeight="1">
      <c r="B105" s="839" t="s">
        <v>65</v>
      </c>
      <c r="C105" s="839"/>
      <c r="D105" s="839"/>
      <c r="E105" s="839"/>
      <c r="F105" s="839"/>
      <c r="G105" s="839"/>
      <c r="H105" s="839"/>
      <c r="I105" s="839"/>
      <c r="J105" s="539"/>
      <c r="K105" s="539"/>
      <c r="L105" s="539"/>
      <c r="M105" s="539"/>
      <c r="O105" s="6"/>
      <c r="P105" s="7"/>
      <c r="Q105" s="7"/>
      <c r="R105" s="8"/>
      <c r="U105" s="7"/>
    </row>
    <row r="106" spans="2:23" ht="20.100000000000001" customHeight="1">
      <c r="B106" s="711" t="s">
        <v>69</v>
      </c>
      <c r="C106" s="712"/>
      <c r="D106" s="712"/>
      <c r="E106" s="713"/>
      <c r="F106" s="654" t="s">
        <v>492</v>
      </c>
      <c r="G106" s="641">
        <v>0.01</v>
      </c>
      <c r="H106" s="588" t="s">
        <v>5</v>
      </c>
      <c r="I106" s="844"/>
      <c r="J106" s="844"/>
      <c r="K106" s="844"/>
      <c r="L106" s="844"/>
      <c r="M106" s="7"/>
      <c r="N106" s="7"/>
      <c r="O106" s="6"/>
      <c r="P106" s="7"/>
      <c r="Q106" s="7"/>
      <c r="R106" s="8"/>
      <c r="S106" s="7"/>
      <c r="U106" s="7"/>
    </row>
    <row r="107" spans="2:23" ht="20.100000000000001" customHeight="1">
      <c r="B107" s="711" t="s">
        <v>67</v>
      </c>
      <c r="C107" s="712"/>
      <c r="D107" s="712"/>
      <c r="E107" s="713"/>
      <c r="F107" s="630" t="s">
        <v>152</v>
      </c>
      <c r="G107" s="642">
        <f>G51</f>
        <v>5.8570000000000002</v>
      </c>
      <c r="H107" s="648" t="s">
        <v>3</v>
      </c>
      <c r="I107" s="748"/>
      <c r="J107" s="749"/>
      <c r="K107" s="749"/>
      <c r="L107" s="750"/>
      <c r="M107" s="7"/>
      <c r="N107" s="843"/>
      <c r="O107" s="843"/>
      <c r="P107" s="843"/>
      <c r="Q107" s="843"/>
      <c r="R107" s="843"/>
      <c r="S107" s="843"/>
      <c r="T107" s="22"/>
      <c r="U107" s="7"/>
    </row>
    <row r="108" spans="2:23" ht="20.100000000000001" customHeight="1">
      <c r="B108" s="711" t="s">
        <v>752</v>
      </c>
      <c r="C108" s="712"/>
      <c r="D108" s="712"/>
      <c r="E108" s="713"/>
      <c r="F108" s="647" t="s">
        <v>155</v>
      </c>
      <c r="G108" s="663" t="e">
        <f>G96+G84</f>
        <v>#VALUE!</v>
      </c>
      <c r="H108" s="664" t="s">
        <v>3</v>
      </c>
      <c r="I108" s="649"/>
      <c r="J108" s="650"/>
      <c r="K108" s="650"/>
      <c r="L108" s="651"/>
      <c r="M108" s="7"/>
      <c r="N108" s="655"/>
      <c r="O108" s="655"/>
      <c r="P108" s="655"/>
      <c r="Q108" s="655"/>
      <c r="R108" s="655"/>
      <c r="S108" s="655"/>
      <c r="T108" s="655"/>
      <c r="U108" s="7"/>
    </row>
    <row r="109" spans="2:23" ht="20.100000000000001" customHeight="1">
      <c r="B109" s="730" t="s">
        <v>66</v>
      </c>
      <c r="C109" s="731"/>
      <c r="D109" s="731"/>
      <c r="E109" s="732"/>
      <c r="F109" s="720" t="s">
        <v>153</v>
      </c>
      <c r="G109" s="740" t="str">
        <f>IF(AND(G107&gt;2,G107&lt;3.5),BC9,IF(AND(G107&gt;3.5,G107&lt;6.5),BC10,IF(AND(G107&gt;6.5,G107&lt;8),BC11)))</f>
        <v>6 (RDE 13,5)</v>
      </c>
      <c r="H109" s="720" t="s">
        <v>64</v>
      </c>
      <c r="I109" s="724"/>
      <c r="J109" s="725"/>
      <c r="K109" s="725"/>
      <c r="L109" s="726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2:23" ht="20.100000000000001" customHeight="1">
      <c r="B110" s="785"/>
      <c r="C110" s="761"/>
      <c r="D110" s="761"/>
      <c r="E110" s="786"/>
      <c r="F110" s="790"/>
      <c r="G110" s="791"/>
      <c r="H110" s="790"/>
      <c r="I110" s="787"/>
      <c r="J110" s="788"/>
      <c r="K110" s="788"/>
      <c r="L110" s="789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2:23" ht="20.100000000000001" customHeight="1">
      <c r="B111" s="733"/>
      <c r="C111" s="734"/>
      <c r="D111" s="734"/>
      <c r="E111" s="735"/>
      <c r="F111" s="721"/>
      <c r="G111" s="741"/>
      <c r="H111" s="721"/>
      <c r="I111" s="727"/>
      <c r="J111" s="728"/>
      <c r="K111" s="728"/>
      <c r="L111" s="729"/>
      <c r="M111" s="7"/>
      <c r="N111" s="7"/>
      <c r="O111" s="7"/>
      <c r="P111" s="7"/>
      <c r="Q111" s="7"/>
      <c r="R111" s="7"/>
      <c r="S111" s="7"/>
      <c r="T111" s="22"/>
      <c r="U111" s="7"/>
    </row>
    <row r="112" spans="2:23" ht="20.100000000000001" customHeight="1">
      <c r="B112" s="711" t="s">
        <v>756</v>
      </c>
      <c r="C112" s="712"/>
      <c r="D112" s="712"/>
      <c r="E112" s="713"/>
      <c r="F112" s="543" t="s">
        <v>154</v>
      </c>
      <c r="G112" s="642">
        <f>VLOOKUP(G109,BC9:BE11,3,FALSE)</f>
        <v>0.14334</v>
      </c>
      <c r="H112" s="648" t="s">
        <v>3</v>
      </c>
      <c r="I112" s="748"/>
      <c r="J112" s="749"/>
      <c r="K112" s="749"/>
      <c r="L112" s="750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2:21" ht="20.100000000000001" customHeight="1">
      <c r="B113" s="711" t="s">
        <v>733</v>
      </c>
      <c r="C113" s="712"/>
      <c r="D113" s="712"/>
      <c r="E113" s="713"/>
      <c r="F113" s="652" t="s">
        <v>734</v>
      </c>
      <c r="G113" s="666" t="s">
        <v>739</v>
      </c>
      <c r="H113" s="664" t="s">
        <v>64</v>
      </c>
      <c r="I113" s="649"/>
      <c r="J113" s="650"/>
      <c r="K113" s="650"/>
      <c r="L113" s="651"/>
      <c r="M113" s="7"/>
      <c r="N113" s="655"/>
      <c r="O113" s="655"/>
      <c r="P113" s="655"/>
      <c r="Q113" s="655"/>
      <c r="R113" s="655"/>
      <c r="S113" s="655"/>
      <c r="T113" s="655"/>
      <c r="U113" s="7"/>
    </row>
    <row r="114" spans="2:21" ht="20.100000000000001" customHeight="1">
      <c r="B114" s="714" t="s">
        <v>68</v>
      </c>
      <c r="C114" s="715"/>
      <c r="D114" s="715"/>
      <c r="E114" s="716"/>
      <c r="F114" s="720" t="s">
        <v>735</v>
      </c>
      <c r="G114" s="736">
        <f>VLOOKUP(G113,BG9:BI17,3,FALSE)</f>
        <v>2.181E-2</v>
      </c>
      <c r="H114" s="720" t="s">
        <v>3</v>
      </c>
      <c r="I114" s="724"/>
      <c r="J114" s="725"/>
      <c r="K114" s="725"/>
      <c r="L114" s="726"/>
      <c r="M114" s="7"/>
      <c r="N114" s="655"/>
      <c r="O114" s="655"/>
      <c r="P114" s="655"/>
      <c r="Q114" s="655"/>
      <c r="R114" s="655"/>
      <c r="S114" s="655"/>
      <c r="T114" s="655"/>
      <c r="U114" s="7"/>
    </row>
    <row r="115" spans="2:21" ht="20.100000000000001" customHeight="1">
      <c r="B115" s="717"/>
      <c r="C115" s="718"/>
      <c r="D115" s="718"/>
      <c r="E115" s="719"/>
      <c r="F115" s="721"/>
      <c r="G115" s="737"/>
      <c r="H115" s="721"/>
      <c r="I115" s="727"/>
      <c r="J115" s="728"/>
      <c r="K115" s="728"/>
      <c r="L115" s="729"/>
      <c r="M115" s="7"/>
      <c r="N115" s="655"/>
      <c r="O115" s="655"/>
      <c r="P115" s="655"/>
      <c r="Q115" s="655"/>
      <c r="R115" s="655"/>
      <c r="S115" s="655"/>
      <c r="T115" s="655"/>
      <c r="U115" s="7"/>
    </row>
    <row r="116" spans="2:21" ht="20.100000000000001" customHeight="1">
      <c r="B116" s="730" t="s">
        <v>755</v>
      </c>
      <c r="C116" s="731"/>
      <c r="D116" s="731"/>
      <c r="E116" s="732"/>
      <c r="F116" s="720" t="s">
        <v>156</v>
      </c>
      <c r="G116" s="736" t="e">
        <f>1.16*G114*((G108^0.5)/G106)^0.5</f>
        <v>#VALUE!</v>
      </c>
      <c r="H116" s="720" t="s">
        <v>3</v>
      </c>
      <c r="I116" s="724"/>
      <c r="J116" s="725"/>
      <c r="K116" s="725"/>
      <c r="L116" s="726"/>
      <c r="M116" s="7"/>
      <c r="N116" s="655"/>
      <c r="O116" s="655"/>
      <c r="P116" s="655"/>
      <c r="Q116" s="655"/>
      <c r="R116" s="655"/>
      <c r="S116" s="655"/>
      <c r="T116" s="655"/>
      <c r="U116" s="7"/>
    </row>
    <row r="117" spans="2:21" ht="21.95" customHeight="1">
      <c r="B117" s="733"/>
      <c r="C117" s="734"/>
      <c r="D117" s="734"/>
      <c r="E117" s="735"/>
      <c r="F117" s="721"/>
      <c r="G117" s="737"/>
      <c r="H117" s="721"/>
      <c r="I117" s="727"/>
      <c r="J117" s="728"/>
      <c r="K117" s="728"/>
      <c r="L117" s="729"/>
      <c r="M117" s="7"/>
      <c r="N117" s="655"/>
      <c r="O117" s="655"/>
      <c r="P117" s="655"/>
      <c r="Q117" s="655"/>
      <c r="R117" s="655"/>
      <c r="S117" s="655"/>
      <c r="T117" s="655"/>
      <c r="U117" s="7"/>
    </row>
    <row r="118" spans="2:21" ht="21.95" customHeight="1">
      <c r="B118" s="730" t="s">
        <v>753</v>
      </c>
      <c r="C118" s="731"/>
      <c r="D118" s="731"/>
      <c r="E118" s="732"/>
      <c r="F118" s="738" t="s">
        <v>754</v>
      </c>
      <c r="G118" s="740" t="e">
        <f>ROUNDUP(G107/G116,0)</f>
        <v>#VALUE!</v>
      </c>
      <c r="H118" s="720" t="s">
        <v>15</v>
      </c>
      <c r="I118" s="724"/>
      <c r="J118" s="725"/>
      <c r="K118" s="725"/>
      <c r="L118" s="726"/>
      <c r="M118" s="7"/>
      <c r="N118" s="655"/>
      <c r="O118" s="655"/>
      <c r="P118" s="655"/>
      <c r="Q118" s="655"/>
      <c r="R118" s="655"/>
      <c r="S118" s="655"/>
      <c r="T118" s="655"/>
      <c r="U118" s="7"/>
    </row>
    <row r="119" spans="2:21" ht="21.95" customHeight="1">
      <c r="B119" s="733"/>
      <c r="C119" s="734"/>
      <c r="D119" s="734"/>
      <c r="E119" s="735"/>
      <c r="F119" s="739"/>
      <c r="G119" s="741"/>
      <c r="H119" s="721"/>
      <c r="I119" s="727"/>
      <c r="J119" s="728"/>
      <c r="K119" s="728"/>
      <c r="L119" s="729"/>
      <c r="M119" s="7"/>
      <c r="N119" s="655"/>
      <c r="O119" s="655"/>
      <c r="P119" s="655"/>
      <c r="Q119" s="655"/>
      <c r="R119" s="655"/>
      <c r="S119" s="655"/>
      <c r="T119" s="655"/>
      <c r="U119" s="7"/>
    </row>
    <row r="120" spans="2:21" ht="20.100000000000001" customHeight="1">
      <c r="B120" s="714" t="s">
        <v>72</v>
      </c>
      <c r="C120" s="715"/>
      <c r="D120" s="715"/>
      <c r="E120" s="716"/>
      <c r="F120" s="720"/>
      <c r="G120" s="722" t="e">
        <f>((G114/G112)^2)*G118</f>
        <v>#VALUE!</v>
      </c>
      <c r="H120" s="720"/>
      <c r="I120" s="724"/>
      <c r="J120" s="725"/>
      <c r="K120" s="725"/>
      <c r="L120" s="726"/>
      <c r="M120" s="7"/>
      <c r="N120" s="655"/>
      <c r="O120" s="655"/>
      <c r="P120" s="655"/>
      <c r="Q120" s="655"/>
      <c r="R120" s="655"/>
      <c r="S120" s="655"/>
      <c r="T120" s="655"/>
      <c r="U120" s="7"/>
    </row>
    <row r="121" spans="2:21" ht="20.100000000000001" customHeight="1">
      <c r="B121" s="717"/>
      <c r="C121" s="718"/>
      <c r="D121" s="718"/>
      <c r="E121" s="719"/>
      <c r="F121" s="721"/>
      <c r="G121" s="723"/>
      <c r="H121" s="721"/>
      <c r="I121" s="727"/>
      <c r="J121" s="728"/>
      <c r="K121" s="728"/>
      <c r="L121" s="729"/>
      <c r="M121" s="7" t="e">
        <f>IF(G120&lt;0.4,"¡Valor resultante es bajo, revise datos de diámetros de orificios!",IF(G120&gt;0.45,"¡Valor resultante es alto, revise datos de diámetros de orificios!","¡Ok!"))</f>
        <v>#VALUE!</v>
      </c>
      <c r="N121" s="655"/>
      <c r="O121" s="655"/>
      <c r="P121" s="655"/>
      <c r="Q121" s="655"/>
      <c r="R121" s="655"/>
      <c r="S121" s="655"/>
      <c r="T121" s="655"/>
      <c r="U121" s="7"/>
    </row>
    <row r="122" spans="2:21" ht="20.100000000000001" customHeight="1">
      <c r="B122" s="816" t="s">
        <v>73</v>
      </c>
      <c r="C122" s="817"/>
      <c r="D122" s="817"/>
      <c r="E122" s="818"/>
      <c r="F122" s="720" t="s">
        <v>156</v>
      </c>
      <c r="G122" s="736" t="e">
        <f>G107/G118</f>
        <v>#VALUE!</v>
      </c>
      <c r="H122" s="841" t="s">
        <v>3</v>
      </c>
      <c r="I122" s="724"/>
      <c r="J122" s="725"/>
      <c r="K122" s="725"/>
      <c r="L122" s="726"/>
      <c r="M122" s="7"/>
      <c r="N122" s="655"/>
      <c r="O122" s="655"/>
      <c r="P122" s="655"/>
      <c r="Q122" s="655"/>
      <c r="R122" s="655"/>
      <c r="S122" s="655"/>
      <c r="T122" s="655"/>
      <c r="U122" s="7"/>
    </row>
    <row r="123" spans="2:21" ht="20.100000000000001" customHeight="1">
      <c r="B123" s="819"/>
      <c r="C123" s="820"/>
      <c r="D123" s="820"/>
      <c r="E123" s="821"/>
      <c r="F123" s="721"/>
      <c r="G123" s="737"/>
      <c r="H123" s="842"/>
      <c r="I123" s="727"/>
      <c r="J123" s="728"/>
      <c r="K123" s="728"/>
      <c r="L123" s="729"/>
      <c r="M123" s="7"/>
      <c r="N123" s="837"/>
      <c r="O123" s="837"/>
      <c r="P123" s="837"/>
      <c r="Q123" s="837"/>
      <c r="R123" s="837"/>
      <c r="S123" s="837"/>
      <c r="T123" s="546"/>
      <c r="U123" s="7"/>
    </row>
    <row r="124" spans="2:21">
      <c r="B124" s="838"/>
      <c r="C124" s="838"/>
      <c r="D124" s="838"/>
      <c r="E124" s="838"/>
      <c r="O124" s="6"/>
      <c r="P124" s="7"/>
      <c r="Q124" s="7"/>
      <c r="R124" s="8"/>
    </row>
    <row r="125" spans="2:21">
      <c r="B125" s="839" t="s">
        <v>19</v>
      </c>
      <c r="C125" s="839"/>
      <c r="D125" s="839"/>
      <c r="E125" s="839"/>
      <c r="O125" s="6"/>
      <c r="P125" s="7"/>
      <c r="Q125" s="7"/>
      <c r="R125" s="8"/>
    </row>
    <row r="126" spans="2:21">
      <c r="O126" s="6"/>
      <c r="P126" s="7"/>
      <c r="Q126" s="7"/>
      <c r="R126" s="8"/>
    </row>
    <row r="127" spans="2:21" ht="30" customHeight="1">
      <c r="B127" s="5" t="s">
        <v>20</v>
      </c>
      <c r="E127" s="840" t="s">
        <v>26</v>
      </c>
      <c r="F127" s="840"/>
      <c r="G127" s="840"/>
      <c r="H127" s="840"/>
      <c r="I127" s="840"/>
      <c r="J127" s="537"/>
      <c r="K127" s="537"/>
      <c r="L127" s="537"/>
      <c r="M127" s="537"/>
      <c r="N127" s="25"/>
      <c r="O127" s="6"/>
      <c r="P127" s="7"/>
      <c r="Q127" s="7"/>
      <c r="R127" s="8"/>
    </row>
    <row r="128" spans="2:21" ht="30" customHeight="1">
      <c r="B128" s="5" t="s">
        <v>21</v>
      </c>
      <c r="E128" s="840" t="s">
        <v>34</v>
      </c>
      <c r="F128" s="840"/>
      <c r="G128" s="840"/>
      <c r="H128" s="840"/>
      <c r="I128" s="840"/>
      <c r="J128" s="537"/>
      <c r="K128" s="537"/>
      <c r="L128" s="537"/>
      <c r="M128" s="537"/>
      <c r="O128" s="26"/>
      <c r="P128" s="7"/>
      <c r="Q128" s="7"/>
      <c r="R128" s="8"/>
    </row>
    <row r="129" spans="2:18">
      <c r="B129" s="5" t="s">
        <v>22</v>
      </c>
      <c r="E129" s="836" t="s">
        <v>23</v>
      </c>
      <c r="F129" s="836"/>
      <c r="G129" s="836"/>
      <c r="H129" s="836"/>
      <c r="I129" s="836"/>
      <c r="J129" s="538"/>
      <c r="K129" s="538"/>
      <c r="L129" s="538"/>
      <c r="M129" s="538"/>
      <c r="O129" s="6"/>
      <c r="P129" s="7"/>
      <c r="Q129" s="7"/>
      <c r="R129" s="8"/>
    </row>
    <row r="130" spans="2:18" ht="30" customHeight="1">
      <c r="B130" s="5" t="s">
        <v>25</v>
      </c>
      <c r="E130" s="840" t="s">
        <v>35</v>
      </c>
      <c r="F130" s="840"/>
      <c r="G130" s="840"/>
      <c r="H130" s="840"/>
      <c r="I130" s="840"/>
      <c r="J130" s="537"/>
      <c r="K130" s="537"/>
      <c r="L130" s="537"/>
      <c r="M130" s="537"/>
      <c r="O130" s="6"/>
      <c r="P130" s="7"/>
      <c r="Q130" s="7"/>
      <c r="R130" s="8"/>
    </row>
    <row r="131" spans="2:18" ht="30" customHeight="1">
      <c r="B131" s="5" t="s">
        <v>31</v>
      </c>
      <c r="E131" s="840" t="s">
        <v>36</v>
      </c>
      <c r="F131" s="840"/>
      <c r="G131" s="840"/>
      <c r="H131" s="840"/>
      <c r="I131" s="840"/>
      <c r="J131" s="537"/>
      <c r="K131" s="537"/>
      <c r="L131" s="537"/>
      <c r="M131" s="537"/>
      <c r="O131" s="835"/>
      <c r="P131" s="835"/>
      <c r="Q131" s="7"/>
      <c r="R131" s="8"/>
    </row>
    <row r="132" spans="2:18">
      <c r="B132" s="5" t="s">
        <v>32</v>
      </c>
      <c r="E132" s="836" t="s">
        <v>30</v>
      </c>
      <c r="F132" s="836"/>
      <c r="G132" s="836"/>
      <c r="H132" s="836"/>
      <c r="I132" s="836"/>
      <c r="J132" s="538"/>
      <c r="K132" s="538"/>
      <c r="L132" s="538"/>
      <c r="M132" s="538"/>
      <c r="O132" s="6"/>
      <c r="P132" s="7"/>
      <c r="Q132" s="7"/>
      <c r="R132" s="8"/>
    </row>
    <row r="133" spans="2:18">
      <c r="B133" s="5" t="s">
        <v>41</v>
      </c>
      <c r="E133" s="836" t="s">
        <v>40</v>
      </c>
      <c r="F133" s="836"/>
      <c r="G133" s="836"/>
      <c r="H133" s="836"/>
      <c r="I133" s="836"/>
      <c r="J133" s="538"/>
      <c r="K133" s="538"/>
      <c r="L133" s="538"/>
      <c r="M133" s="538"/>
      <c r="O133" s="6"/>
      <c r="P133" s="7"/>
      <c r="Q133" s="7"/>
      <c r="R133" s="8"/>
    </row>
    <row r="134" spans="2:18" ht="30" customHeight="1">
      <c r="B134" s="5" t="s">
        <v>50</v>
      </c>
      <c r="E134" s="840" t="s">
        <v>43</v>
      </c>
      <c r="F134" s="840"/>
      <c r="G134" s="840"/>
      <c r="H134" s="840"/>
      <c r="I134" s="840"/>
      <c r="J134" s="537"/>
      <c r="K134" s="537"/>
      <c r="L134" s="537"/>
      <c r="M134" s="537"/>
      <c r="O134" s="6"/>
      <c r="P134" s="7"/>
      <c r="Q134" s="7"/>
      <c r="R134" s="8"/>
    </row>
    <row r="135" spans="2:18" ht="30" customHeight="1">
      <c r="B135" s="5" t="s">
        <v>70</v>
      </c>
      <c r="E135" s="840" t="s">
        <v>71</v>
      </c>
      <c r="F135" s="840"/>
      <c r="G135" s="840"/>
      <c r="H135" s="840"/>
      <c r="I135" s="840"/>
      <c r="J135" s="537"/>
      <c r="K135" s="537"/>
      <c r="L135" s="537"/>
      <c r="M135" s="537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631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B88:E88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12:E12"/>
    <mergeCell ref="V6:V7"/>
    <mergeCell ref="W6:W7"/>
    <mergeCell ref="Y6:Z8"/>
    <mergeCell ref="AA6:AA8"/>
    <mergeCell ref="B31:E31"/>
    <mergeCell ref="B32:E32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92:E92"/>
    <mergeCell ref="I85:L85"/>
    <mergeCell ref="I96:L97"/>
    <mergeCell ref="I100:L100"/>
    <mergeCell ref="I101:L101"/>
    <mergeCell ref="B112:E112"/>
    <mergeCell ref="B107:E107"/>
    <mergeCell ref="N107:S107"/>
    <mergeCell ref="B104:E104"/>
    <mergeCell ref="F94:F95"/>
    <mergeCell ref="G94:G95"/>
    <mergeCell ref="H94:H95"/>
    <mergeCell ref="I94:L95"/>
    <mergeCell ref="B98:E99"/>
    <mergeCell ref="F98:F99"/>
    <mergeCell ref="B108:E108"/>
    <mergeCell ref="B105:I105"/>
    <mergeCell ref="B106:E106"/>
    <mergeCell ref="I106:L106"/>
    <mergeCell ref="I107:L107"/>
    <mergeCell ref="I112:L112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122:E123"/>
    <mergeCell ref="F122:F123"/>
    <mergeCell ref="G122:G123"/>
    <mergeCell ref="H122:H123"/>
    <mergeCell ref="I122:L123"/>
    <mergeCell ref="B72:E72"/>
    <mergeCell ref="B37:E37"/>
    <mergeCell ref="F37:H37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B76:E77"/>
    <mergeCell ref="F76:F77"/>
    <mergeCell ref="G76:G77"/>
    <mergeCell ref="H76:H77"/>
    <mergeCell ref="I76:L77"/>
    <mergeCell ref="H86:H87"/>
    <mergeCell ref="I86:L87"/>
    <mergeCell ref="I84:L84"/>
    <mergeCell ref="B84:E84"/>
    <mergeCell ref="B85:E85"/>
    <mergeCell ref="B86:E87"/>
    <mergeCell ref="F86:F87"/>
    <mergeCell ref="G86:G87"/>
    <mergeCell ref="B82:E83"/>
    <mergeCell ref="F82:F83"/>
    <mergeCell ref="G82:G83"/>
    <mergeCell ref="H82:H83"/>
    <mergeCell ref="I82:L83"/>
    <mergeCell ref="B60:E61"/>
    <mergeCell ref="F60:F61"/>
    <mergeCell ref="G60:G61"/>
    <mergeCell ref="H60:H61"/>
    <mergeCell ref="I60:L61"/>
    <mergeCell ref="B64:E64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24:E24"/>
    <mergeCell ref="B25:E25"/>
    <mergeCell ref="B33:E33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B8:E8"/>
    <mergeCell ref="B9:E9"/>
    <mergeCell ref="B10:E10"/>
    <mergeCell ref="B11:E11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54:E55"/>
    <mergeCell ref="F54:F55"/>
    <mergeCell ref="B62:E63"/>
    <mergeCell ref="F62:F63"/>
    <mergeCell ref="G62:G63"/>
    <mergeCell ref="H62:H63"/>
    <mergeCell ref="I62:L63"/>
    <mergeCell ref="B67:E68"/>
    <mergeCell ref="B58:E59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C6:BD8"/>
    <mergeCell ref="G54:G55"/>
    <mergeCell ref="H54:H55"/>
    <mergeCell ref="I54:L55"/>
    <mergeCell ref="F17:F18"/>
    <mergeCell ref="G17:G18"/>
    <mergeCell ref="I21:L21"/>
    <mergeCell ref="I88:L88"/>
    <mergeCell ref="BA6:BA8"/>
    <mergeCell ref="AJ6:AU6"/>
    <mergeCell ref="F58:F59"/>
    <mergeCell ref="G58:G59"/>
    <mergeCell ref="H58:H59"/>
    <mergeCell ref="I58:L59"/>
    <mergeCell ref="B113:E113"/>
    <mergeCell ref="B120:E121"/>
    <mergeCell ref="F120:F121"/>
    <mergeCell ref="G120:G121"/>
    <mergeCell ref="H120:H121"/>
    <mergeCell ref="I120:L121"/>
    <mergeCell ref="B114:E115"/>
    <mergeCell ref="H114:H115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I114:L115"/>
    <mergeCell ref="F114:F115"/>
    <mergeCell ref="G114:G115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topLeftCell="A334" zoomScale="70" zoomScaleNormal="70" workbookViewId="0">
      <selection activeCell="L346" sqref="L346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34"/>
      <c r="C2" s="1034"/>
      <c r="D2" s="1034"/>
      <c r="E2" s="1034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34"/>
      <c r="C3" s="1034"/>
      <c r="D3" s="1034"/>
      <c r="E3" s="1034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34"/>
      <c r="C4" s="1034"/>
      <c r="D4" s="1034"/>
      <c r="E4" s="1034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34"/>
      <c r="C5" s="1034"/>
      <c r="D5" s="1034"/>
      <c r="E5" s="1034"/>
      <c r="F5" s="98" t="s">
        <v>186</v>
      </c>
      <c r="G5" s="97"/>
      <c r="H5" s="97"/>
      <c r="I5" s="97"/>
      <c r="J5" s="97"/>
      <c r="K5" s="97"/>
      <c r="L5" s="97"/>
      <c r="Y5" s="35"/>
      <c r="AE5" s="371" t="s">
        <v>129</v>
      </c>
      <c r="AF5" s="372" t="s">
        <v>184</v>
      </c>
      <c r="AG5" s="704" t="s">
        <v>132</v>
      </c>
      <c r="AH5" s="704" t="s">
        <v>130</v>
      </c>
      <c r="AJ5" s="1023" t="s">
        <v>227</v>
      </c>
      <c r="AK5" s="1023"/>
      <c r="AL5" s="237"/>
      <c r="AM5" s="742" t="s">
        <v>414</v>
      </c>
      <c r="AN5" s="742" t="s">
        <v>421</v>
      </c>
      <c r="AO5" s="742" t="s">
        <v>422</v>
      </c>
      <c r="AP5" s="742" t="s">
        <v>479</v>
      </c>
      <c r="AQ5" s="742" t="s">
        <v>480</v>
      </c>
      <c r="AR5" s="742" t="s">
        <v>420</v>
      </c>
      <c r="AS5" s="294"/>
      <c r="AT5" s="1024" t="s">
        <v>79</v>
      </c>
      <c r="AU5" s="1024" t="s">
        <v>80</v>
      </c>
      <c r="AV5" s="85"/>
      <c r="AW5" s="742" t="s">
        <v>256</v>
      </c>
      <c r="AX5" s="742" t="s">
        <v>255</v>
      </c>
      <c r="AY5" s="263"/>
      <c r="AZ5" s="742" t="s">
        <v>466</v>
      </c>
      <c r="BA5" s="118"/>
      <c r="BB5" s="742" t="s">
        <v>260</v>
      </c>
      <c r="BC5" s="742" t="s">
        <v>261</v>
      </c>
      <c r="BD5" s="85"/>
      <c r="BE5" s="742" t="s">
        <v>259</v>
      </c>
      <c r="BF5" s="85"/>
      <c r="BG5" s="742" t="s">
        <v>257</v>
      </c>
      <c r="BH5" s="742" t="s">
        <v>258</v>
      </c>
      <c r="BI5" s="742" t="s">
        <v>266</v>
      </c>
      <c r="BJ5" s="204"/>
      <c r="BK5" s="742" t="s">
        <v>359</v>
      </c>
      <c r="BL5" s="35"/>
      <c r="BM5" s="742" t="s">
        <v>271</v>
      </c>
      <c r="BO5" s="782" t="s">
        <v>273</v>
      </c>
      <c r="BQ5" s="988" t="s">
        <v>310</v>
      </c>
      <c r="BR5" s="988" t="s">
        <v>289</v>
      </c>
      <c r="BS5" s="988" t="s">
        <v>290</v>
      </c>
      <c r="BU5" s="742" t="s">
        <v>282</v>
      </c>
      <c r="BV5" s="742" t="s">
        <v>293</v>
      </c>
      <c r="BW5" s="742" t="s">
        <v>300</v>
      </c>
      <c r="BX5" s="742" t="s">
        <v>299</v>
      </c>
      <c r="BY5" s="742" t="s">
        <v>288</v>
      </c>
      <c r="BZ5" s="742" t="s">
        <v>294</v>
      </c>
      <c r="CA5" s="742" t="s">
        <v>287</v>
      </c>
      <c r="CB5" s="742" t="s">
        <v>297</v>
      </c>
      <c r="CC5" s="173"/>
      <c r="CD5" s="144"/>
      <c r="CE5" s="742" t="s">
        <v>298</v>
      </c>
      <c r="CF5" s="742" t="s">
        <v>341</v>
      </c>
      <c r="CG5" s="742" t="s">
        <v>342</v>
      </c>
      <c r="CH5" s="742" t="s">
        <v>346</v>
      </c>
      <c r="CI5" s="742"/>
      <c r="CJ5" s="742"/>
      <c r="CK5" s="742"/>
      <c r="CL5" s="742"/>
      <c r="CM5" s="742"/>
      <c r="CN5" s="742"/>
      <c r="CO5" s="742"/>
      <c r="CP5" s="742"/>
      <c r="CQ5" s="742"/>
      <c r="CR5" s="742"/>
      <c r="CS5" s="742"/>
      <c r="CT5" s="742"/>
      <c r="CU5" s="742"/>
      <c r="CV5" s="742"/>
      <c r="CW5" s="742"/>
      <c r="CX5" s="742"/>
      <c r="CY5" s="742"/>
      <c r="CZ5" s="742"/>
      <c r="DA5" s="742"/>
      <c r="DB5" s="742"/>
      <c r="DC5" s="742"/>
      <c r="DD5" s="742"/>
      <c r="DE5" s="742"/>
      <c r="DF5" s="742"/>
      <c r="DG5" s="742"/>
      <c r="DH5" s="742"/>
      <c r="DI5" s="742"/>
      <c r="DJ5" s="742"/>
      <c r="DK5" s="742"/>
      <c r="DM5" s="225"/>
      <c r="DO5" s="742" t="s">
        <v>396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23" t="s">
        <v>197</v>
      </c>
      <c r="Z6" s="1023"/>
      <c r="AA6" s="1023"/>
      <c r="AB6" s="1023"/>
      <c r="AC6" s="1023"/>
      <c r="AE6" s="373" t="s">
        <v>135</v>
      </c>
      <c r="AF6" s="373" t="s">
        <v>134</v>
      </c>
      <c r="AG6" s="705"/>
      <c r="AH6" s="705"/>
      <c r="AJ6" s="1023"/>
      <c r="AK6" s="1023"/>
      <c r="AL6" s="237"/>
      <c r="AM6" s="742"/>
      <c r="AN6" s="742"/>
      <c r="AO6" s="742"/>
      <c r="AP6" s="742"/>
      <c r="AQ6" s="742"/>
      <c r="AR6" s="742"/>
      <c r="AS6" s="294"/>
      <c r="AT6" s="1025"/>
      <c r="AU6" s="1025"/>
      <c r="AV6" s="88"/>
      <c r="AW6" s="742"/>
      <c r="AX6" s="742"/>
      <c r="AY6" s="263"/>
      <c r="AZ6" s="742"/>
      <c r="BA6" s="118"/>
      <c r="BB6" s="742"/>
      <c r="BC6" s="742"/>
      <c r="BD6" s="85"/>
      <c r="BE6" s="742"/>
      <c r="BF6" s="85"/>
      <c r="BG6" s="742"/>
      <c r="BH6" s="742"/>
      <c r="BI6" s="742"/>
      <c r="BJ6" s="204"/>
      <c r="BK6" s="742"/>
      <c r="BL6" s="35"/>
      <c r="BM6" s="742"/>
      <c r="BO6" s="783"/>
      <c r="BQ6" s="988"/>
      <c r="BR6" s="988"/>
      <c r="BS6" s="988"/>
      <c r="BU6" s="742"/>
      <c r="BV6" s="742"/>
      <c r="BW6" s="742"/>
      <c r="BX6" s="742"/>
      <c r="BY6" s="742"/>
      <c r="BZ6" s="742"/>
      <c r="CA6" s="742"/>
      <c r="CB6" s="742"/>
      <c r="CC6" s="173"/>
      <c r="CD6" s="144"/>
      <c r="CE6" s="742"/>
      <c r="CF6" s="742"/>
      <c r="CG6" s="742"/>
      <c r="CH6" s="947" t="s">
        <v>293</v>
      </c>
      <c r="CI6" s="948"/>
      <c r="CJ6" s="948"/>
      <c r="CK6" s="948"/>
      <c r="CL6" s="948"/>
      <c r="CM6" s="948"/>
      <c r="CN6" s="948"/>
      <c r="CO6" s="948"/>
      <c r="CP6" s="948"/>
      <c r="CQ6" s="948"/>
      <c r="CR6" s="948"/>
      <c r="CS6" s="948"/>
      <c r="CT6" s="948"/>
      <c r="CU6" s="948"/>
      <c r="CV6" s="948"/>
      <c r="CW6" s="949"/>
      <c r="CX6" s="947" t="s">
        <v>345</v>
      </c>
      <c r="CY6" s="948"/>
      <c r="CZ6" s="948"/>
      <c r="DA6" s="948"/>
      <c r="DB6" s="948"/>
      <c r="DC6" s="948"/>
      <c r="DD6" s="948"/>
      <c r="DE6" s="948"/>
      <c r="DF6" s="948"/>
      <c r="DG6" s="948"/>
      <c r="DH6" s="948"/>
      <c r="DI6" s="948"/>
      <c r="DJ6" s="948"/>
      <c r="DK6" s="949"/>
      <c r="DM6" s="782" t="s">
        <v>367</v>
      </c>
      <c r="DO6" s="742"/>
    </row>
    <row r="7" spans="1:119" ht="20.100000000000001" customHeight="1">
      <c r="B7" s="23" t="s">
        <v>179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23"/>
      <c r="Z7" s="1023"/>
      <c r="AA7" s="1023"/>
      <c r="AB7" s="1023"/>
      <c r="AC7" s="1023"/>
      <c r="AD7" s="35"/>
      <c r="AE7" s="374" t="s">
        <v>131</v>
      </c>
      <c r="AF7" s="374" t="s">
        <v>136</v>
      </c>
      <c r="AG7" s="375" t="s">
        <v>133</v>
      </c>
      <c r="AH7" s="374" t="s">
        <v>137</v>
      </c>
      <c r="AI7" s="35"/>
      <c r="AJ7" s="1023"/>
      <c r="AK7" s="1023"/>
      <c r="AL7" s="237"/>
      <c r="AM7" s="742"/>
      <c r="AN7" s="742"/>
      <c r="AO7" s="742"/>
      <c r="AP7" s="742"/>
      <c r="AQ7" s="742"/>
      <c r="AR7" s="742"/>
      <c r="AS7" s="294"/>
      <c r="AT7" s="1026"/>
      <c r="AU7" s="1026"/>
      <c r="AV7" s="88"/>
      <c r="AW7" s="742"/>
      <c r="AX7" s="742"/>
      <c r="AY7" s="263"/>
      <c r="AZ7" s="742"/>
      <c r="BA7" s="118"/>
      <c r="BB7" s="742"/>
      <c r="BC7" s="742"/>
      <c r="BD7" s="85"/>
      <c r="BE7" s="742"/>
      <c r="BF7" s="85"/>
      <c r="BG7" s="742"/>
      <c r="BH7" s="742"/>
      <c r="BI7" s="742"/>
      <c r="BJ7" s="204"/>
      <c r="BK7" s="742"/>
      <c r="BL7" s="35"/>
      <c r="BM7" s="742"/>
      <c r="BO7" s="784"/>
      <c r="BQ7" s="988"/>
      <c r="BR7" s="988"/>
      <c r="BS7" s="988"/>
      <c r="BU7" s="742"/>
      <c r="BV7" s="742"/>
      <c r="BW7" s="742"/>
      <c r="BX7" s="742"/>
      <c r="BY7" s="742"/>
      <c r="BZ7" s="742"/>
      <c r="CA7" s="742"/>
      <c r="CB7" s="742"/>
      <c r="CC7" s="173"/>
      <c r="CD7" s="195">
        <v>1</v>
      </c>
      <c r="CE7" s="742"/>
      <c r="CF7" s="742"/>
      <c r="CG7" s="742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784"/>
      <c r="DO7" s="742"/>
    </row>
    <row r="8" spans="1:119" ht="20.100000000000001" customHeight="1">
      <c r="B8" s="825" t="s">
        <v>180</v>
      </c>
      <c r="C8" s="825"/>
      <c r="D8" s="825"/>
      <c r="E8" s="825"/>
      <c r="F8" s="825"/>
      <c r="G8" s="825"/>
      <c r="H8" s="108" t="s">
        <v>182</v>
      </c>
      <c r="I8" s="310">
        <v>1.3</v>
      </c>
      <c r="J8" s="268"/>
      <c r="K8" s="97"/>
      <c r="L8" s="97"/>
      <c r="Y8" s="968" t="s">
        <v>187</v>
      </c>
      <c r="Z8" s="969"/>
      <c r="AA8" s="970"/>
      <c r="AB8" s="334" t="s">
        <v>185</v>
      </c>
      <c r="AC8" s="334" t="s">
        <v>210</v>
      </c>
      <c r="AD8" s="7"/>
      <c r="AE8" s="376" t="s">
        <v>140</v>
      </c>
      <c r="AF8" s="377"/>
      <c r="AG8" s="378"/>
      <c r="AH8" s="379"/>
      <c r="AI8" s="7"/>
      <c r="AJ8" s="357" t="s">
        <v>229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65" t="str">
        <f>BQ9</f>
        <v>Acero al carbono API 5L SCH-40</v>
      </c>
      <c r="BV8" s="966"/>
      <c r="BW8" s="966"/>
      <c r="BX8" s="966"/>
      <c r="BY8" s="966"/>
      <c r="BZ8" s="966"/>
      <c r="CA8" s="966"/>
      <c r="CB8" s="967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365</v>
      </c>
      <c r="DO8" s="324">
        <v>0.1</v>
      </c>
    </row>
    <row r="9" spans="1:119" ht="20.100000000000001" customHeight="1">
      <c r="B9" s="825" t="s">
        <v>181</v>
      </c>
      <c r="C9" s="825"/>
      <c r="D9" s="825"/>
      <c r="E9" s="825"/>
      <c r="F9" s="825"/>
      <c r="G9" s="825"/>
      <c r="H9" s="108" t="s">
        <v>183</v>
      </c>
      <c r="I9" s="310">
        <v>1.6</v>
      </c>
      <c r="J9" s="268"/>
      <c r="K9" s="97"/>
      <c r="L9" s="97"/>
      <c r="Y9" s="968" t="s">
        <v>188</v>
      </c>
      <c r="Z9" s="969"/>
      <c r="AA9" s="970"/>
      <c r="AB9" s="334" t="s">
        <v>198</v>
      </c>
      <c r="AC9" s="334" t="s">
        <v>211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415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245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285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302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366</v>
      </c>
      <c r="DO9" s="324">
        <v>0.15</v>
      </c>
    </row>
    <row r="10" spans="1:119" ht="20.100000000000001" customHeight="1">
      <c r="B10" s="825" t="s">
        <v>176</v>
      </c>
      <c r="C10" s="825"/>
      <c r="D10" s="825"/>
      <c r="E10" s="825"/>
      <c r="F10" s="825"/>
      <c r="G10" s="825"/>
      <c r="H10" s="108" t="s">
        <v>177</v>
      </c>
      <c r="I10" s="310">
        <v>4.4040000000000003E-2</v>
      </c>
      <c r="J10" s="108" t="s">
        <v>164</v>
      </c>
      <c r="K10" s="97"/>
      <c r="L10" s="97"/>
      <c r="Y10" s="968" t="s">
        <v>189</v>
      </c>
      <c r="Z10" s="969"/>
      <c r="AA10" s="970"/>
      <c r="AB10" s="334" t="s">
        <v>199</v>
      </c>
      <c r="AC10" s="334" t="s">
        <v>212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228</v>
      </c>
      <c r="AK10" s="358"/>
      <c r="AL10" s="7"/>
      <c r="AM10" s="334" t="s">
        <v>416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246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286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825" t="s">
        <v>175</v>
      </c>
      <c r="C11" s="825"/>
      <c r="D11" s="825"/>
      <c r="E11" s="825"/>
      <c r="F11" s="825"/>
      <c r="G11" s="825"/>
      <c r="H11" s="108" t="s">
        <v>174</v>
      </c>
      <c r="I11" s="269">
        <f>I10*I8</f>
        <v>5.7252000000000004E-2</v>
      </c>
      <c r="J11" s="108" t="s">
        <v>164</v>
      </c>
      <c r="K11" s="94"/>
      <c r="L11" s="110"/>
      <c r="Y11" s="968" t="s">
        <v>225</v>
      </c>
      <c r="Z11" s="969"/>
      <c r="AA11" s="970"/>
      <c r="AB11" s="359">
        <v>120</v>
      </c>
      <c r="AC11" s="359" t="s">
        <v>213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417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247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291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301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825" t="s">
        <v>178</v>
      </c>
      <c r="C12" s="825"/>
      <c r="D12" s="825"/>
      <c r="E12" s="825"/>
      <c r="F12" s="825"/>
      <c r="G12" s="825"/>
      <c r="H12" s="108" t="s">
        <v>218</v>
      </c>
      <c r="I12" s="269">
        <f>I10*I9</f>
        <v>7.0464000000000013E-2</v>
      </c>
      <c r="J12" s="108" t="s">
        <v>164</v>
      </c>
      <c r="K12" s="94"/>
      <c r="L12" s="110"/>
      <c r="Y12" s="968" t="s">
        <v>226</v>
      </c>
      <c r="Z12" s="969"/>
      <c r="AA12" s="970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418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248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292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308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968" t="s">
        <v>190</v>
      </c>
      <c r="Z13" s="969"/>
      <c r="AA13" s="970"/>
      <c r="AB13" s="359" t="s">
        <v>205</v>
      </c>
      <c r="AC13" s="361" t="s">
        <v>205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419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249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296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196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968" t="s">
        <v>191</v>
      </c>
      <c r="Z14" s="969"/>
      <c r="AA14" s="970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250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295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303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711" t="s">
        <v>187</v>
      </c>
      <c r="C15" s="712"/>
      <c r="D15" s="712"/>
      <c r="E15" s="712"/>
      <c r="F15" s="713"/>
      <c r="G15" s="1003" t="s">
        <v>185</v>
      </c>
      <c r="H15" s="1004"/>
      <c r="I15" s="257"/>
      <c r="J15" s="75"/>
      <c r="K15" s="94"/>
      <c r="L15" s="110"/>
      <c r="Y15" s="968" t="s">
        <v>192</v>
      </c>
      <c r="Z15" s="969"/>
      <c r="AA15" s="970"/>
      <c r="AB15" s="359" t="s">
        <v>206</v>
      </c>
      <c r="AC15" s="359" t="s">
        <v>206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251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284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711" t="s">
        <v>188</v>
      </c>
      <c r="C16" s="712"/>
      <c r="D16" s="712"/>
      <c r="E16" s="712"/>
      <c r="F16" s="713"/>
      <c r="G16" s="999" t="str">
        <f>IF($G$15=$AB$8,$AB$9,IF($G$15=$AC$8,$AC$9,""))</f>
        <v>Arena</v>
      </c>
      <c r="H16" s="1000"/>
      <c r="I16" s="257"/>
      <c r="J16" s="75"/>
      <c r="K16" s="94"/>
      <c r="L16" s="110"/>
      <c r="Y16" s="968" t="s">
        <v>202</v>
      </c>
      <c r="Z16" s="969"/>
      <c r="AA16" s="970"/>
      <c r="AB16" s="359" t="s">
        <v>207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252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283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304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711" t="s">
        <v>189</v>
      </c>
      <c r="C17" s="712"/>
      <c r="D17" s="712"/>
      <c r="E17" s="712"/>
      <c r="F17" s="713"/>
      <c r="G17" s="999" t="str">
        <f>IF($G$15=$AB$8,AB10,IF($G$15=$AC$8,AC10,""))</f>
        <v>Estratificado fino a grueso</v>
      </c>
      <c r="H17" s="1000"/>
      <c r="I17" s="257"/>
      <c r="J17" s="75"/>
      <c r="K17" s="94"/>
      <c r="L17" s="110"/>
      <c r="Y17" s="968" t="s">
        <v>193</v>
      </c>
      <c r="Z17" s="969"/>
      <c r="AA17" s="970"/>
      <c r="AB17" s="359" t="s">
        <v>208</v>
      </c>
      <c r="AC17" s="359" t="s">
        <v>214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711" t="s">
        <v>195</v>
      </c>
      <c r="C18" s="712"/>
      <c r="D18" s="712"/>
      <c r="E18" s="712"/>
      <c r="F18" s="713"/>
      <c r="G18" s="1003" t="s">
        <v>200</v>
      </c>
      <c r="H18" s="1004"/>
      <c r="I18" s="257"/>
      <c r="J18" s="75"/>
      <c r="K18" s="94"/>
      <c r="L18" s="110"/>
      <c r="Y18" s="968"/>
      <c r="Z18" s="969"/>
      <c r="AA18" s="970"/>
      <c r="AB18" s="362"/>
      <c r="AC18" s="359" t="s">
        <v>215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307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711" t="s">
        <v>491</v>
      </c>
      <c r="C19" s="712"/>
      <c r="D19" s="712"/>
      <c r="E19" s="712"/>
      <c r="F19" s="713"/>
      <c r="G19" s="1001">
        <f t="shared" ref="G19:G25" si="12">IF($G$15=$AB$8,AB11,IF($G$15=$AC$8,AC11,""))</f>
        <v>120</v>
      </c>
      <c r="H19" s="1002"/>
      <c r="I19" s="108" t="s">
        <v>4</v>
      </c>
      <c r="J19" s="75"/>
      <c r="K19" s="94"/>
      <c r="L19" s="110"/>
      <c r="M19" s="90"/>
      <c r="N19" s="90"/>
      <c r="Y19" s="968" t="s">
        <v>194</v>
      </c>
      <c r="Z19" s="969"/>
      <c r="AA19" s="970"/>
      <c r="AB19" s="362" t="s">
        <v>209</v>
      </c>
      <c r="AC19" s="359" t="s">
        <v>209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65" t="str">
        <f>BQ10</f>
        <v>Acero al carbono API 5L SCH-80</v>
      </c>
      <c r="BV19" s="966"/>
      <c r="BW19" s="966"/>
      <c r="BX19" s="966"/>
      <c r="BY19" s="966"/>
      <c r="BZ19" s="966"/>
      <c r="CA19" s="966"/>
      <c r="CB19" s="967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711" t="s">
        <v>226</v>
      </c>
      <c r="C20" s="712"/>
      <c r="D20" s="712"/>
      <c r="E20" s="712"/>
      <c r="F20" s="713"/>
      <c r="G20" s="1001">
        <f t="shared" si="12"/>
        <v>150</v>
      </c>
      <c r="H20" s="1002"/>
      <c r="I20" s="108" t="s">
        <v>4</v>
      </c>
      <c r="J20" s="75"/>
      <c r="K20" s="94"/>
      <c r="L20" s="110"/>
      <c r="M20" s="90"/>
      <c r="N20" s="90"/>
      <c r="Y20" s="976" t="s">
        <v>195</v>
      </c>
      <c r="Z20" s="977"/>
      <c r="AA20" s="978"/>
      <c r="AB20" s="363"/>
      <c r="AC20" s="364" t="s">
        <v>201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305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711" t="s">
        <v>190</v>
      </c>
      <c r="C21" s="712"/>
      <c r="D21" s="712"/>
      <c r="E21" s="712"/>
      <c r="F21" s="713"/>
      <c r="G21" s="1001" t="str">
        <f t="shared" si="12"/>
        <v>12 - 36</v>
      </c>
      <c r="H21" s="1002"/>
      <c r="I21" s="257" t="s">
        <v>203</v>
      </c>
      <c r="J21" s="75"/>
      <c r="K21" s="94"/>
      <c r="L21" s="110"/>
      <c r="M21" s="90"/>
      <c r="N21" s="90"/>
      <c r="Y21" s="979"/>
      <c r="Z21" s="980"/>
      <c r="AA21" s="981"/>
      <c r="AB21" s="365" t="s">
        <v>200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306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711" t="s">
        <v>191</v>
      </c>
      <c r="C22" s="712"/>
      <c r="D22" s="712"/>
      <c r="E22" s="712"/>
      <c r="F22" s="713"/>
      <c r="G22" s="1001">
        <f t="shared" si="12"/>
        <v>0.3</v>
      </c>
      <c r="H22" s="1002"/>
      <c r="I22" s="257" t="s">
        <v>3</v>
      </c>
      <c r="J22" s="75"/>
      <c r="K22" s="94"/>
      <c r="L22" s="110"/>
      <c r="M22" s="90"/>
      <c r="N22" s="90"/>
      <c r="Y22" s="982"/>
      <c r="Z22" s="983"/>
      <c r="AA22" s="984"/>
      <c r="AB22" s="367" t="s">
        <v>201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711" t="s">
        <v>192</v>
      </c>
      <c r="C23" s="712"/>
      <c r="D23" s="712"/>
      <c r="E23" s="712"/>
      <c r="F23" s="713"/>
      <c r="G23" s="1001" t="str">
        <f t="shared" si="12"/>
        <v>2,4 - 3,0</v>
      </c>
      <c r="H23" s="1002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343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711" t="s">
        <v>202</v>
      </c>
      <c r="C24" s="712"/>
      <c r="D24" s="712"/>
      <c r="E24" s="712"/>
      <c r="F24" s="713"/>
      <c r="G24" s="1001" t="str">
        <f t="shared" si="12"/>
        <v>2 - 4</v>
      </c>
      <c r="H24" s="1002"/>
      <c r="I24" s="257" t="s">
        <v>204</v>
      </c>
      <c r="J24" s="75"/>
      <c r="K24" s="94"/>
      <c r="L24" s="110"/>
      <c r="M24" s="90"/>
      <c r="N24" s="90"/>
      <c r="Y24" s="761"/>
      <c r="Z24" s="761"/>
      <c r="AA24" s="81"/>
      <c r="AB24" s="964"/>
      <c r="AC24" s="964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711" t="str">
        <f>IF($G$15=$AB$8,$Y$17,IF($G$15=$AC$8,Y17&amp;" (antracita)",IF($G$15="",Y17&amp;" (antracita)")))</f>
        <v>Profundidad del medio</v>
      </c>
      <c r="C25" s="712"/>
      <c r="D25" s="712"/>
      <c r="E25" s="712"/>
      <c r="F25" s="713"/>
      <c r="G25" s="1001" t="str">
        <f t="shared" si="12"/>
        <v>0,60 - 0,75</v>
      </c>
      <c r="H25" s="1002"/>
      <c r="I25" s="257" t="s">
        <v>3</v>
      </c>
      <c r="J25" s="75"/>
      <c r="K25" s="94"/>
      <c r="L25" s="110"/>
      <c r="M25" s="90"/>
      <c r="N25" s="90"/>
      <c r="Y25" s="761"/>
      <c r="Z25" s="761"/>
      <c r="AA25" s="81"/>
      <c r="AB25" s="964"/>
      <c r="AC25" s="964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711" t="str">
        <f>IF($G$15=$AB$8,$Y$19,IF($G$15=$AC$8,Y17&amp;" (arena)",IF($G$15="",Y17&amp;" (arena)")))</f>
        <v>Profundidad de grava</v>
      </c>
      <c r="C26" s="712"/>
      <c r="D26" s="712"/>
      <c r="E26" s="712"/>
      <c r="F26" s="713"/>
      <c r="G26" s="1001" t="str">
        <f>IF($G$15=$AB$8,AB19,IF($G$15=$AC$8,AC18,""))</f>
        <v>0,30 - 0,45</v>
      </c>
      <c r="H26" s="1002"/>
      <c r="I26" s="257" t="s">
        <v>3</v>
      </c>
      <c r="J26" s="75"/>
      <c r="K26" s="94"/>
      <c r="L26" s="110"/>
      <c r="M26" s="90"/>
      <c r="N26" s="90"/>
      <c r="Y26" s="761"/>
      <c r="Z26" s="761"/>
      <c r="AA26" s="81"/>
      <c r="AB26" s="964"/>
      <c r="AC26" s="964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711" t="str">
        <f>IF($G$15=$AB$8,"",IF($G$15=$AC$8,$Y$19,IF($G$15="",$Y$19)))</f>
        <v/>
      </c>
      <c r="C27" s="712"/>
      <c r="D27" s="712"/>
      <c r="E27" s="712"/>
      <c r="F27" s="712"/>
      <c r="G27" s="1029" t="str">
        <f>IF($G$15=$AB$8,"",IF($G$15=$AC$8,$AC$19,IF($G$15="","")))</f>
        <v/>
      </c>
      <c r="H27" s="1030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157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825" t="s">
        <v>138</v>
      </c>
      <c r="C30" s="825"/>
      <c r="D30" s="825"/>
      <c r="E30" s="825"/>
      <c r="F30" s="825"/>
      <c r="G30" s="825"/>
      <c r="H30" s="108" t="s">
        <v>135</v>
      </c>
      <c r="I30" s="304">
        <v>20</v>
      </c>
      <c r="J30" s="108" t="s">
        <v>139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825" t="str">
        <f>"Densidad del agua a "&amp;I30&amp;" °C"</f>
        <v>Densidad del agua a 20 °C</v>
      </c>
      <c r="C31" s="825"/>
      <c r="D31" s="825"/>
      <c r="E31" s="825"/>
      <c r="F31" s="825"/>
      <c r="G31" s="825"/>
      <c r="H31" s="108" t="s">
        <v>134</v>
      </c>
      <c r="I31" s="270">
        <f>IF(I30="…","",ROUND(VLOOKUP(I30,AE$9:AH$44,2,FALSE),9))</f>
        <v>998.29</v>
      </c>
      <c r="J31" s="108" t="s">
        <v>165</v>
      </c>
      <c r="K31" s="94"/>
      <c r="L31" s="110"/>
      <c r="Y31" s="81"/>
      <c r="Z31" s="71"/>
      <c r="AA31" s="986"/>
      <c r="AB31" s="986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73" t="str">
        <f>BQ11</f>
        <v>Hierro dúctil C30</v>
      </c>
      <c r="BV31" s="974"/>
      <c r="BW31" s="974"/>
      <c r="BX31" s="974"/>
      <c r="BY31" s="974"/>
      <c r="BZ31" s="974"/>
      <c r="CA31" s="974"/>
      <c r="CB31" s="975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825" t="str">
        <f>"Viscocidad dinámica del agua a "&amp;I30&amp;" °C"</f>
        <v>Viscocidad dinámica del agua a 20 °C</v>
      </c>
      <c r="C32" s="825"/>
      <c r="D32" s="825"/>
      <c r="E32" s="825"/>
      <c r="F32" s="825"/>
      <c r="G32" s="825"/>
      <c r="H32" s="108" t="s">
        <v>104</v>
      </c>
      <c r="I32" s="271">
        <f>IF(I30="…","",ROUND(VLOOKUP(I30,AE$9:AH$44,3,FALSE),9))</f>
        <v>1.005E-3</v>
      </c>
      <c r="J32" s="79" t="s">
        <v>166</v>
      </c>
      <c r="K32" s="94"/>
      <c r="L32" s="110"/>
      <c r="Y32" s="71"/>
      <c r="Z32" s="71"/>
      <c r="AA32" s="986"/>
      <c r="AB32" s="986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33" t="str">
        <f>"Viscocidad cinemática del agua a "&amp;I30&amp;" °C"</f>
        <v>Viscocidad cinemática del agua a 20 °C</v>
      </c>
      <c r="C33" s="1033"/>
      <c r="D33" s="1033"/>
      <c r="E33" s="1033"/>
      <c r="F33" s="1033"/>
      <c r="G33" s="1033"/>
      <c r="H33" s="18" t="s">
        <v>2</v>
      </c>
      <c r="I33" s="271">
        <f>IF(I30="…","",ROUND(VLOOKUP(I30,AE$9:AH$44,4,FALSE),9))</f>
        <v>1.0070000000000001E-6</v>
      </c>
      <c r="J33" s="79" t="s">
        <v>167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105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161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992" t="s">
        <v>84</v>
      </c>
      <c r="C38" s="19"/>
      <c r="D38" s="93"/>
      <c r="E38" s="989" t="s">
        <v>95</v>
      </c>
      <c r="F38" s="989" t="s">
        <v>94</v>
      </c>
      <c r="G38" s="1027" t="s">
        <v>101</v>
      </c>
      <c r="H38" s="1028"/>
      <c r="I38" s="1027" t="s">
        <v>100</v>
      </c>
      <c r="J38" s="1028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993"/>
      <c r="C39" s="19"/>
      <c r="D39" s="93"/>
      <c r="E39" s="991"/>
      <c r="F39" s="991"/>
      <c r="G39" s="989" t="s">
        <v>80</v>
      </c>
      <c r="H39" s="989" t="s">
        <v>98</v>
      </c>
      <c r="I39" s="989" t="s">
        <v>80</v>
      </c>
      <c r="J39" s="989" t="s">
        <v>98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73" t="str">
        <f>BQ12</f>
        <v>Hierro dúctil C40</v>
      </c>
      <c r="BV39" s="974"/>
      <c r="BW39" s="974"/>
      <c r="BX39" s="974"/>
      <c r="BY39" s="974"/>
      <c r="BZ39" s="974"/>
      <c r="CA39" s="974"/>
      <c r="CB39" s="975"/>
      <c r="CC39" s="150"/>
      <c r="CD39" s="172"/>
    </row>
    <row r="40" spans="2:100" ht="20.100000000000001" customHeight="1">
      <c r="B40" s="993"/>
      <c r="C40" s="19"/>
      <c r="D40" s="93"/>
      <c r="E40" s="991"/>
      <c r="F40" s="991"/>
      <c r="G40" s="991"/>
      <c r="H40" s="991"/>
      <c r="I40" s="991"/>
      <c r="J40" s="991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994"/>
      <c r="C41" s="19"/>
      <c r="D41" s="93"/>
      <c r="E41" s="990"/>
      <c r="F41" s="990"/>
      <c r="G41" s="990"/>
      <c r="H41" s="990"/>
      <c r="I41" s="990"/>
      <c r="J41" s="990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85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86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87</v>
      </c>
      <c r="C44" s="312"/>
      <c r="D44" s="313"/>
      <c r="E44" s="313">
        <v>33.9</v>
      </c>
      <c r="F44" s="257">
        <f t="shared" si="22"/>
        <v>30</v>
      </c>
      <c r="G44" s="646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93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88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89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46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90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91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92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73" t="str">
        <f>BQ13</f>
        <v>Polietileno de alta densidad (PEAD) PE 100 RDE 21</v>
      </c>
      <c r="BV50" s="974"/>
      <c r="BW50" s="974"/>
      <c r="BX50" s="974"/>
      <c r="BY50" s="974"/>
      <c r="BZ50" s="974"/>
      <c r="CA50" s="974"/>
      <c r="CB50" s="975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220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1008"/>
      <c r="C53" s="19"/>
      <c r="D53" s="93"/>
      <c r="E53" s="995" t="s">
        <v>80</v>
      </c>
      <c r="F53" s="995" t="s">
        <v>98</v>
      </c>
      <c r="G53" s="1032"/>
      <c r="H53" s="1032"/>
      <c r="I53" s="1032"/>
      <c r="J53" s="1031" t="s">
        <v>221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1008"/>
      <c r="C54" s="19"/>
      <c r="D54" s="93"/>
      <c r="E54" s="995"/>
      <c r="F54" s="995"/>
      <c r="G54" s="1032"/>
      <c r="H54" s="1032"/>
      <c r="I54" s="1032"/>
      <c r="J54" s="1031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1008"/>
      <c r="C55" s="19"/>
      <c r="D55" s="93"/>
      <c r="E55" s="995"/>
      <c r="F55" s="995"/>
      <c r="G55" s="1032"/>
      <c r="H55" s="1032"/>
      <c r="I55" s="1032"/>
      <c r="J55" s="1031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461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1007">
        <f>(LOG(E56)+((10-F56)/(F57-F56))*LOG(E57/E56))</f>
        <v>-0.30102999566398103</v>
      </c>
      <c r="H56" s="1007"/>
      <c r="I56" s="1007"/>
      <c r="J56" s="939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462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1007"/>
      <c r="H57" s="1007"/>
      <c r="I57" s="1007"/>
      <c r="J57" s="939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73" t="str">
        <f>BQ14</f>
        <v>Polietileno de alta densidad (PEAD) PE 100 RDE 17</v>
      </c>
      <c r="BV58" s="974"/>
      <c r="BW58" s="974"/>
      <c r="BX58" s="974"/>
      <c r="BY58" s="974"/>
      <c r="BZ58" s="974"/>
      <c r="CA58" s="974"/>
      <c r="CB58" s="975"/>
      <c r="CC58" s="150"/>
      <c r="CD58" s="172"/>
      <c r="CE58" s="837"/>
      <c r="CF58" s="837"/>
      <c r="CG58" s="837"/>
      <c r="CH58" s="837"/>
      <c r="CI58" s="837"/>
      <c r="CJ58" s="837"/>
      <c r="CK58" s="837"/>
      <c r="CL58" s="837"/>
      <c r="CM58" s="837"/>
      <c r="CN58" s="837"/>
      <c r="CO58" s="837"/>
      <c r="CP58" s="837"/>
    </row>
    <row r="59" spans="2:94" ht="20.100000000000001" customHeight="1">
      <c r="B59" s="23" t="s">
        <v>222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1008"/>
      <c r="C60" s="19"/>
      <c r="D60" s="93"/>
      <c r="E60" s="995" t="s">
        <v>80</v>
      </c>
      <c r="F60" s="995" t="s">
        <v>98</v>
      </c>
      <c r="G60" s="1032"/>
      <c r="H60" s="1032"/>
      <c r="I60" s="1032"/>
      <c r="J60" s="1031" t="s">
        <v>223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1008"/>
      <c r="C61" s="19"/>
      <c r="D61" s="93"/>
      <c r="E61" s="995"/>
      <c r="F61" s="995"/>
      <c r="G61" s="1032"/>
      <c r="H61" s="1032"/>
      <c r="I61" s="1032"/>
      <c r="J61" s="1031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1008"/>
      <c r="C62" s="19"/>
      <c r="D62" s="93"/>
      <c r="E62" s="995"/>
      <c r="F62" s="995"/>
      <c r="G62" s="1032"/>
      <c r="H62" s="1032"/>
      <c r="I62" s="1032"/>
      <c r="J62" s="1031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461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1007">
        <f>(LOG(E63)+((60-F63)/(F64-F63))*LOG(E64/E63))</f>
        <v>-0.12843731730666064</v>
      </c>
      <c r="H63" s="1007"/>
      <c r="I63" s="1007"/>
      <c r="J63" s="939">
        <f>10^(G63)</f>
        <v>0.74398243580665824</v>
      </c>
      <c r="K63" s="963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462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1007"/>
      <c r="H64" s="1007"/>
      <c r="I64" s="1007"/>
      <c r="J64" s="939"/>
      <c r="K64" s="963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837"/>
      <c r="CF65" s="837"/>
      <c r="CG65" s="837"/>
      <c r="CH65" s="837"/>
      <c r="CI65" s="837"/>
      <c r="CJ65" s="837"/>
      <c r="CK65" s="837"/>
      <c r="CL65" s="837"/>
      <c r="CM65" s="837"/>
      <c r="CN65" s="837"/>
      <c r="CO65" s="837"/>
      <c r="CP65" s="837"/>
    </row>
    <row r="66" spans="2:94" ht="20.100000000000001" customHeight="1">
      <c r="B66" s="105" t="s">
        <v>116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65" t="str">
        <f>BQ15</f>
        <v>Policluro de vinilo (PVC) RDE 26</v>
      </c>
      <c r="BV66" s="966"/>
      <c r="BW66" s="966"/>
      <c r="BX66" s="966"/>
      <c r="BY66" s="966"/>
      <c r="BZ66" s="966"/>
      <c r="CA66" s="966"/>
      <c r="CB66" s="967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992" t="s">
        <v>224</v>
      </c>
      <c r="C67" s="19"/>
      <c r="D67" s="93"/>
      <c r="E67" s="992" t="s">
        <v>223</v>
      </c>
      <c r="F67" s="1006" t="s">
        <v>102</v>
      </c>
      <c r="G67" s="1006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993"/>
      <c r="C68" s="19"/>
      <c r="D68" s="93"/>
      <c r="E68" s="993"/>
      <c r="F68" s="1006"/>
      <c r="G68" s="1006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994"/>
      <c r="C69" s="19"/>
      <c r="D69" s="93"/>
      <c r="E69" s="994"/>
      <c r="F69" s="1006"/>
      <c r="G69" s="1006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12">
        <f>E70/B70</f>
        <v>1.4879648716133158</v>
      </c>
      <c r="G70" s="1012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160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837"/>
      <c r="CF72" s="837"/>
      <c r="CG72" s="837"/>
      <c r="CH72" s="837"/>
      <c r="CI72" s="837"/>
      <c r="CJ72" s="837"/>
      <c r="CK72" s="837"/>
      <c r="CL72" s="837"/>
      <c r="CM72" s="837"/>
      <c r="CN72" s="837"/>
      <c r="CO72" s="837"/>
      <c r="CP72" s="837"/>
    </row>
    <row r="73" spans="2:94" ht="20.100000000000001" customHeight="1">
      <c r="B73" s="711" t="s">
        <v>414</v>
      </c>
      <c r="C73" s="712"/>
      <c r="D73" s="712"/>
      <c r="E73" s="712"/>
      <c r="F73" s="712"/>
      <c r="G73" s="713"/>
      <c r="H73" s="830" t="s">
        <v>417</v>
      </c>
      <c r="I73" s="831"/>
      <c r="J73" s="832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711" t="s">
        <v>162</v>
      </c>
      <c r="C74" s="712"/>
      <c r="D74" s="712"/>
      <c r="E74" s="712"/>
      <c r="F74" s="712"/>
      <c r="G74" s="713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711" t="s">
        <v>158</v>
      </c>
      <c r="C75" s="712"/>
      <c r="D75" s="712"/>
      <c r="E75" s="712"/>
      <c r="F75" s="712"/>
      <c r="G75" s="713"/>
      <c r="H75" s="96" t="s">
        <v>159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711" t="s">
        <v>118</v>
      </c>
      <c r="C76" s="712"/>
      <c r="D76" s="712"/>
      <c r="E76" s="712"/>
      <c r="F76" s="712"/>
      <c r="G76" s="713"/>
      <c r="H76" s="96" t="s">
        <v>125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711" t="s">
        <v>485</v>
      </c>
      <c r="C77" s="712"/>
      <c r="D77" s="712"/>
      <c r="E77" s="712"/>
      <c r="F77" s="712"/>
      <c r="G77" s="713"/>
      <c r="H77" s="96" t="s">
        <v>486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65" t="str">
        <f>BQ16</f>
        <v>Policluro de vinilo (PVC) RDE 21</v>
      </c>
      <c r="BV77" s="966"/>
      <c r="BW77" s="966"/>
      <c r="BX77" s="966"/>
      <c r="BY77" s="966"/>
      <c r="BZ77" s="966"/>
      <c r="CA77" s="966"/>
      <c r="CB77" s="967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711" t="s">
        <v>503</v>
      </c>
      <c r="C78" s="712"/>
      <c r="D78" s="712"/>
      <c r="E78" s="712"/>
      <c r="F78" s="712"/>
      <c r="G78" s="713"/>
      <c r="H78" s="402" t="s">
        <v>83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711" t="s">
        <v>500</v>
      </c>
      <c r="C79" s="712"/>
      <c r="D79" s="712"/>
      <c r="E79" s="712"/>
      <c r="F79" s="712"/>
      <c r="G79" s="713"/>
      <c r="H79" s="402" t="s">
        <v>83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711" t="s">
        <v>501</v>
      </c>
      <c r="C80" s="712"/>
      <c r="D80" s="712"/>
      <c r="E80" s="712"/>
      <c r="F80" s="712"/>
      <c r="G80" s="713"/>
      <c r="H80" s="288" t="s">
        <v>124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711" t="s">
        <v>502</v>
      </c>
      <c r="C81" s="712"/>
      <c r="D81" s="712"/>
      <c r="E81" s="712"/>
      <c r="F81" s="712"/>
      <c r="G81" s="713"/>
      <c r="H81" s="108" t="s">
        <v>124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173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1075" t="s">
        <v>114</v>
      </c>
      <c r="C84" s="54"/>
      <c r="D84" s="436"/>
      <c r="E84" s="996" t="s">
        <v>112</v>
      </c>
      <c r="F84" s="996" t="s">
        <v>113</v>
      </c>
      <c r="G84" s="996" t="s">
        <v>106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1076"/>
      <c r="C85" s="54"/>
      <c r="D85" s="436"/>
      <c r="E85" s="997"/>
      <c r="F85" s="997"/>
      <c r="G85" s="997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1076"/>
      <c r="C86" s="54"/>
      <c r="D86" s="436"/>
      <c r="E86" s="997"/>
      <c r="F86" s="997"/>
      <c r="G86" s="997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1077"/>
      <c r="C87" s="54"/>
      <c r="D87" s="436"/>
      <c r="E87" s="998"/>
      <c r="F87" s="998"/>
      <c r="G87" s="998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107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107</v>
      </c>
      <c r="F89" s="283" t="s">
        <v>108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108</v>
      </c>
      <c r="F90" s="283" t="s">
        <v>109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109</v>
      </c>
      <c r="F91" s="285" t="s">
        <v>110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110</v>
      </c>
      <c r="F92" s="285" t="s">
        <v>111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487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992" t="s">
        <v>84</v>
      </c>
      <c r="C95" s="989"/>
      <c r="D95" s="989"/>
      <c r="E95" s="989" t="s">
        <v>95</v>
      </c>
      <c r="F95" s="989" t="s">
        <v>96</v>
      </c>
      <c r="G95" s="989" t="s">
        <v>97</v>
      </c>
      <c r="H95" s="1009" t="s">
        <v>99</v>
      </c>
      <c r="I95" s="1035" t="s">
        <v>53</v>
      </c>
      <c r="J95" s="888" t="s">
        <v>482</v>
      </c>
      <c r="K95" s="889"/>
      <c r="L95" s="418"/>
      <c r="M95" s="1075" t="s">
        <v>483</v>
      </c>
      <c r="N95" s="1100"/>
      <c r="O95" s="416"/>
      <c r="P95" s="888" t="s">
        <v>484</v>
      </c>
      <c r="Q95" s="985"/>
      <c r="R95" s="889"/>
      <c r="S95" s="411"/>
      <c r="T95" s="411"/>
      <c r="U95" s="411"/>
      <c r="V95" s="411"/>
      <c r="W95" s="411"/>
      <c r="X95" s="34"/>
      <c r="Y95" s="987"/>
      <c r="Z95" s="987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993"/>
      <c r="C96" s="990"/>
      <c r="D96" s="990"/>
      <c r="E96" s="991"/>
      <c r="F96" s="991"/>
      <c r="G96" s="991"/>
      <c r="H96" s="1010"/>
      <c r="I96" s="1036"/>
      <c r="J96" s="890"/>
      <c r="K96" s="891"/>
      <c r="L96" s="419"/>
      <c r="M96" s="1076"/>
      <c r="N96" s="1101"/>
      <c r="O96" s="417"/>
      <c r="P96" s="890"/>
      <c r="Q96" s="857"/>
      <c r="R96" s="891"/>
      <c r="S96" s="88"/>
      <c r="T96" s="88"/>
      <c r="U96" s="88"/>
      <c r="V96" s="411"/>
      <c r="W96" s="88"/>
      <c r="Y96" s="987"/>
      <c r="Z96" s="987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993"/>
      <c r="C97" s="40"/>
      <c r="D97" s="41"/>
      <c r="E97" s="991"/>
      <c r="F97" s="991"/>
      <c r="G97" s="991"/>
      <c r="H97" s="1010"/>
      <c r="I97" s="1036"/>
      <c r="J97" s="421"/>
      <c r="K97" s="422"/>
      <c r="L97" s="1102" t="s">
        <v>481</v>
      </c>
      <c r="M97" s="421"/>
      <c r="N97" s="422"/>
      <c r="O97" s="1102" t="s">
        <v>82</v>
      </c>
      <c r="P97" s="425"/>
      <c r="Q97" s="426"/>
      <c r="R97" s="427"/>
      <c r="S97" s="88"/>
      <c r="T97" s="88"/>
      <c r="U97" s="88"/>
      <c r="V97" s="411"/>
      <c r="W97" s="88"/>
      <c r="Y97" s="987"/>
      <c r="Z97" s="987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994"/>
      <c r="C98" s="40"/>
      <c r="D98" s="41"/>
      <c r="E98" s="990"/>
      <c r="F98" s="990"/>
      <c r="G98" s="990"/>
      <c r="H98" s="1011"/>
      <c r="I98" s="1037"/>
      <c r="J98" s="423"/>
      <c r="K98" s="424"/>
      <c r="L98" s="1103"/>
      <c r="M98" s="423"/>
      <c r="N98" s="424"/>
      <c r="O98" s="1103"/>
      <c r="P98" s="428"/>
      <c r="Q98" s="10"/>
      <c r="R98" s="429"/>
      <c r="S98" s="88"/>
      <c r="T98" s="88"/>
      <c r="U98" s="88"/>
      <c r="V98" s="411"/>
      <c r="W98" s="88"/>
      <c r="Y98" s="987"/>
      <c r="Z98" s="987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867">
        <f>150*(1-$I$76)/I99+1.75</f>
        <v>74.989791270695605</v>
      </c>
      <c r="K99" s="868"/>
      <c r="L99" s="410">
        <f>J99*(E99/100)/(H99/1000)</f>
        <v>11156.028243407283</v>
      </c>
      <c r="M99" s="861" t="str">
        <f>ROUND((1/I78*(1-I76)/(I76^3)*I74*(($G$19/86400)^2)/9.806*L108),3)&amp; " m"</f>
        <v>0,226 m</v>
      </c>
      <c r="N99" s="861"/>
      <c r="O99" s="415">
        <f>(E99/100)/(H99/1000)</f>
        <v>148.76729291239965</v>
      </c>
      <c r="P99" s="899" t="str">
        <f>ROUND((I31*9.806)/I32*(1/I77)*(1/I80^2)*((I76^3)/(1-I76))*(O108^-2),5)&amp; " m/s"</f>
        <v>0,00335 m/s</v>
      </c>
      <c r="Q99" s="899"/>
      <c r="R99" s="899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867">
        <f t="shared" ref="J100:J107" si="43">150*(1-$I$76)/I100+1.75</f>
        <v>105.18010065962159</v>
      </c>
      <c r="K100" s="868"/>
      <c r="L100" s="410">
        <f t="shared" ref="L100:L107" si="44">J100*(E100/100)/(H100/1000)</f>
        <v>45968.017944249448</v>
      </c>
      <c r="M100" s="861"/>
      <c r="N100" s="861"/>
      <c r="O100" s="415">
        <f t="shared" ref="O100:O107" si="45">(E100/100)/(H100/1000)</f>
        <v>437.04101494453568</v>
      </c>
      <c r="P100" s="899"/>
      <c r="Q100" s="899"/>
      <c r="R100" s="899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867">
        <f t="shared" si="43"/>
        <v>124.71640104460593</v>
      </c>
      <c r="K101" s="868"/>
      <c r="L101" s="410">
        <f t="shared" si="44"/>
        <v>65186.111974100771</v>
      </c>
      <c r="M101" s="861"/>
      <c r="N101" s="861"/>
      <c r="O101" s="415">
        <f t="shared" si="45"/>
        <v>522.67473586562505</v>
      </c>
      <c r="P101" s="899"/>
      <c r="Q101" s="899"/>
      <c r="R101" s="899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867">
        <f t="shared" si="43"/>
        <v>147.97147722277359</v>
      </c>
      <c r="K102" s="868"/>
      <c r="L102" s="410">
        <f t="shared" si="44"/>
        <v>16820.008615871931</v>
      </c>
      <c r="M102" s="861"/>
      <c r="N102" s="861"/>
      <c r="O102" s="415">
        <f t="shared" si="45"/>
        <v>113.6706136314982</v>
      </c>
      <c r="P102" s="899"/>
      <c r="Q102" s="899"/>
      <c r="R102" s="899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867">
        <f t="shared" si="43"/>
        <v>180.08625990470924</v>
      </c>
      <c r="K103" s="868"/>
      <c r="L103" s="410">
        <f t="shared" si="44"/>
        <v>14093.979163621863</v>
      </c>
      <c r="M103" s="861"/>
      <c r="N103" s="861"/>
      <c r="O103" s="415">
        <f t="shared" si="45"/>
        <v>78.262379212492647</v>
      </c>
      <c r="P103" s="899"/>
      <c r="Q103" s="899"/>
      <c r="R103" s="899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867">
        <f t="shared" si="43"/>
        <v>233.14098340255177</v>
      </c>
      <c r="K104" s="868"/>
      <c r="L104" s="410">
        <f t="shared" si="44"/>
        <v>20292.31794896123</v>
      </c>
      <c r="M104" s="861"/>
      <c r="N104" s="861"/>
      <c r="O104" s="415">
        <f t="shared" si="45"/>
        <v>87.038827977848911</v>
      </c>
      <c r="P104" s="899"/>
      <c r="Q104" s="899"/>
      <c r="R104" s="899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867">
        <f t="shared" si="43"/>
        <v>294.43901503131275</v>
      </c>
      <c r="K105" s="868"/>
      <c r="L105" s="410">
        <f t="shared" si="44"/>
        <v>21611.112439264743</v>
      </c>
      <c r="M105" s="861"/>
      <c r="N105" s="861"/>
      <c r="O105" s="415">
        <f t="shared" si="45"/>
        <v>73.397584341757366</v>
      </c>
      <c r="P105" s="899"/>
      <c r="Q105" s="899"/>
      <c r="R105" s="899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867">
        <f t="shared" si="43"/>
        <v>349.82673810074863</v>
      </c>
      <c r="K106" s="868"/>
      <c r="L106" s="410">
        <f t="shared" si="44"/>
        <v>15267.690547296883</v>
      </c>
      <c r="M106" s="861"/>
      <c r="N106" s="861"/>
      <c r="O106" s="415">
        <f t="shared" si="45"/>
        <v>43.643578047198481</v>
      </c>
      <c r="P106" s="899"/>
      <c r="Q106" s="899"/>
      <c r="R106" s="899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867">
        <f t="shared" si="43"/>
        <v>452.62055168187845</v>
      </c>
      <c r="K107" s="868"/>
      <c r="L107" s="410">
        <f t="shared" si="44"/>
        <v>12793.857005968253</v>
      </c>
      <c r="M107" s="861"/>
      <c r="N107" s="861"/>
      <c r="O107" s="415">
        <f t="shared" si="45"/>
        <v>28.266186673203336</v>
      </c>
      <c r="P107" s="899"/>
      <c r="Q107" s="899"/>
      <c r="R107" s="899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863">
        <f>SUM(L99:L107)</f>
        <v>223189.12388274242</v>
      </c>
      <c r="M108" s="38"/>
      <c r="N108" s="38"/>
      <c r="O108" s="1104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863"/>
      <c r="M109" s="38"/>
      <c r="N109" s="38"/>
      <c r="O109" s="863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863"/>
      <c r="M110" s="38"/>
      <c r="N110" s="38"/>
      <c r="O110" s="863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494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992" t="s">
        <v>84</v>
      </c>
      <c r="C113" s="995"/>
      <c r="D113" s="989"/>
      <c r="E113" s="989" t="s">
        <v>95</v>
      </c>
      <c r="F113" s="989" t="s">
        <v>96</v>
      </c>
      <c r="G113" s="989" t="s">
        <v>97</v>
      </c>
      <c r="H113" s="1009" t="s">
        <v>99</v>
      </c>
      <c r="I113" s="903" t="s">
        <v>77</v>
      </c>
      <c r="J113" s="904"/>
      <c r="K113" s="904"/>
      <c r="L113" s="905"/>
      <c r="M113" s="903" t="s">
        <v>488</v>
      </c>
      <c r="N113" s="904"/>
      <c r="O113" s="904"/>
      <c r="P113" s="904"/>
      <c r="Q113" s="904"/>
      <c r="R113" s="905"/>
      <c r="S113" s="900" t="s">
        <v>78</v>
      </c>
      <c r="T113" s="900"/>
      <c r="U113" s="900"/>
      <c r="V113" s="900"/>
      <c r="W113" s="900"/>
      <c r="X113" s="900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993"/>
      <c r="C114" s="995"/>
      <c r="D114" s="990"/>
      <c r="E114" s="991"/>
      <c r="F114" s="991"/>
      <c r="G114" s="991"/>
      <c r="H114" s="1010"/>
      <c r="I114" s="875" t="s">
        <v>81</v>
      </c>
      <c r="J114" s="878"/>
      <c r="K114" s="879"/>
      <c r="L114" s="298"/>
      <c r="M114" s="884"/>
      <c r="N114" s="878"/>
      <c r="O114" s="885"/>
      <c r="P114" s="875" t="s">
        <v>82</v>
      </c>
      <c r="Q114" s="888"/>
      <c r="R114" s="889"/>
      <c r="S114" s="894"/>
      <c r="T114" s="880"/>
      <c r="U114" s="886"/>
      <c r="V114" s="876" t="s">
        <v>82</v>
      </c>
      <c r="W114" s="884"/>
      <c r="X114" s="884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993"/>
      <c r="C115" s="290"/>
      <c r="D115" s="291"/>
      <c r="E115" s="991"/>
      <c r="F115" s="991"/>
      <c r="G115" s="991"/>
      <c r="H115" s="1010"/>
      <c r="I115" s="876"/>
      <c r="J115" s="880"/>
      <c r="K115" s="881"/>
      <c r="L115" s="299"/>
      <c r="M115" s="884"/>
      <c r="N115" s="880"/>
      <c r="O115" s="886"/>
      <c r="P115" s="876"/>
      <c r="Q115" s="890"/>
      <c r="R115" s="891"/>
      <c r="S115" s="894"/>
      <c r="T115" s="880"/>
      <c r="U115" s="886"/>
      <c r="V115" s="876"/>
      <c r="W115" s="884"/>
      <c r="X115" s="884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994"/>
      <c r="C116" s="290"/>
      <c r="D116" s="291"/>
      <c r="E116" s="990"/>
      <c r="F116" s="990"/>
      <c r="G116" s="990"/>
      <c r="H116" s="1011"/>
      <c r="I116" s="877"/>
      <c r="J116" s="882"/>
      <c r="K116" s="883"/>
      <c r="L116" s="300"/>
      <c r="M116" s="884"/>
      <c r="N116" s="882"/>
      <c r="O116" s="887"/>
      <c r="P116" s="877"/>
      <c r="Q116" s="892"/>
      <c r="R116" s="893"/>
      <c r="S116" s="895"/>
      <c r="T116" s="882"/>
      <c r="U116" s="887"/>
      <c r="V116" s="877"/>
      <c r="W116" s="884"/>
      <c r="X116" s="884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1014" t="str">
        <f>ROUND((I77*I33*((1-I76)^2)/(I76^3)*((I74*($G$19/86400))/9.806)*((6/$I$78)^2)*I126),3)&amp;" m"</f>
        <v>0,268 m</v>
      </c>
      <c r="K117" s="1015"/>
      <c r="L117" s="1016"/>
      <c r="M117" s="277">
        <f>$I$78*(H117/1000)*(($G$19/86400)/$I$33)</f>
        <v>1.1264368530909448</v>
      </c>
      <c r="N117" s="867">
        <f>150*(1-$I$76)/M117+1.75</f>
        <v>74.989791270695605</v>
      </c>
      <c r="O117" s="868"/>
      <c r="P117" s="278">
        <f>N117*(E117/100)/(H117/1000)</f>
        <v>11156.028243407283</v>
      </c>
      <c r="Q117" s="869" t="str">
        <f>ROUND((1/$I$78)*(1-I76)/(I76^3)*(I74*(($G$19/86400)^2)/9.806)*P126,3)&amp; " m"</f>
        <v>0,226 m</v>
      </c>
      <c r="R117" s="870"/>
      <c r="S117" s="279">
        <f>(H117/1000)*($G$19/86400)/$I$33</f>
        <v>1.5019158041212597</v>
      </c>
      <c r="T117" s="901">
        <f>24/S117+3/(S117^(1/2))+0.34</f>
        <v>18.767517814768567</v>
      </c>
      <c r="U117" s="902"/>
      <c r="V117" s="485">
        <f t="shared" ref="V117:V125" si="51">T117*(E117/100)/(H117/1000)</f>
        <v>2791.9928199883543</v>
      </c>
      <c r="W117" s="899" t="str">
        <f>ROUND(1.067*(($G$19/86400)^2)*I74/(9.806*$I$79*(I76^4))*V126,3)&amp;" m"</f>
        <v>0,198 m</v>
      </c>
      <c r="X117" s="899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1017"/>
      <c r="K118" s="1018"/>
      <c r="L118" s="1019"/>
      <c r="M118" s="442">
        <f t="shared" ref="M118:M125" si="55">$I$78*(H118/1000)*(($G$19/86400)/$I$33)</f>
        <v>0.79764014028662189</v>
      </c>
      <c r="N118" s="867">
        <f t="shared" ref="N118:N125" si="56">150*(1-$I$76)/M118+1.75</f>
        <v>105.1801006596216</v>
      </c>
      <c r="O118" s="868"/>
      <c r="P118" s="278">
        <f t="shared" ref="P118:P125" si="57">N118*(E118/100)/(H118/1000)</f>
        <v>45968.017944249455</v>
      </c>
      <c r="Q118" s="871"/>
      <c r="R118" s="872"/>
      <c r="S118" s="279">
        <f t="shared" ref="S118:S125" si="58">(H118/1000)*($G$19/86400)/$I$33</f>
        <v>1.0635201870488293</v>
      </c>
      <c r="T118" s="901">
        <f t="shared" ref="T118:T125" si="59">24/S118+3/(S118^(1/2))+0.34</f>
        <v>25.815598661104239</v>
      </c>
      <c r="U118" s="902"/>
      <c r="V118" s="485">
        <f t="shared" si="51"/>
        <v>11282.475440249793</v>
      </c>
      <c r="W118" s="899"/>
      <c r="X118" s="899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1017"/>
      <c r="K119" s="1018"/>
      <c r="L119" s="1019"/>
      <c r="M119" s="442">
        <f t="shared" si="55"/>
        <v>0.67091497595406735</v>
      </c>
      <c r="N119" s="867">
        <f t="shared" si="56"/>
        <v>124.71640104460595</v>
      </c>
      <c r="O119" s="868"/>
      <c r="P119" s="278">
        <f t="shared" si="57"/>
        <v>65186.111974100771</v>
      </c>
      <c r="Q119" s="871"/>
      <c r="R119" s="872"/>
      <c r="S119" s="279">
        <f t="shared" si="58"/>
        <v>0.89455330127208987</v>
      </c>
      <c r="T119" s="901">
        <f t="shared" si="59"/>
        <v>30.340923142156505</v>
      </c>
      <c r="U119" s="902"/>
      <c r="V119" s="485">
        <f t="shared" si="51"/>
        <v>15858.433989245883</v>
      </c>
      <c r="W119" s="899"/>
      <c r="X119" s="899"/>
      <c r="Y119" s="110"/>
      <c r="Z119" s="920"/>
      <c r="AA119" s="920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1017"/>
      <c r="K120" s="1018"/>
      <c r="L120" s="1019"/>
      <c r="M120" s="442">
        <f t="shared" si="55"/>
        <v>0.56421260109626947</v>
      </c>
      <c r="N120" s="867">
        <f t="shared" si="56"/>
        <v>147.97147722277359</v>
      </c>
      <c r="O120" s="868"/>
      <c r="P120" s="278">
        <f t="shared" si="57"/>
        <v>16820.008615871931</v>
      </c>
      <c r="Q120" s="871"/>
      <c r="R120" s="872"/>
      <c r="S120" s="279">
        <f t="shared" si="58"/>
        <v>0.75228346812835944</v>
      </c>
      <c r="T120" s="901">
        <f t="shared" si="59"/>
        <v>35.701707940349195</v>
      </c>
      <c r="U120" s="902"/>
      <c r="V120" s="485">
        <f t="shared" si="51"/>
        <v>4058.2350492720243</v>
      </c>
      <c r="W120" s="899"/>
      <c r="X120" s="899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1017"/>
      <c r="K121" s="1018"/>
      <c r="L121" s="1019"/>
      <c r="M121" s="442">
        <f t="shared" si="55"/>
        <v>0.46260923069757309</v>
      </c>
      <c r="N121" s="867">
        <f t="shared" si="56"/>
        <v>180.08625990470927</v>
      </c>
      <c r="O121" s="868"/>
      <c r="P121" s="278">
        <f t="shared" si="57"/>
        <v>14093.979163621865</v>
      </c>
      <c r="Q121" s="871"/>
      <c r="R121" s="872"/>
      <c r="S121" s="279">
        <f t="shared" si="58"/>
        <v>0.6168123075967642</v>
      </c>
      <c r="T121" s="901">
        <f t="shared" si="59"/>
        <v>43.069565626271121</v>
      </c>
      <c r="U121" s="902"/>
      <c r="V121" s="485">
        <f t="shared" si="51"/>
        <v>3370.726677560569</v>
      </c>
      <c r="W121" s="899"/>
      <c r="X121" s="899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1017"/>
      <c r="K122" s="1018"/>
      <c r="L122" s="1019"/>
      <c r="M122" s="442">
        <f t="shared" si="55"/>
        <v>0.35653938968086074</v>
      </c>
      <c r="N122" s="867">
        <f t="shared" si="56"/>
        <v>233.1409834025518</v>
      </c>
      <c r="O122" s="868"/>
      <c r="P122" s="278">
        <f t="shared" si="57"/>
        <v>20292.317948961234</v>
      </c>
      <c r="Q122" s="871"/>
      <c r="R122" s="872"/>
      <c r="S122" s="279">
        <f t="shared" si="58"/>
        <v>0.47538585290781443</v>
      </c>
      <c r="T122" s="901">
        <f t="shared" si="59"/>
        <v>55.176396085932026</v>
      </c>
      <c r="U122" s="902"/>
      <c r="V122" s="485">
        <f t="shared" si="51"/>
        <v>4802.4888473610936</v>
      </c>
      <c r="W122" s="899"/>
      <c r="X122" s="899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1017"/>
      <c r="K123" s="1018"/>
      <c r="L123" s="1019"/>
      <c r="M123" s="442">
        <f t="shared" si="55"/>
        <v>0.28186913673946357</v>
      </c>
      <c r="N123" s="867">
        <f t="shared" si="56"/>
        <v>294.43901503131275</v>
      </c>
      <c r="O123" s="868"/>
      <c r="P123" s="278">
        <f t="shared" si="57"/>
        <v>21611.112439264743</v>
      </c>
      <c r="Q123" s="871"/>
      <c r="R123" s="872"/>
      <c r="S123" s="279">
        <f t="shared" si="58"/>
        <v>0.37582551565261818</v>
      </c>
      <c r="T123" s="901">
        <f t="shared" si="59"/>
        <v>69.093017587746601</v>
      </c>
      <c r="U123" s="902"/>
      <c r="V123" s="485">
        <f t="shared" si="51"/>
        <v>5071.2605858231573</v>
      </c>
      <c r="W123" s="899"/>
      <c r="X123" s="899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1017"/>
      <c r="K124" s="1018"/>
      <c r="L124" s="1019"/>
      <c r="M124" s="442">
        <f t="shared" si="55"/>
        <v>0.23701670054182386</v>
      </c>
      <c r="N124" s="867">
        <f t="shared" si="56"/>
        <v>349.82673810074868</v>
      </c>
      <c r="O124" s="868"/>
      <c r="P124" s="278">
        <f t="shared" si="57"/>
        <v>15267.690547296888</v>
      </c>
      <c r="Q124" s="871"/>
      <c r="R124" s="872"/>
      <c r="S124" s="279">
        <f t="shared" si="58"/>
        <v>0.3160222673890985</v>
      </c>
      <c r="T124" s="901">
        <f t="shared" si="59"/>
        <v>81.62058806658419</v>
      </c>
      <c r="U124" s="902"/>
      <c r="V124" s="485">
        <f t="shared" si="51"/>
        <v>3562.2145055422038</v>
      </c>
      <c r="W124" s="899"/>
      <c r="X124" s="899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1020"/>
      <c r="K125" s="1021"/>
      <c r="L125" s="1022"/>
      <c r="M125" s="442">
        <f t="shared" si="55"/>
        <v>0.18297934893341553</v>
      </c>
      <c r="N125" s="867">
        <f t="shared" si="56"/>
        <v>452.62055168187845</v>
      </c>
      <c r="O125" s="868"/>
      <c r="P125" s="278">
        <f t="shared" si="57"/>
        <v>12793.857005968253</v>
      </c>
      <c r="Q125" s="873"/>
      <c r="R125" s="874"/>
      <c r="S125" s="279">
        <f t="shared" si="58"/>
        <v>0.24397246524455404</v>
      </c>
      <c r="T125" s="901">
        <f t="shared" si="59"/>
        <v>104.78542191513814</v>
      </c>
      <c r="U125" s="902"/>
      <c r="V125" s="485">
        <f t="shared" si="51"/>
        <v>2961.8842964836663</v>
      </c>
      <c r="W125" s="899"/>
      <c r="X125" s="899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862">
        <f>SUM(I117:I125)</f>
        <v>2764822.8813574035</v>
      </c>
      <c r="J126" s="38"/>
      <c r="K126" s="38"/>
      <c r="L126" s="38"/>
      <c r="M126" s="38"/>
      <c r="N126" s="38"/>
      <c r="O126" s="38"/>
      <c r="P126" s="863">
        <f>SUM(P117:P125)</f>
        <v>223189.12388274242</v>
      </c>
      <c r="Q126" s="297"/>
      <c r="R126" s="38"/>
      <c r="S126" s="38"/>
      <c r="T126" s="38"/>
      <c r="U126" s="38"/>
      <c r="V126" s="864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863"/>
      <c r="J127" s="38"/>
      <c r="K127" s="38"/>
      <c r="L127" s="38"/>
      <c r="M127" s="38"/>
      <c r="N127" s="38"/>
      <c r="O127" s="38"/>
      <c r="P127" s="863"/>
      <c r="Q127" s="297"/>
      <c r="R127" s="38"/>
      <c r="S127" s="38"/>
      <c r="T127" s="38"/>
      <c r="U127" s="38"/>
      <c r="V127" s="865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863"/>
      <c r="J128" s="2"/>
      <c r="K128" s="2"/>
      <c r="L128" s="2"/>
      <c r="M128" s="38"/>
      <c r="N128" s="38"/>
      <c r="O128" s="38"/>
      <c r="P128" s="863"/>
      <c r="Q128" s="297"/>
      <c r="R128" s="2"/>
      <c r="S128" s="38"/>
      <c r="T128" s="38"/>
      <c r="U128" s="38"/>
      <c r="V128" s="866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497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992" t="s">
        <v>84</v>
      </c>
      <c r="C131" s="995"/>
      <c r="D131" s="989"/>
      <c r="E131" s="989" t="s">
        <v>95</v>
      </c>
      <c r="F131" s="989" t="s">
        <v>96</v>
      </c>
      <c r="G131" s="989" t="s">
        <v>97</v>
      </c>
      <c r="H131" s="1009" t="s">
        <v>99</v>
      </c>
      <c r="I131" s="1042" t="s">
        <v>77</v>
      </c>
      <c r="J131" s="1043"/>
      <c r="K131" s="1043"/>
      <c r="L131" s="1044"/>
      <c r="M131" s="1042" t="s">
        <v>488</v>
      </c>
      <c r="N131" s="1043"/>
      <c r="O131" s="1043"/>
      <c r="P131" s="1043"/>
      <c r="Q131" s="1043"/>
      <c r="R131" s="1044"/>
      <c r="S131" s="1117" t="s">
        <v>78</v>
      </c>
      <c r="T131" s="1117"/>
      <c r="U131" s="1117"/>
      <c r="V131" s="1117"/>
      <c r="W131" s="1117"/>
      <c r="X131" s="1117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993"/>
      <c r="C132" s="995"/>
      <c r="D132" s="990"/>
      <c r="E132" s="991"/>
      <c r="F132" s="991"/>
      <c r="G132" s="991"/>
      <c r="H132" s="1010"/>
      <c r="I132" s="1078" t="s">
        <v>495</v>
      </c>
      <c r="J132" s="1038"/>
      <c r="K132" s="1039"/>
      <c r="L132" s="477"/>
      <c r="M132" s="1083"/>
      <c r="N132" s="1038"/>
      <c r="O132" s="1084"/>
      <c r="P132" s="1078" t="s">
        <v>496</v>
      </c>
      <c r="Q132" s="1111"/>
      <c r="R132" s="1112"/>
      <c r="S132" s="1083"/>
      <c r="T132" s="1038"/>
      <c r="U132" s="1084"/>
      <c r="V132" s="1117" t="s">
        <v>496</v>
      </c>
      <c r="W132" s="1083"/>
      <c r="X132" s="1083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993"/>
      <c r="C133" s="445"/>
      <c r="D133" s="444"/>
      <c r="E133" s="991"/>
      <c r="F133" s="991"/>
      <c r="G133" s="991"/>
      <c r="H133" s="1010"/>
      <c r="I133" s="1079"/>
      <c r="J133" s="963"/>
      <c r="K133" s="1034"/>
      <c r="L133" s="443"/>
      <c r="M133" s="1083"/>
      <c r="N133" s="963"/>
      <c r="O133" s="1085"/>
      <c r="P133" s="1079"/>
      <c r="Q133" s="1113"/>
      <c r="R133" s="1114"/>
      <c r="S133" s="1083"/>
      <c r="T133" s="963"/>
      <c r="U133" s="1085"/>
      <c r="V133" s="1117"/>
      <c r="W133" s="1083"/>
      <c r="X133" s="1083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994"/>
      <c r="C134" s="445"/>
      <c r="D134" s="444"/>
      <c r="E134" s="990"/>
      <c r="F134" s="990"/>
      <c r="G134" s="990"/>
      <c r="H134" s="1011"/>
      <c r="I134" s="1080"/>
      <c r="J134" s="1040"/>
      <c r="K134" s="1041"/>
      <c r="L134" s="478"/>
      <c r="M134" s="1083"/>
      <c r="N134" s="1040"/>
      <c r="O134" s="1086"/>
      <c r="P134" s="1080"/>
      <c r="Q134" s="1115"/>
      <c r="R134" s="1116"/>
      <c r="S134" s="1083"/>
      <c r="T134" s="1040"/>
      <c r="U134" s="1086"/>
      <c r="V134" s="1117"/>
      <c r="W134" s="1083"/>
      <c r="X134" s="1083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1014" t="str">
        <f>ROUND((I77*I33*((1-I76)^2)/(I76^3)*((I74*($G$20/86400))/9.806)*((6/$I$78)^2)*I144),3)&amp;" m"</f>
        <v>0,335 m</v>
      </c>
      <c r="K135" s="1015"/>
      <c r="L135" s="1016"/>
      <c r="M135" s="447">
        <f>$I$78*(H135/1000)*(($G$20/86400)/$I$33)</f>
        <v>1.4080460663636809</v>
      </c>
      <c r="N135" s="1107">
        <f>150*(1-$I$76)/M135+1.75</f>
        <v>60.341833016556485</v>
      </c>
      <c r="O135" s="1108"/>
      <c r="P135" s="483">
        <f>N135*(E135/100)/(H135/1000)</f>
        <v>8976.8911472451673</v>
      </c>
      <c r="Q135" s="1014" t="str">
        <f>ROUND((1/$I$78)*(1-I76)/(I76^3)*(I74*(($G$20/86400)^2)/9.806)*P144,3)&amp; " m"</f>
        <v>0,284 m</v>
      </c>
      <c r="R135" s="1016"/>
      <c r="S135" s="483">
        <f>(H135/1000)*($G$20/86400)/$I$33</f>
        <v>1.8773947551515744</v>
      </c>
      <c r="T135" s="1109">
        <f>24/S135+3/(S135^(1/2))+0.34</f>
        <v>15.313165121449025</v>
      </c>
      <c r="U135" s="1110"/>
      <c r="V135" s="483">
        <f>T135*(E135/100)/(H135/1000)</f>
        <v>2278.0981210385489</v>
      </c>
      <c r="W135" s="824" t="str">
        <f>ROUND(1.067*(($G$20/86400)^2)*I74/(9.806*$I$79*(I76^4))*V144,3)&amp;" m"</f>
        <v>0,251 m</v>
      </c>
      <c r="X135" s="824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1017"/>
      <c r="K136" s="1018"/>
      <c r="L136" s="1019"/>
      <c r="M136" s="447">
        <f t="shared" ref="M136:M143" si="68">$I$78*(H136/1000)*(($G$20/86400)/$I$33)</f>
        <v>0.99705017535827734</v>
      </c>
      <c r="N136" s="1107">
        <f t="shared" ref="N136:N143" si="69">150*(1-$I$76)/M136+1.75</f>
        <v>84.494080527697292</v>
      </c>
      <c r="O136" s="1108"/>
      <c r="P136" s="483">
        <f t="shared" ref="P136:P143" si="70">N136*(E136/100)/(H136/1000)</f>
        <v>36927.378710630153</v>
      </c>
      <c r="Q136" s="1017"/>
      <c r="R136" s="1019"/>
      <c r="S136" s="483">
        <f t="shared" ref="S136:S143" si="71">(H136/1000)*($G$20/86400)/$I$33</f>
        <v>1.3294002338110364</v>
      </c>
      <c r="T136" s="1109">
        <f t="shared" ref="T136:T143" si="72">24/S136+3/(S136^(1/2))+0.34</f>
        <v>20.995170577828702</v>
      </c>
      <c r="U136" s="1110"/>
      <c r="V136" s="483">
        <f t="shared" ref="V136:V143" si="73">T136*(E136/100)/(H136/1000)</f>
        <v>9175.7506582679107</v>
      </c>
      <c r="W136" s="824"/>
      <c r="X136" s="824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1017"/>
      <c r="K137" s="1018"/>
      <c r="L137" s="1019"/>
      <c r="M137" s="447">
        <f t="shared" si="68"/>
        <v>0.83864371994258424</v>
      </c>
      <c r="N137" s="1107">
        <f t="shared" si="69"/>
        <v>100.12312083568474</v>
      </c>
      <c r="O137" s="1108"/>
      <c r="P137" s="483">
        <f t="shared" si="70"/>
        <v>52331.825736833576</v>
      </c>
      <c r="Q137" s="1017"/>
      <c r="R137" s="1019"/>
      <c r="S137" s="483">
        <f t="shared" si="71"/>
        <v>1.1181916265901124</v>
      </c>
      <c r="T137" s="1109">
        <f t="shared" si="72"/>
        <v>24.640251194240957</v>
      </c>
      <c r="U137" s="1110"/>
      <c r="V137" s="483">
        <f t="shared" si="73"/>
        <v>12878.836784612544</v>
      </c>
      <c r="W137" s="824"/>
      <c r="X137" s="824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1017"/>
      <c r="K138" s="1018"/>
      <c r="L138" s="1019"/>
      <c r="M138" s="447">
        <f t="shared" si="68"/>
        <v>0.70526575137033687</v>
      </c>
      <c r="N138" s="1107">
        <f t="shared" si="69"/>
        <v>118.72718177821885</v>
      </c>
      <c r="O138" s="1108"/>
      <c r="P138" s="483">
        <f t="shared" si="70"/>
        <v>13495.791607468567</v>
      </c>
      <c r="Q138" s="1017"/>
      <c r="R138" s="1019"/>
      <c r="S138" s="483">
        <f t="shared" si="71"/>
        <v>0.9403543351604492</v>
      </c>
      <c r="T138" s="1109">
        <f t="shared" si="72"/>
        <v>28.955974914844926</v>
      </c>
      <c r="U138" s="1110"/>
      <c r="V138" s="483">
        <f t="shared" si="73"/>
        <v>3291.4434368686912</v>
      </c>
      <c r="W138" s="824"/>
      <c r="X138" s="824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1017"/>
      <c r="K139" s="1018"/>
      <c r="L139" s="1019"/>
      <c r="M139" s="447">
        <f t="shared" si="68"/>
        <v>0.57826153837196637</v>
      </c>
      <c r="N139" s="1107">
        <f t="shared" si="69"/>
        <v>144.4190079237674</v>
      </c>
      <c r="O139" s="1108"/>
      <c r="P139" s="483">
        <f t="shared" si="70"/>
        <v>11302.575163621865</v>
      </c>
      <c r="Q139" s="1017"/>
      <c r="R139" s="1019"/>
      <c r="S139" s="483">
        <f t="shared" si="71"/>
        <v>0.7710153844959553</v>
      </c>
      <c r="T139" s="1109">
        <f t="shared" si="72"/>
        <v>34.884348902756031</v>
      </c>
      <c r="U139" s="1110"/>
      <c r="V139" s="483">
        <f t="shared" si="73"/>
        <v>2730.1321424083944</v>
      </c>
      <c r="W139" s="824"/>
      <c r="X139" s="824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1017"/>
      <c r="K140" s="1018"/>
      <c r="L140" s="1019"/>
      <c r="M140" s="447">
        <f t="shared" si="68"/>
        <v>0.44567423710107595</v>
      </c>
      <c r="N140" s="1107">
        <f t="shared" si="69"/>
        <v>186.86278672204145</v>
      </c>
      <c r="O140" s="1108"/>
      <c r="P140" s="483">
        <f t="shared" si="70"/>
        <v>16264.317948961234</v>
      </c>
      <c r="Q140" s="1017"/>
      <c r="R140" s="1019"/>
      <c r="S140" s="483">
        <f t="shared" si="71"/>
        <v>0.5942323161347679</v>
      </c>
      <c r="T140" s="1109">
        <f t="shared" si="72"/>
        <v>44.619978133427459</v>
      </c>
      <c r="U140" s="1110"/>
      <c r="V140" s="483">
        <f t="shared" si="73"/>
        <v>3883.670601130772</v>
      </c>
      <c r="W140" s="824"/>
      <c r="X140" s="824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1017"/>
      <c r="K141" s="1018"/>
      <c r="L141" s="1019"/>
      <c r="M141" s="447">
        <f t="shared" si="68"/>
        <v>0.35233642092432949</v>
      </c>
      <c r="N141" s="1107">
        <f t="shared" si="69"/>
        <v>235.90121202505017</v>
      </c>
      <c r="O141" s="1108"/>
      <c r="P141" s="483">
        <f t="shared" si="70"/>
        <v>17314.579105931411</v>
      </c>
      <c r="Q141" s="1017"/>
      <c r="R141" s="1019"/>
      <c r="S141" s="483">
        <f t="shared" si="71"/>
        <v>0.46978189456577263</v>
      </c>
      <c r="T141" s="1109">
        <f t="shared" si="72"/>
        <v>55.804502606298414</v>
      </c>
      <c r="U141" s="1110"/>
      <c r="V141" s="483">
        <f t="shared" si="73"/>
        <v>4095.9156866956064</v>
      </c>
      <c r="W141" s="824"/>
      <c r="X141" s="824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1017"/>
      <c r="K142" s="1018"/>
      <c r="L142" s="1019"/>
      <c r="M142" s="447">
        <f t="shared" si="68"/>
        <v>0.29627087567727983</v>
      </c>
      <c r="N142" s="1107">
        <f t="shared" si="69"/>
        <v>280.21139048059894</v>
      </c>
      <c r="O142" s="1108"/>
      <c r="P142" s="483">
        <f t="shared" si="70"/>
        <v>12229.427690154029</v>
      </c>
      <c r="Q142" s="1017"/>
      <c r="R142" s="1019"/>
      <c r="S142" s="483">
        <f t="shared" si="71"/>
        <v>0.39502783423637311</v>
      </c>
      <c r="T142" s="1109">
        <f t="shared" si="72"/>
        <v>65.868388002212441</v>
      </c>
      <c r="U142" s="1110"/>
      <c r="V142" s="483">
        <f t="shared" si="73"/>
        <v>2874.7321326177102</v>
      </c>
      <c r="W142" s="824"/>
      <c r="X142" s="824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1020"/>
      <c r="K143" s="1021"/>
      <c r="L143" s="1022"/>
      <c r="M143" s="447">
        <f t="shared" si="68"/>
        <v>0.2287241861667694</v>
      </c>
      <c r="N143" s="1107">
        <f t="shared" si="69"/>
        <v>362.44644134550282</v>
      </c>
      <c r="O143" s="1108"/>
      <c r="P143" s="483">
        <f t="shared" si="70"/>
        <v>10244.978770110227</v>
      </c>
      <c r="Q143" s="1020"/>
      <c r="R143" s="1022"/>
      <c r="S143" s="483">
        <f t="shared" si="71"/>
        <v>0.30496558155569253</v>
      </c>
      <c r="T143" s="1109">
        <f t="shared" si="72"/>
        <v>84.469856674561228</v>
      </c>
      <c r="U143" s="1110"/>
      <c r="V143" s="483">
        <f t="shared" si="73"/>
        <v>2387.6407370218785</v>
      </c>
      <c r="W143" s="824"/>
      <c r="X143" s="824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13">
        <f>SUM(I135:I143)</f>
        <v>2764822.8813574035</v>
      </c>
      <c r="J144" s="51"/>
      <c r="K144" s="51"/>
      <c r="L144" s="51"/>
      <c r="M144" s="455"/>
      <c r="N144" s="455"/>
      <c r="O144" s="455"/>
      <c r="P144" s="1032">
        <f>SUM(P135:P143)</f>
        <v>179087.76588095623</v>
      </c>
      <c r="Q144" s="454"/>
      <c r="R144" s="455"/>
      <c r="S144" s="455"/>
      <c r="T144" s="455"/>
      <c r="U144" s="455"/>
      <c r="V144" s="1105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1008"/>
      <c r="J145" s="51"/>
      <c r="K145" s="51"/>
      <c r="L145" s="51"/>
      <c r="M145" s="455"/>
      <c r="N145" s="455"/>
      <c r="O145" s="455"/>
      <c r="P145" s="1032"/>
      <c r="Q145" s="454"/>
      <c r="R145" s="455"/>
      <c r="S145" s="455"/>
      <c r="T145" s="455"/>
      <c r="U145" s="455"/>
      <c r="V145" s="1105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1008"/>
      <c r="J146" s="76"/>
      <c r="K146" s="76"/>
      <c r="L146" s="76"/>
      <c r="M146" s="455"/>
      <c r="N146" s="455"/>
      <c r="O146" s="455"/>
      <c r="P146" s="1032"/>
      <c r="Q146" s="454"/>
      <c r="R146" s="456"/>
      <c r="S146" s="455"/>
      <c r="T146" s="455"/>
      <c r="U146" s="455"/>
      <c r="V146" s="1106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489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825" t="s">
        <v>225</v>
      </c>
      <c r="C149" s="825"/>
      <c r="D149" s="825"/>
      <c r="E149" s="825"/>
      <c r="F149" s="825"/>
      <c r="G149" s="825"/>
      <c r="H149" s="438" t="s">
        <v>492</v>
      </c>
      <c r="I149" s="437">
        <f>G19</f>
        <v>120</v>
      </c>
      <c r="J149" s="449" t="s">
        <v>231</v>
      </c>
      <c r="K149" s="896"/>
      <c r="L149" s="897"/>
      <c r="M149" s="897"/>
      <c r="N149" s="898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825" t="s">
        <v>226</v>
      </c>
      <c r="C150" s="825"/>
      <c r="D150" s="825"/>
      <c r="E150" s="825"/>
      <c r="F150" s="825"/>
      <c r="G150" s="825"/>
      <c r="H150" s="438" t="s">
        <v>493</v>
      </c>
      <c r="I150" s="437">
        <f>G20</f>
        <v>150</v>
      </c>
      <c r="J150" s="449" t="s">
        <v>231</v>
      </c>
      <c r="K150" s="896"/>
      <c r="L150" s="897"/>
      <c r="M150" s="897"/>
      <c r="N150" s="898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825" t="s">
        <v>498</v>
      </c>
      <c r="C151" s="825"/>
      <c r="D151" s="825"/>
      <c r="E151" s="825"/>
      <c r="F151" s="825"/>
      <c r="G151" s="825"/>
      <c r="H151" s="438" t="s">
        <v>490</v>
      </c>
      <c r="I151" s="437" t="str">
        <f>LEFT(W117,5)</f>
        <v>0,198</v>
      </c>
      <c r="J151" s="441" t="s">
        <v>3</v>
      </c>
      <c r="K151" s="896"/>
      <c r="L151" s="897"/>
      <c r="M151" s="897"/>
      <c r="N151" s="898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825" t="s">
        <v>499</v>
      </c>
      <c r="C152" s="825"/>
      <c r="D152" s="825"/>
      <c r="E152" s="825"/>
      <c r="F152" s="825"/>
      <c r="G152" s="825"/>
      <c r="H152" s="438" t="s">
        <v>508</v>
      </c>
      <c r="I152" s="440" t="str">
        <f>LEFT(W135,5)</f>
        <v>0,251</v>
      </c>
      <c r="J152" s="441" t="s">
        <v>3</v>
      </c>
      <c r="K152" s="896"/>
      <c r="L152" s="897"/>
      <c r="M152" s="897"/>
      <c r="N152" s="898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216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711" t="s">
        <v>18</v>
      </c>
      <c r="C155" s="712"/>
      <c r="D155" s="712"/>
      <c r="E155" s="712"/>
      <c r="F155" s="712"/>
      <c r="G155" s="713"/>
      <c r="H155" s="95" t="s">
        <v>0</v>
      </c>
      <c r="I155" s="258">
        <f>$I$11</f>
        <v>5.7252000000000004E-2</v>
      </c>
      <c r="J155" s="108" t="s">
        <v>164</v>
      </c>
      <c r="K155" s="896"/>
      <c r="L155" s="897"/>
      <c r="M155" s="897"/>
      <c r="N155" s="898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711" t="s">
        <v>219</v>
      </c>
      <c r="C156" s="712"/>
      <c r="D156" s="712"/>
      <c r="E156" s="712"/>
      <c r="F156" s="712"/>
      <c r="G156" s="713"/>
      <c r="H156" s="80" t="s">
        <v>103</v>
      </c>
      <c r="I156" s="466">
        <f>G19</f>
        <v>120</v>
      </c>
      <c r="J156" s="108" t="s">
        <v>231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711" t="s">
        <v>407</v>
      </c>
      <c r="C157" s="712"/>
      <c r="D157" s="712"/>
      <c r="E157" s="712"/>
      <c r="F157" s="712"/>
      <c r="G157" s="713"/>
      <c r="H157" s="80" t="s">
        <v>509</v>
      </c>
      <c r="I157" s="466">
        <f>G20</f>
        <v>150</v>
      </c>
      <c r="J157" s="108" t="s">
        <v>231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30" t="s">
        <v>232</v>
      </c>
      <c r="C158" s="731"/>
      <c r="D158" s="731"/>
      <c r="E158" s="731"/>
      <c r="F158" s="731"/>
      <c r="G158" s="732"/>
      <c r="H158" s="720" t="s">
        <v>150</v>
      </c>
      <c r="I158" s="827">
        <f>(I155*86400)/I156</f>
        <v>41.221440000000001</v>
      </c>
      <c r="J158" s="720" t="s">
        <v>230</v>
      </c>
      <c r="K158" s="927"/>
      <c r="L158" s="928"/>
      <c r="M158" s="928"/>
      <c r="N158" s="929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33"/>
      <c r="C159" s="734"/>
      <c r="D159" s="734"/>
      <c r="E159" s="734"/>
      <c r="F159" s="734"/>
      <c r="G159" s="735"/>
      <c r="H159" s="721"/>
      <c r="I159" s="828"/>
      <c r="J159" s="721"/>
      <c r="K159" s="930"/>
      <c r="L159" s="931"/>
      <c r="M159" s="931"/>
      <c r="N159" s="932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30" t="s">
        <v>408</v>
      </c>
      <c r="C160" s="731"/>
      <c r="D160" s="731"/>
      <c r="E160" s="731"/>
      <c r="F160" s="731"/>
      <c r="G160" s="732"/>
      <c r="H160" s="720" t="s">
        <v>234</v>
      </c>
      <c r="I160" s="827">
        <f>(I155*86400)/I157</f>
        <v>32.977151999999997</v>
      </c>
      <c r="J160" s="720" t="s">
        <v>230</v>
      </c>
      <c r="K160" s="927"/>
      <c r="L160" s="928"/>
      <c r="M160" s="928"/>
      <c r="N160" s="929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33"/>
      <c r="C161" s="734"/>
      <c r="D161" s="734"/>
      <c r="E161" s="734"/>
      <c r="F161" s="734"/>
      <c r="G161" s="735"/>
      <c r="H161" s="721"/>
      <c r="I161" s="828"/>
      <c r="J161" s="721"/>
      <c r="K161" s="930"/>
      <c r="L161" s="931"/>
      <c r="M161" s="931"/>
      <c r="N161" s="932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711" t="s">
        <v>410</v>
      </c>
      <c r="C162" s="712"/>
      <c r="D162" s="712"/>
      <c r="E162" s="712"/>
      <c r="F162" s="712"/>
      <c r="G162" s="713"/>
      <c r="H162" s="251" t="s">
        <v>412</v>
      </c>
      <c r="I162" s="95">
        <f>ROUND((I158-I160),2)</f>
        <v>8.24</v>
      </c>
      <c r="J162" s="251" t="s">
        <v>230</v>
      </c>
      <c r="K162" s="896"/>
      <c r="L162" s="897"/>
      <c r="M162" s="897"/>
      <c r="N162" s="898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30" t="s">
        <v>409</v>
      </c>
      <c r="C163" s="731"/>
      <c r="D163" s="731"/>
      <c r="E163" s="731"/>
      <c r="F163" s="731"/>
      <c r="G163" s="732"/>
      <c r="H163" s="720" t="s">
        <v>413</v>
      </c>
      <c r="I163" s="827">
        <f>IF(I158/I162&lt;3,3,ROUND(I158/I162,0))</f>
        <v>5</v>
      </c>
      <c r="J163" s="720"/>
      <c r="K163" s="927"/>
      <c r="L163" s="928"/>
      <c r="M163" s="928"/>
      <c r="N163" s="929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33"/>
      <c r="C164" s="734"/>
      <c r="D164" s="734"/>
      <c r="E164" s="734"/>
      <c r="F164" s="734"/>
      <c r="G164" s="735"/>
      <c r="H164" s="721"/>
      <c r="I164" s="828"/>
      <c r="J164" s="721"/>
      <c r="K164" s="930"/>
      <c r="L164" s="931"/>
      <c r="M164" s="931"/>
      <c r="N164" s="932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711" t="s">
        <v>217</v>
      </c>
      <c r="C165" s="712"/>
      <c r="D165" s="712"/>
      <c r="E165" s="712"/>
      <c r="F165" s="712"/>
      <c r="G165" s="713"/>
      <c r="H165" s="251" t="s">
        <v>242</v>
      </c>
      <c r="I165" s="254">
        <f>IF(0.044*SQRT(I155*86400)&lt;I163,I163,IF(0.044*SQRT(I155*86400)&gt;I163,ROUNDUP(0.044*SQRT(I155*86400),0)))</f>
        <v>5</v>
      </c>
      <c r="J165" s="251"/>
      <c r="K165" s="896"/>
      <c r="L165" s="897"/>
      <c r="M165" s="897"/>
      <c r="N165" s="898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30" t="s">
        <v>411</v>
      </c>
      <c r="C166" s="731"/>
      <c r="D166" s="731"/>
      <c r="E166" s="731"/>
      <c r="F166" s="731"/>
      <c r="G166" s="732"/>
      <c r="H166" s="720" t="s">
        <v>233</v>
      </c>
      <c r="I166" s="822">
        <f>I158/I165</f>
        <v>8.2442880000000009</v>
      </c>
      <c r="J166" s="720" t="s">
        <v>230</v>
      </c>
      <c r="K166" s="927"/>
      <c r="L166" s="928"/>
      <c r="M166" s="928"/>
      <c r="N166" s="929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33"/>
      <c r="C167" s="734"/>
      <c r="D167" s="734"/>
      <c r="E167" s="734"/>
      <c r="F167" s="734"/>
      <c r="G167" s="735"/>
      <c r="H167" s="721"/>
      <c r="I167" s="823"/>
      <c r="J167" s="721"/>
      <c r="K167" s="930"/>
      <c r="L167" s="931"/>
      <c r="M167" s="931"/>
      <c r="N167" s="932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825" t="s">
        <v>236</v>
      </c>
      <c r="C168" s="825"/>
      <c r="D168" s="825"/>
      <c r="E168" s="825"/>
      <c r="F168" s="825"/>
      <c r="G168" s="825"/>
      <c r="H168" s="108" t="s">
        <v>235</v>
      </c>
      <c r="I168" s="471">
        <f>SQRT(I166)</f>
        <v>2.8712868195288328</v>
      </c>
      <c r="J168" s="108" t="s">
        <v>3</v>
      </c>
      <c r="K168" s="933"/>
      <c r="L168" s="933"/>
      <c r="M168" s="933"/>
      <c r="N168" s="933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172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711" t="s">
        <v>237</v>
      </c>
      <c r="C171" s="712"/>
      <c r="D171" s="712"/>
      <c r="E171" s="712"/>
      <c r="F171" s="712"/>
      <c r="G171" s="713"/>
      <c r="H171" s="323" t="s">
        <v>477</v>
      </c>
      <c r="I171" s="319">
        <v>0.25</v>
      </c>
      <c r="J171" s="58" t="s">
        <v>238</v>
      </c>
      <c r="K171" s="956"/>
      <c r="L171" s="953"/>
      <c r="M171" s="953"/>
      <c r="N171" s="954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711" t="s">
        <v>239</v>
      </c>
      <c r="C172" s="712"/>
      <c r="D172" s="712"/>
      <c r="E172" s="712"/>
      <c r="F172" s="712"/>
      <c r="G172" s="713"/>
      <c r="H172" s="320" t="s">
        <v>469</v>
      </c>
      <c r="I172" s="321">
        <v>0.1</v>
      </c>
      <c r="J172" s="58" t="s">
        <v>3</v>
      </c>
      <c r="K172" s="952"/>
      <c r="L172" s="953"/>
      <c r="M172" s="953"/>
      <c r="N172" s="954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711" t="s">
        <v>268</v>
      </c>
      <c r="C173" s="712"/>
      <c r="D173" s="712"/>
      <c r="E173" s="712"/>
      <c r="F173" s="712"/>
      <c r="G173" s="713"/>
      <c r="H173" s="274" t="s">
        <v>470</v>
      </c>
      <c r="I173" s="305" t="s">
        <v>248</v>
      </c>
      <c r="J173" s="58" t="s">
        <v>253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711" t="s">
        <v>269</v>
      </c>
      <c r="C174" s="712"/>
      <c r="D174" s="712"/>
      <c r="E174" s="712"/>
      <c r="F174" s="712"/>
      <c r="G174" s="713"/>
      <c r="H174" s="274" t="s">
        <v>471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711" t="s">
        <v>267</v>
      </c>
      <c r="C175" s="712"/>
      <c r="D175" s="712"/>
      <c r="E175" s="712"/>
      <c r="F175" s="712"/>
      <c r="G175" s="713"/>
      <c r="H175" s="318" t="s">
        <v>472</v>
      </c>
      <c r="I175" s="274">
        <f>ROUND(I168/2-I174/2-0.05,2)</f>
        <v>1.23</v>
      </c>
      <c r="J175" s="58" t="s">
        <v>3</v>
      </c>
      <c r="K175" s="952"/>
      <c r="L175" s="953"/>
      <c r="M175" s="953"/>
      <c r="N175" s="954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711" t="s">
        <v>240</v>
      </c>
      <c r="C176" s="712"/>
      <c r="D176" s="712"/>
      <c r="E176" s="712"/>
      <c r="F176" s="712"/>
      <c r="G176" s="713"/>
      <c r="H176" s="320" t="s">
        <v>473</v>
      </c>
      <c r="I176" s="322">
        <v>0.2</v>
      </c>
      <c r="J176" s="58" t="s">
        <v>3</v>
      </c>
      <c r="K176" s="952"/>
      <c r="L176" s="953"/>
      <c r="M176" s="953"/>
      <c r="N176" s="954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711" t="s">
        <v>241</v>
      </c>
      <c r="C177" s="712"/>
      <c r="D177" s="712"/>
      <c r="E177" s="712"/>
      <c r="F177" s="712"/>
      <c r="G177" s="713"/>
      <c r="H177" s="323" t="s">
        <v>478</v>
      </c>
      <c r="I177" s="644">
        <v>2</v>
      </c>
      <c r="J177" s="58" t="s">
        <v>238</v>
      </c>
      <c r="K177" s="952"/>
      <c r="L177" s="953"/>
      <c r="M177" s="953"/>
      <c r="N177" s="954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30" t="s">
        <v>243</v>
      </c>
      <c r="C178" s="731"/>
      <c r="D178" s="731"/>
      <c r="E178" s="731"/>
      <c r="F178" s="731"/>
      <c r="G178" s="732"/>
      <c r="H178" s="827" t="s">
        <v>474</v>
      </c>
      <c r="I178" s="909">
        <f>2*ROUND((I168/I176),0)</f>
        <v>28</v>
      </c>
      <c r="J178" s="756"/>
      <c r="K178" s="921"/>
      <c r="L178" s="922"/>
      <c r="M178" s="922"/>
      <c r="N178" s="923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33"/>
      <c r="C179" s="734"/>
      <c r="D179" s="734"/>
      <c r="E179" s="734"/>
      <c r="F179" s="734"/>
      <c r="G179" s="735"/>
      <c r="H179" s="828"/>
      <c r="I179" s="910"/>
      <c r="J179" s="757"/>
      <c r="K179" s="924"/>
      <c r="L179" s="925"/>
      <c r="M179" s="925"/>
      <c r="N179" s="926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30" t="s">
        <v>463</v>
      </c>
      <c r="C180" s="731"/>
      <c r="D180" s="731"/>
      <c r="E180" s="731"/>
      <c r="F180" s="731"/>
      <c r="G180" s="732"/>
      <c r="H180" s="827" t="s">
        <v>475</v>
      </c>
      <c r="I180" s="909">
        <f>2*ROUNDUP((I175/I172),0)</f>
        <v>26</v>
      </c>
      <c r="J180" s="756"/>
      <c r="K180" s="921"/>
      <c r="L180" s="922"/>
      <c r="M180" s="922"/>
      <c r="N180" s="923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33"/>
      <c r="C181" s="734"/>
      <c r="D181" s="734"/>
      <c r="E181" s="734"/>
      <c r="F181" s="734"/>
      <c r="G181" s="735"/>
      <c r="H181" s="828"/>
      <c r="I181" s="910"/>
      <c r="J181" s="757"/>
      <c r="K181" s="924"/>
      <c r="L181" s="925"/>
      <c r="M181" s="925"/>
      <c r="N181" s="926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30" t="s">
        <v>244</v>
      </c>
      <c r="C182" s="731"/>
      <c r="D182" s="731"/>
      <c r="E182" s="731"/>
      <c r="F182" s="731"/>
      <c r="G182" s="732"/>
      <c r="H182" s="827" t="s">
        <v>476</v>
      </c>
      <c r="I182" s="909">
        <f>I178*I180</f>
        <v>728</v>
      </c>
      <c r="J182" s="756"/>
      <c r="K182" s="921"/>
      <c r="L182" s="922"/>
      <c r="M182" s="922"/>
      <c r="N182" s="923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33"/>
      <c r="C183" s="734"/>
      <c r="D183" s="734"/>
      <c r="E183" s="734"/>
      <c r="F183" s="734"/>
      <c r="G183" s="735"/>
      <c r="H183" s="828"/>
      <c r="I183" s="910"/>
      <c r="J183" s="757"/>
      <c r="K183" s="924"/>
      <c r="L183" s="925"/>
      <c r="M183" s="925"/>
      <c r="N183" s="926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711" t="s">
        <v>254</v>
      </c>
      <c r="C184" s="712"/>
      <c r="D184" s="712"/>
      <c r="E184" s="712"/>
      <c r="F184" s="712"/>
      <c r="G184" s="713"/>
      <c r="H184" s="318" t="s">
        <v>265</v>
      </c>
      <c r="I184" s="220">
        <f>ROUND((I182*VLOOKUP(I171,AW8:AX12,2,FALSE)/I166),4)</f>
        <v>2.8E-3</v>
      </c>
      <c r="J184" s="253"/>
      <c r="K184" s="1072" t="s">
        <v>262</v>
      </c>
      <c r="L184" s="1073"/>
      <c r="M184" s="1073"/>
      <c r="N184" s="1074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711" t="s">
        <v>464</v>
      </c>
      <c r="C185" s="712"/>
      <c r="D185" s="712"/>
      <c r="E185" s="712"/>
      <c r="F185" s="712"/>
      <c r="G185" s="713"/>
      <c r="H185" s="318"/>
      <c r="I185" s="274">
        <f>ROUND((VLOOKUP(I177,BB8:BC12,2,FALSE)/(VLOOKUP(I171,AW8:AX12,2,FALSE)*I180)),2)</f>
        <v>2.46</v>
      </c>
      <c r="J185" s="253"/>
      <c r="K185" s="1097" t="s">
        <v>263</v>
      </c>
      <c r="L185" s="1098"/>
      <c r="M185" s="1098"/>
      <c r="N185" s="1099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711" t="s">
        <v>465</v>
      </c>
      <c r="C186" s="712"/>
      <c r="D186" s="712"/>
      <c r="E186" s="712"/>
      <c r="F186" s="712"/>
      <c r="G186" s="713"/>
      <c r="H186" s="318"/>
      <c r="I186" s="274">
        <f>ROUND((VLOOKUP(I173,BG8:BH16,2,FALSE)/(VLOOKUP(I177,BB8:BC12,2,FALSE)*I178)),2)</f>
        <v>1.64</v>
      </c>
      <c r="J186" s="58"/>
      <c r="K186" s="1072" t="s">
        <v>264</v>
      </c>
      <c r="L186" s="1073"/>
      <c r="M186" s="1073"/>
      <c r="N186" s="1074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711" t="s">
        <v>467</v>
      </c>
      <c r="C187" s="712"/>
      <c r="D187" s="712"/>
      <c r="E187" s="712"/>
      <c r="F187" s="712"/>
      <c r="G187" s="713"/>
      <c r="H187" s="318"/>
      <c r="I187" s="274">
        <f>I175/(I177*0.0254)</f>
        <v>24.212598425196852</v>
      </c>
      <c r="J187" s="287"/>
      <c r="K187" s="1072" t="s">
        <v>468</v>
      </c>
      <c r="L187" s="1073"/>
      <c r="M187" s="1073"/>
      <c r="N187" s="1074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115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423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711" t="s">
        <v>118</v>
      </c>
      <c r="C192" s="712"/>
      <c r="D192" s="712"/>
      <c r="E192" s="712"/>
      <c r="F192" s="712"/>
      <c r="G192" s="713"/>
      <c r="H192" s="108" t="s">
        <v>8</v>
      </c>
      <c r="I192" s="472">
        <f>$I$76</f>
        <v>0.45</v>
      </c>
      <c r="J192" s="78"/>
      <c r="K192" s="896"/>
      <c r="L192" s="897"/>
      <c r="M192" s="897"/>
      <c r="N192" s="898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711" t="str">
        <f>"Viscocidad dinámica del agua a "&amp;I30&amp;" °C"</f>
        <v>Viscocidad dinámica del agua a 20 °C</v>
      </c>
      <c r="C193" s="712"/>
      <c r="D193" s="712"/>
      <c r="E193" s="712"/>
      <c r="F193" s="712"/>
      <c r="G193" s="713"/>
      <c r="H193" s="108" t="s">
        <v>104</v>
      </c>
      <c r="I193" s="471">
        <f>I32*1000</f>
        <v>1.0050000000000001</v>
      </c>
      <c r="J193" s="79" t="s">
        <v>163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711" t="s">
        <v>127</v>
      </c>
      <c r="C194" s="712"/>
      <c r="D194" s="712"/>
      <c r="E194" s="712"/>
      <c r="F194" s="712"/>
      <c r="G194" s="713"/>
      <c r="H194" s="95" t="s">
        <v>381</v>
      </c>
      <c r="I194" s="471">
        <f>J56*F70</f>
        <v>0.74398243580665824</v>
      </c>
      <c r="J194" s="95" t="s">
        <v>128</v>
      </c>
      <c r="K194" s="971"/>
      <c r="L194" s="971"/>
      <c r="M194" s="971"/>
      <c r="N194" s="971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711" t="s">
        <v>375</v>
      </c>
      <c r="C195" s="712"/>
      <c r="D195" s="712"/>
      <c r="E195" s="712"/>
      <c r="F195" s="712"/>
      <c r="G195" s="713"/>
      <c r="H195" s="95" t="s">
        <v>382</v>
      </c>
      <c r="I195" s="471">
        <f>10*I194</f>
        <v>7.4398243580665824</v>
      </c>
      <c r="J195" s="95" t="s">
        <v>126</v>
      </c>
      <c r="K195" s="971"/>
      <c r="L195" s="971"/>
      <c r="M195" s="971"/>
      <c r="N195" s="971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711" t="str">
        <f>"Velocidad de asentamiento del medio filtrante a "&amp;I30&amp;" °C"</f>
        <v>Velocidad de asentamiento del medio filtrante a 20 °C</v>
      </c>
      <c r="C196" s="712"/>
      <c r="D196" s="712"/>
      <c r="E196" s="712"/>
      <c r="F196" s="712"/>
      <c r="G196" s="713"/>
      <c r="H196" s="95" t="s">
        <v>383</v>
      </c>
      <c r="I196" s="471">
        <f>IF(I71=20,I195,I195*((I193)^(-1/3)))</f>
        <v>7.4274658230905848</v>
      </c>
      <c r="J196" s="95" t="s">
        <v>126</v>
      </c>
      <c r="K196" s="951"/>
      <c r="L196" s="951"/>
      <c r="M196" s="951"/>
      <c r="N196" s="951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711" t="str">
        <f>"Velocidad de fluidización del medio filtrante a "&amp;I30&amp;" °C"</f>
        <v>Velocidad de fluidización del medio filtrante a 20 °C</v>
      </c>
      <c r="C197" s="712"/>
      <c r="D197" s="712"/>
      <c r="E197" s="712"/>
      <c r="F197" s="712"/>
      <c r="G197" s="713"/>
      <c r="H197" s="95" t="s">
        <v>384</v>
      </c>
      <c r="I197" s="471">
        <f>I196*(I192^4.5)</f>
        <v>0.20431345791329167</v>
      </c>
      <c r="J197" s="95" t="s">
        <v>126</v>
      </c>
      <c r="K197" s="1087"/>
      <c r="L197" s="1088"/>
      <c r="M197" s="1088"/>
      <c r="N197" s="1089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711" t="str">
        <f>"Velocidad óptima de lavado a "&amp;I30&amp;" °C"</f>
        <v>Velocidad óptima de lavado a 20 °C</v>
      </c>
      <c r="C198" s="712"/>
      <c r="D198" s="712"/>
      <c r="E198" s="712"/>
      <c r="F198" s="712"/>
      <c r="G198" s="713"/>
      <c r="H198" s="95" t="s">
        <v>385</v>
      </c>
      <c r="I198" s="471">
        <f>0.1*I196</f>
        <v>0.74274658230905855</v>
      </c>
      <c r="J198" s="95" t="s">
        <v>126</v>
      </c>
      <c r="K198" s="971"/>
      <c r="L198" s="971"/>
      <c r="M198" s="971"/>
      <c r="N198" s="971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30" t="s">
        <v>376</v>
      </c>
      <c r="C199" s="731"/>
      <c r="D199" s="731"/>
      <c r="E199" s="731"/>
      <c r="F199" s="731"/>
      <c r="G199" s="732"/>
      <c r="H199" s="827" t="s">
        <v>386</v>
      </c>
      <c r="I199" s="822">
        <f>(I198/I196)^0.22</f>
        <v>0.60255958607435778</v>
      </c>
      <c r="J199" s="827"/>
      <c r="K199" s="1090"/>
      <c r="L199" s="1091"/>
      <c r="M199" s="1091"/>
      <c r="N199" s="1092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33"/>
      <c r="C200" s="734"/>
      <c r="D200" s="734"/>
      <c r="E200" s="734"/>
      <c r="F200" s="734"/>
      <c r="G200" s="735"/>
      <c r="H200" s="828"/>
      <c r="I200" s="823"/>
      <c r="J200" s="828"/>
      <c r="K200" s="1093"/>
      <c r="L200" s="1094"/>
      <c r="M200" s="1094"/>
      <c r="N200" s="1095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711" t="s">
        <v>377</v>
      </c>
      <c r="C201" s="712"/>
      <c r="D201" s="712"/>
      <c r="E201" s="712"/>
      <c r="F201" s="712"/>
      <c r="G201" s="713"/>
      <c r="H201" s="95" t="s">
        <v>46</v>
      </c>
      <c r="I201" s="471">
        <f>$I$74</f>
        <v>0.64</v>
      </c>
      <c r="J201" s="95" t="s">
        <v>3</v>
      </c>
      <c r="K201" s="971"/>
      <c r="L201" s="971"/>
      <c r="M201" s="971"/>
      <c r="N201" s="971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30" t="s">
        <v>378</v>
      </c>
      <c r="C202" s="731"/>
      <c r="D202" s="731"/>
      <c r="E202" s="731"/>
      <c r="F202" s="731"/>
      <c r="G202" s="732"/>
      <c r="H202" s="827" t="s">
        <v>387</v>
      </c>
      <c r="I202" s="822">
        <f>I201*(1-I192)/(1-I199)</f>
        <v>0.88566735456816503</v>
      </c>
      <c r="J202" s="827" t="s">
        <v>3</v>
      </c>
      <c r="K202" s="1090"/>
      <c r="L202" s="1091"/>
      <c r="M202" s="1091"/>
      <c r="N202" s="1092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33"/>
      <c r="C203" s="734"/>
      <c r="D203" s="734"/>
      <c r="E203" s="734"/>
      <c r="F203" s="734"/>
      <c r="G203" s="735"/>
      <c r="H203" s="828"/>
      <c r="I203" s="823"/>
      <c r="J203" s="828"/>
      <c r="K203" s="1093"/>
      <c r="L203" s="1094"/>
      <c r="M203" s="1094"/>
      <c r="N203" s="1095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30" t="s">
        <v>379</v>
      </c>
      <c r="C204" s="731"/>
      <c r="D204" s="731"/>
      <c r="E204" s="731"/>
      <c r="F204" s="731"/>
      <c r="G204" s="732"/>
      <c r="H204" s="827" t="s">
        <v>380</v>
      </c>
      <c r="I204" s="827">
        <f>(I199-I192)/(1-I199)*100</f>
        <v>38.385524151275767</v>
      </c>
      <c r="J204" s="827" t="s">
        <v>204</v>
      </c>
      <c r="K204" s="1090"/>
      <c r="L204" s="1091"/>
      <c r="M204" s="1091"/>
      <c r="N204" s="1092"/>
      <c r="O204" s="1096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33"/>
      <c r="C205" s="734"/>
      <c r="D205" s="734"/>
      <c r="E205" s="734"/>
      <c r="F205" s="734"/>
      <c r="G205" s="735"/>
      <c r="H205" s="828"/>
      <c r="I205" s="828"/>
      <c r="J205" s="828"/>
      <c r="K205" s="1093"/>
      <c r="L205" s="1094"/>
      <c r="M205" s="1094"/>
      <c r="N205" s="1095"/>
      <c r="O205" s="1096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281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98" t="s">
        <v>270</v>
      </c>
      <c r="C208" s="799"/>
      <c r="D208" s="799"/>
      <c r="E208" s="799"/>
      <c r="F208" s="799"/>
      <c r="G208" s="800"/>
      <c r="H208" s="114" t="s">
        <v>272</v>
      </c>
      <c r="I208" s="307">
        <v>10</v>
      </c>
      <c r="J208" s="58" t="s">
        <v>38</v>
      </c>
      <c r="K208" s="952"/>
      <c r="L208" s="953"/>
      <c r="M208" s="953"/>
      <c r="N208" s="954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98" t="s">
        <v>275</v>
      </c>
      <c r="C209" s="799"/>
      <c r="D209" s="799"/>
      <c r="E209" s="799"/>
      <c r="F209" s="799"/>
      <c r="G209" s="800"/>
      <c r="H209" s="114" t="s">
        <v>277</v>
      </c>
      <c r="I209" s="307">
        <v>36</v>
      </c>
      <c r="J209" s="58" t="s">
        <v>203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98" t="s">
        <v>354</v>
      </c>
      <c r="C210" s="799"/>
      <c r="D210" s="799"/>
      <c r="E210" s="799"/>
      <c r="F210" s="799"/>
      <c r="G210" s="800"/>
      <c r="H210" s="58" t="s">
        <v>355</v>
      </c>
      <c r="I210" s="277">
        <f>I198</f>
        <v>0.74274658230905855</v>
      </c>
      <c r="J210" s="58" t="s">
        <v>126</v>
      </c>
      <c r="K210" s="952"/>
      <c r="L210" s="953"/>
      <c r="M210" s="953"/>
      <c r="N210" s="954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711" t="s">
        <v>219</v>
      </c>
      <c r="C211" s="712"/>
      <c r="D211" s="712"/>
      <c r="E211" s="712"/>
      <c r="F211" s="712"/>
      <c r="G211" s="713"/>
      <c r="H211" s="80" t="s">
        <v>103</v>
      </c>
      <c r="I211" s="252">
        <f>G19</f>
        <v>120</v>
      </c>
      <c r="J211" s="108" t="s">
        <v>231</v>
      </c>
      <c r="K211" s="952"/>
      <c r="L211" s="953"/>
      <c r="M211" s="953"/>
      <c r="N211" s="954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711" t="s">
        <v>274</v>
      </c>
      <c r="C212" s="712"/>
      <c r="D212" s="712"/>
      <c r="E212" s="712"/>
      <c r="F212" s="712"/>
      <c r="G212" s="713"/>
      <c r="H212" s="251" t="s">
        <v>233</v>
      </c>
      <c r="I212" s="95">
        <f>I162</f>
        <v>8.24</v>
      </c>
      <c r="J212" s="251" t="s">
        <v>230</v>
      </c>
      <c r="K212" s="952"/>
      <c r="L212" s="953"/>
      <c r="M212" s="953"/>
      <c r="N212" s="954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711" t="s">
        <v>336</v>
      </c>
      <c r="C213" s="712"/>
      <c r="D213" s="712"/>
      <c r="E213" s="712"/>
      <c r="F213" s="712"/>
      <c r="G213" s="713"/>
      <c r="H213" s="114" t="s">
        <v>314</v>
      </c>
      <c r="I213" s="258">
        <f>ROUND((I210/60)*I212,3)</f>
        <v>0.10199999999999999</v>
      </c>
      <c r="J213" s="58" t="s">
        <v>313</v>
      </c>
      <c r="K213" s="952"/>
      <c r="L213" s="953"/>
      <c r="M213" s="953"/>
      <c r="N213" s="954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98" t="s">
        <v>280</v>
      </c>
      <c r="C214" s="799"/>
      <c r="D214" s="799"/>
      <c r="E214" s="799"/>
      <c r="F214" s="799"/>
      <c r="G214" s="800"/>
      <c r="H214" s="114" t="s">
        <v>315</v>
      </c>
      <c r="I214" s="202">
        <f>ROUND(I210*I212*I208,3)</f>
        <v>61.201999999999998</v>
      </c>
      <c r="J214" s="58" t="s">
        <v>278</v>
      </c>
      <c r="K214" s="952"/>
      <c r="L214" s="953"/>
      <c r="M214" s="953"/>
      <c r="N214" s="954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98" t="s">
        <v>279</v>
      </c>
      <c r="C215" s="799"/>
      <c r="D215" s="799"/>
      <c r="E215" s="799"/>
      <c r="F215" s="799"/>
      <c r="G215" s="800"/>
      <c r="H215" s="114" t="s">
        <v>316</v>
      </c>
      <c r="I215" s="202">
        <f>ROUND((I211/24)*I212*I209,3)</f>
        <v>1483.2</v>
      </c>
      <c r="J215" s="58" t="s">
        <v>278</v>
      </c>
      <c r="K215" s="952"/>
      <c r="L215" s="953"/>
      <c r="M215" s="953"/>
      <c r="N215" s="954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69" t="s">
        <v>276</v>
      </c>
      <c r="C216" s="769"/>
      <c r="D216" s="769"/>
      <c r="E216" s="769"/>
      <c r="F216" s="769"/>
      <c r="G216" s="769"/>
      <c r="H216" s="58" t="s">
        <v>317</v>
      </c>
      <c r="I216" s="58">
        <f>I214/I215*100</f>
        <v>4.1263484358144549</v>
      </c>
      <c r="J216" s="58" t="s">
        <v>204</v>
      </c>
      <c r="K216" s="955"/>
      <c r="L216" s="955"/>
      <c r="M216" s="955"/>
      <c r="N216" s="955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117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98" t="s">
        <v>119</v>
      </c>
      <c r="C219" s="799"/>
      <c r="D219" s="799"/>
      <c r="E219" s="799"/>
      <c r="F219" s="799"/>
      <c r="G219" s="800"/>
      <c r="H219" s="58" t="s">
        <v>46</v>
      </c>
      <c r="I219" s="202">
        <f>I74</f>
        <v>0.64</v>
      </c>
      <c r="J219" s="58" t="s">
        <v>3</v>
      </c>
      <c r="K219" s="955"/>
      <c r="L219" s="955"/>
      <c r="M219" s="955"/>
      <c r="N219" s="955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98" t="s">
        <v>118</v>
      </c>
      <c r="C220" s="799"/>
      <c r="D220" s="799"/>
      <c r="E220" s="799"/>
      <c r="F220" s="799"/>
      <c r="G220" s="800"/>
      <c r="H220" s="58" t="s">
        <v>8</v>
      </c>
      <c r="I220" s="202">
        <f>I76</f>
        <v>0.45</v>
      </c>
      <c r="J220" s="58"/>
      <c r="K220" s="955"/>
      <c r="L220" s="955"/>
      <c r="M220" s="955"/>
      <c r="N220" s="955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98" t="s">
        <v>120</v>
      </c>
      <c r="C221" s="799"/>
      <c r="D221" s="799"/>
      <c r="E221" s="799"/>
      <c r="F221" s="799"/>
      <c r="G221" s="800"/>
      <c r="H221" s="58" t="s">
        <v>121</v>
      </c>
      <c r="I221" s="202">
        <f>I75</f>
        <v>2.65</v>
      </c>
      <c r="J221" s="58"/>
      <c r="K221" s="955"/>
      <c r="L221" s="955"/>
      <c r="M221" s="955"/>
      <c r="N221" s="955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69" t="s">
        <v>123</v>
      </c>
      <c r="C222" s="769"/>
      <c r="D222" s="769"/>
      <c r="E222" s="769"/>
      <c r="F222" s="769"/>
      <c r="G222" s="769"/>
      <c r="H222" s="58" t="s">
        <v>122</v>
      </c>
      <c r="I222" s="202">
        <f>I219*(1-I220)*(I221-1)</f>
        <v>0.58079999999999998</v>
      </c>
      <c r="J222" s="58" t="s">
        <v>3</v>
      </c>
      <c r="K222" s="955"/>
      <c r="L222" s="955"/>
      <c r="M222" s="955"/>
      <c r="N222" s="955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459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98" t="s">
        <v>354</v>
      </c>
      <c r="C225" s="799"/>
      <c r="D225" s="799"/>
      <c r="E225" s="799"/>
      <c r="F225" s="799"/>
      <c r="G225" s="800"/>
      <c r="H225" s="58" t="s">
        <v>355</v>
      </c>
      <c r="I225" s="202">
        <f>I210</f>
        <v>0.74274658230905855</v>
      </c>
      <c r="J225" s="58" t="s">
        <v>126</v>
      </c>
      <c r="K225" s="957"/>
      <c r="L225" s="958"/>
      <c r="M225" s="958"/>
      <c r="N225" s="959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711" t="s">
        <v>168</v>
      </c>
      <c r="C226" s="712"/>
      <c r="D226" s="712"/>
      <c r="E226" s="712"/>
      <c r="F226" s="712"/>
      <c r="G226" s="713"/>
      <c r="H226" s="80" t="s">
        <v>169</v>
      </c>
      <c r="I226" s="58">
        <f>SUM(G88:G92)</f>
        <v>0.44999999999999996</v>
      </c>
      <c r="J226" s="58" t="s">
        <v>3</v>
      </c>
      <c r="K226" s="957"/>
      <c r="L226" s="958"/>
      <c r="M226" s="958"/>
      <c r="N226" s="959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30" t="s">
        <v>356</v>
      </c>
      <c r="C227" s="731"/>
      <c r="D227" s="731"/>
      <c r="E227" s="731"/>
      <c r="F227" s="731"/>
      <c r="G227" s="732"/>
      <c r="H227" s="756" t="s">
        <v>357</v>
      </c>
      <c r="I227" s="911">
        <f>(I225*I226)/3</f>
        <v>0.11141198734635877</v>
      </c>
      <c r="J227" s="756" t="s">
        <v>3</v>
      </c>
      <c r="K227" s="1045"/>
      <c r="L227" s="1046"/>
      <c r="M227" s="1046"/>
      <c r="N227" s="1047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33"/>
      <c r="C228" s="734"/>
      <c r="D228" s="734"/>
      <c r="E228" s="734"/>
      <c r="F228" s="734"/>
      <c r="G228" s="735"/>
      <c r="H228" s="757"/>
      <c r="I228" s="912"/>
      <c r="J228" s="757"/>
      <c r="K228" s="1048"/>
      <c r="L228" s="1049"/>
      <c r="M228" s="1049"/>
      <c r="N228" s="1050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460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98" t="s">
        <v>354</v>
      </c>
      <c r="C231" s="799"/>
      <c r="D231" s="799"/>
      <c r="E231" s="799"/>
      <c r="F231" s="799"/>
      <c r="G231" s="800"/>
      <c r="H231" s="287" t="s">
        <v>355</v>
      </c>
      <c r="I231" s="277">
        <f>I198/60</f>
        <v>1.2379109705150975E-2</v>
      </c>
      <c r="J231" s="58" t="s">
        <v>5</v>
      </c>
      <c r="K231" s="957"/>
      <c r="L231" s="958"/>
      <c r="M231" s="958"/>
      <c r="N231" s="959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98" t="s">
        <v>358</v>
      </c>
      <c r="C232" s="799"/>
      <c r="D232" s="799"/>
      <c r="E232" s="799"/>
      <c r="F232" s="799"/>
      <c r="G232" s="800"/>
      <c r="H232" s="155" t="s">
        <v>44</v>
      </c>
      <c r="I232" s="308">
        <v>0.6</v>
      </c>
      <c r="J232" s="155"/>
      <c r="K232" s="957"/>
      <c r="L232" s="958"/>
      <c r="M232" s="958"/>
      <c r="N232" s="959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98" t="s">
        <v>254</v>
      </c>
      <c r="C233" s="799"/>
      <c r="D233" s="799"/>
      <c r="E233" s="799"/>
      <c r="F233" s="799"/>
      <c r="G233" s="800"/>
      <c r="H233" s="287" t="s">
        <v>265</v>
      </c>
      <c r="I233" s="277">
        <f>I184</f>
        <v>2.8E-3</v>
      </c>
      <c r="J233" s="155"/>
      <c r="K233" s="957"/>
      <c r="L233" s="958"/>
      <c r="M233" s="958"/>
      <c r="N233" s="959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76" t="s">
        <v>360</v>
      </c>
      <c r="C234" s="777"/>
      <c r="D234" s="777"/>
      <c r="E234" s="777"/>
      <c r="F234" s="777"/>
      <c r="G234" s="778"/>
      <c r="H234" s="909" t="s">
        <v>361</v>
      </c>
      <c r="I234" s="822">
        <f>(1/(2*9.806))*(I231/(I232*I233))^2</f>
        <v>2.7684607803693799</v>
      </c>
      <c r="J234" s="756" t="s">
        <v>3</v>
      </c>
      <c r="K234" s="1045"/>
      <c r="L234" s="1046"/>
      <c r="M234" s="1046"/>
      <c r="N234" s="1047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79"/>
      <c r="C235" s="780"/>
      <c r="D235" s="780"/>
      <c r="E235" s="780"/>
      <c r="F235" s="780"/>
      <c r="G235" s="781"/>
      <c r="H235" s="910"/>
      <c r="I235" s="823"/>
      <c r="J235" s="757"/>
      <c r="K235" s="1048"/>
      <c r="L235" s="1049"/>
      <c r="M235" s="1049"/>
      <c r="N235" s="1050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309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98" t="s">
        <v>310</v>
      </c>
      <c r="C238" s="799"/>
      <c r="D238" s="799"/>
      <c r="E238" s="799"/>
      <c r="F238" s="799"/>
      <c r="G238" s="800"/>
      <c r="H238" s="960" t="s">
        <v>285</v>
      </c>
      <c r="I238" s="961"/>
      <c r="J238" s="962"/>
      <c r="K238" s="766"/>
      <c r="L238" s="767"/>
      <c r="M238" s="767"/>
      <c r="N238" s="768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98" t="s">
        <v>323</v>
      </c>
      <c r="C239" s="799"/>
      <c r="D239" s="799"/>
      <c r="E239" s="799"/>
      <c r="F239" s="799"/>
      <c r="G239" s="800"/>
      <c r="H239" s="248" t="s">
        <v>329</v>
      </c>
      <c r="I239" s="220">
        <f>VLOOKUP(H238,BQ9:BR16,2,FALSE)</f>
        <v>0.15</v>
      </c>
      <c r="J239" s="108" t="s">
        <v>128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98" t="s">
        <v>330</v>
      </c>
      <c r="C240" s="799"/>
      <c r="D240" s="799"/>
      <c r="E240" s="799"/>
      <c r="F240" s="799"/>
      <c r="G240" s="800"/>
      <c r="H240" s="248" t="s">
        <v>331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98" t="s">
        <v>311</v>
      </c>
      <c r="C241" s="799"/>
      <c r="D241" s="799"/>
      <c r="E241" s="799"/>
      <c r="F241" s="799"/>
      <c r="G241" s="800"/>
      <c r="H241" s="248" t="s">
        <v>319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66"/>
      <c r="L241" s="767"/>
      <c r="M241" s="767"/>
      <c r="N241" s="768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98" t="s">
        <v>312</v>
      </c>
      <c r="C242" s="799"/>
      <c r="D242" s="799"/>
      <c r="E242" s="799"/>
      <c r="F242" s="799"/>
      <c r="G242" s="800"/>
      <c r="H242" s="248" t="s">
        <v>320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66"/>
      <c r="L242" s="767"/>
      <c r="M242" s="767"/>
      <c r="N242" s="768"/>
      <c r="O242" s="38"/>
      <c r="P242" s="117"/>
      <c r="Q242" s="1051"/>
      <c r="R242" s="1051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30" t="s">
        <v>318</v>
      </c>
      <c r="C243" s="731"/>
      <c r="D243" s="731"/>
      <c r="E243" s="731"/>
      <c r="F243" s="731"/>
      <c r="G243" s="732"/>
      <c r="H243" s="909" t="s">
        <v>321</v>
      </c>
      <c r="I243" s="822">
        <f>(4*$I$213)/(PI()*I242^2)</f>
        <v>1.9972385015453531</v>
      </c>
      <c r="J243" s="720" t="s">
        <v>5</v>
      </c>
      <c r="K243" s="792"/>
      <c r="L243" s="793"/>
      <c r="M243" s="793"/>
      <c r="N243" s="794"/>
      <c r="O243" s="38"/>
      <c r="P243" s="160"/>
      <c r="Q243" s="1051"/>
      <c r="R243" s="1051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33"/>
      <c r="C244" s="734"/>
      <c r="D244" s="734"/>
      <c r="E244" s="734"/>
      <c r="F244" s="734"/>
      <c r="G244" s="735"/>
      <c r="H244" s="910"/>
      <c r="I244" s="823"/>
      <c r="J244" s="721"/>
      <c r="K244" s="795"/>
      <c r="L244" s="796"/>
      <c r="M244" s="796"/>
      <c r="N244" s="797"/>
      <c r="O244" s="38"/>
      <c r="P244" s="160"/>
      <c r="Q244" s="1051"/>
      <c r="R244" s="1051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30" t="s">
        <v>347</v>
      </c>
      <c r="C245" s="731"/>
      <c r="D245" s="731"/>
      <c r="E245" s="731"/>
      <c r="F245" s="731"/>
      <c r="G245" s="732"/>
      <c r="H245" s="909"/>
      <c r="I245" s="822">
        <f>(I243^2)/(2*9.806)</f>
        <v>0.20339392372298226</v>
      </c>
      <c r="J245" s="720" t="s">
        <v>3</v>
      </c>
      <c r="K245" s="792"/>
      <c r="L245" s="793"/>
      <c r="M245" s="793"/>
      <c r="N245" s="794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33"/>
      <c r="C246" s="734"/>
      <c r="D246" s="734"/>
      <c r="E246" s="734"/>
      <c r="F246" s="734"/>
      <c r="G246" s="735"/>
      <c r="H246" s="910"/>
      <c r="I246" s="823"/>
      <c r="J246" s="721"/>
      <c r="K246" s="795"/>
      <c r="L246" s="796"/>
      <c r="M246" s="796"/>
      <c r="N246" s="797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711" t="str">
        <f>"Viscocidad cinemática del agua a "&amp;I30&amp;" °C"</f>
        <v>Viscocidad cinemática del agua a 20 °C</v>
      </c>
      <c r="C247" s="712"/>
      <c r="D247" s="712"/>
      <c r="E247" s="712"/>
      <c r="F247" s="712"/>
      <c r="G247" s="713"/>
      <c r="H247" s="18" t="s">
        <v>2</v>
      </c>
      <c r="I247" s="234">
        <f>$I$33</f>
        <v>1.0070000000000001E-6</v>
      </c>
      <c r="J247" s="79" t="s">
        <v>167</v>
      </c>
      <c r="K247" s="766"/>
      <c r="L247" s="767"/>
      <c r="M247" s="767"/>
      <c r="N247" s="768"/>
      <c r="O247" s="38"/>
      <c r="P247" s="160"/>
      <c r="Q247" s="1051"/>
      <c r="R247" s="1051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30" t="s">
        <v>53</v>
      </c>
      <c r="C248" s="731"/>
      <c r="D248" s="731"/>
      <c r="E248" s="731"/>
      <c r="F248" s="731"/>
      <c r="G248" s="732"/>
      <c r="H248" s="720" t="s">
        <v>1</v>
      </c>
      <c r="I248" s="936">
        <f>I243*I242/I247</f>
        <v>505755.52918973687</v>
      </c>
      <c r="J248" s="841"/>
      <c r="K248" s="927"/>
      <c r="L248" s="928"/>
      <c r="M248" s="928"/>
      <c r="N248" s="929"/>
      <c r="O248" s="38"/>
      <c r="P248" s="160"/>
      <c r="Q248" s="1051"/>
      <c r="R248" s="1051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33"/>
      <c r="C249" s="734"/>
      <c r="D249" s="734"/>
      <c r="E249" s="734"/>
      <c r="F249" s="734"/>
      <c r="G249" s="735"/>
      <c r="H249" s="721"/>
      <c r="I249" s="937"/>
      <c r="J249" s="842"/>
      <c r="K249" s="930"/>
      <c r="L249" s="931"/>
      <c r="M249" s="931"/>
      <c r="N249" s="932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711" t="s">
        <v>324</v>
      </c>
      <c r="C250" s="712"/>
      <c r="D250" s="712"/>
      <c r="E250" s="712"/>
      <c r="F250" s="712"/>
      <c r="G250" s="713"/>
      <c r="H250" s="240" t="s">
        <v>322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30" t="s">
        <v>325</v>
      </c>
      <c r="C251" s="731"/>
      <c r="D251" s="731"/>
      <c r="E251" s="731"/>
      <c r="F251" s="731"/>
      <c r="G251" s="732"/>
      <c r="H251" s="720" t="s">
        <v>322</v>
      </c>
      <c r="I251" s="1055">
        <f>(1/(-2*LOG10(($I$239/1000)/(3.7*$I$242)+2.51/($I$248*SQRT(I250)))))^2</f>
        <v>1.8143335227955335E-2</v>
      </c>
      <c r="J251" s="841"/>
      <c r="K251" s="1057"/>
      <c r="L251" s="1058"/>
      <c r="M251" s="1058"/>
      <c r="N251" s="1059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33"/>
      <c r="C252" s="734"/>
      <c r="D252" s="734"/>
      <c r="E252" s="734"/>
      <c r="F252" s="734"/>
      <c r="G252" s="735"/>
      <c r="H252" s="721"/>
      <c r="I252" s="1056"/>
      <c r="J252" s="842"/>
      <c r="K252" s="1060"/>
      <c r="L252" s="1061"/>
      <c r="M252" s="1061"/>
      <c r="N252" s="1062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711" t="s">
        <v>326</v>
      </c>
      <c r="C253" s="712"/>
      <c r="D253" s="712"/>
      <c r="E253" s="712"/>
      <c r="F253" s="712"/>
      <c r="G253" s="713"/>
      <c r="H253" s="240" t="s">
        <v>322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711" t="s">
        <v>327</v>
      </c>
      <c r="C254" s="712"/>
      <c r="D254" s="712"/>
      <c r="E254" s="712"/>
      <c r="F254" s="712"/>
      <c r="G254" s="713"/>
      <c r="H254" s="240" t="s">
        <v>322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711" t="s">
        <v>328</v>
      </c>
      <c r="C255" s="712"/>
      <c r="D255" s="712"/>
      <c r="E255" s="712"/>
      <c r="F255" s="712"/>
      <c r="G255" s="713"/>
      <c r="H255" s="240" t="s">
        <v>322</v>
      </c>
      <c r="I255" s="247">
        <f>(1/(-2*LOG10(($I$239/1000)/(3.7*$I$242)+2.51/($I$248*SQRT(I254)))))^2</f>
        <v>1.8180721511353401E-2</v>
      </c>
      <c r="J255" s="155"/>
      <c r="K255" s="896"/>
      <c r="L255" s="897"/>
      <c r="M255" s="897"/>
      <c r="N255" s="89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30" t="s">
        <v>353</v>
      </c>
      <c r="C256" s="731"/>
      <c r="D256" s="731"/>
      <c r="E256" s="731"/>
      <c r="F256" s="731"/>
      <c r="G256" s="732"/>
      <c r="H256" s="909" t="s">
        <v>332</v>
      </c>
      <c r="I256" s="911">
        <f>I255*(I240/I242)*(I243^2)/(2*9.806)</f>
        <v>0.2900273164163919</v>
      </c>
      <c r="J256" s="841" t="s">
        <v>3</v>
      </c>
      <c r="K256" s="927"/>
      <c r="L256" s="928"/>
      <c r="M256" s="928"/>
      <c r="N256" s="929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33"/>
      <c r="C257" s="734"/>
      <c r="D257" s="734"/>
      <c r="E257" s="734"/>
      <c r="F257" s="734"/>
      <c r="G257" s="735"/>
      <c r="H257" s="910"/>
      <c r="I257" s="912"/>
      <c r="J257" s="842"/>
      <c r="K257" s="930"/>
      <c r="L257" s="931"/>
      <c r="M257" s="931"/>
      <c r="N257" s="932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333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98" t="s">
        <v>310</v>
      </c>
      <c r="C260" s="799"/>
      <c r="D260" s="799"/>
      <c r="E260" s="799"/>
      <c r="F260" s="799"/>
      <c r="G260" s="800"/>
      <c r="H260" s="960" t="str">
        <f>$H$238</f>
        <v>Acero al carbono API 5L SCH-40</v>
      </c>
      <c r="I260" s="961"/>
      <c r="J260" s="962"/>
      <c r="K260" s="896"/>
      <c r="L260" s="897"/>
      <c r="M260" s="897"/>
      <c r="N260" s="89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98" t="s">
        <v>334</v>
      </c>
      <c r="C261" s="799"/>
      <c r="D261" s="799"/>
      <c r="E261" s="799"/>
      <c r="F261" s="799"/>
      <c r="G261" s="800"/>
      <c r="H261" s="106" t="s">
        <v>335</v>
      </c>
      <c r="I261" s="218">
        <f>VLOOKUP(H260,BQ9:BS16,3,FALSE)</f>
        <v>140</v>
      </c>
      <c r="J261" s="155" t="s">
        <v>370</v>
      </c>
      <c r="K261" s="1052"/>
      <c r="L261" s="1053"/>
      <c r="M261" s="1053"/>
      <c r="N261" s="1054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98" t="s">
        <v>330</v>
      </c>
      <c r="C262" s="799"/>
      <c r="D262" s="799"/>
      <c r="E262" s="799"/>
      <c r="F262" s="799"/>
      <c r="G262" s="800"/>
      <c r="H262" s="106" t="s">
        <v>331</v>
      </c>
      <c r="I262" s="95">
        <f>I240</f>
        <v>20</v>
      </c>
      <c r="J262" s="108" t="s">
        <v>3</v>
      </c>
      <c r="K262" s="896"/>
      <c r="L262" s="897"/>
      <c r="M262" s="897"/>
      <c r="N262" s="89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98" t="s">
        <v>311</v>
      </c>
      <c r="C263" s="799"/>
      <c r="D263" s="799"/>
      <c r="E263" s="799"/>
      <c r="F263" s="799"/>
      <c r="G263" s="800"/>
      <c r="H263" s="106" t="s">
        <v>319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96"/>
      <c r="L263" s="897"/>
      <c r="M263" s="897"/>
      <c r="N263" s="89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98" t="s">
        <v>312</v>
      </c>
      <c r="C264" s="799"/>
      <c r="D264" s="799"/>
      <c r="E264" s="799"/>
      <c r="F264" s="799"/>
      <c r="G264" s="800"/>
      <c r="H264" s="106" t="s">
        <v>320</v>
      </c>
      <c r="I264" s="219">
        <f>$I$242</f>
        <v>0.255</v>
      </c>
      <c r="J264" s="108" t="s">
        <v>3</v>
      </c>
      <c r="K264" s="896"/>
      <c r="L264" s="897"/>
      <c r="M264" s="897"/>
      <c r="N264" s="89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825" t="s">
        <v>318</v>
      </c>
      <c r="C265" s="825"/>
      <c r="D265" s="825"/>
      <c r="E265" s="825"/>
      <c r="F265" s="825"/>
      <c r="G265" s="825"/>
      <c r="H265" s="106" t="s">
        <v>321</v>
      </c>
      <c r="I265" s="219">
        <f>I243</f>
        <v>1.9972385015453531</v>
      </c>
      <c r="J265" s="108" t="s">
        <v>5</v>
      </c>
      <c r="K265" s="1052"/>
      <c r="L265" s="1053"/>
      <c r="M265" s="1053"/>
      <c r="N265" s="1054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30" t="s">
        <v>337</v>
      </c>
      <c r="C266" s="731"/>
      <c r="D266" s="731"/>
      <c r="E266" s="731"/>
      <c r="F266" s="731"/>
      <c r="G266" s="732"/>
      <c r="H266" s="909" t="s">
        <v>338</v>
      </c>
      <c r="I266" s="911">
        <f>(I265/(0.354597213*I261*(I264^0.63)))^(1/0.54)</f>
        <v>1.2830211602756722E-2</v>
      </c>
      <c r="J266" s="841" t="s">
        <v>339</v>
      </c>
      <c r="K266" s="927"/>
      <c r="L266" s="928"/>
      <c r="M266" s="928"/>
      <c r="N266" s="929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33"/>
      <c r="C267" s="734"/>
      <c r="D267" s="734"/>
      <c r="E267" s="734"/>
      <c r="F267" s="734"/>
      <c r="G267" s="735"/>
      <c r="H267" s="910"/>
      <c r="I267" s="912"/>
      <c r="J267" s="842"/>
      <c r="K267" s="930"/>
      <c r="L267" s="931"/>
      <c r="M267" s="931"/>
      <c r="N267" s="932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711" t="s">
        <v>353</v>
      </c>
      <c r="C268" s="712"/>
      <c r="D268" s="712"/>
      <c r="E268" s="712"/>
      <c r="F268" s="712"/>
      <c r="G268" s="713"/>
      <c r="H268" s="106" t="s">
        <v>332</v>
      </c>
      <c r="I268" s="202">
        <f>I266*I262</f>
        <v>0.25660423205513444</v>
      </c>
      <c r="J268" s="155" t="s">
        <v>3</v>
      </c>
      <c r="K268" s="896"/>
      <c r="L268" s="897"/>
      <c r="M268" s="897"/>
      <c r="N268" s="898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348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1063" t="s">
        <v>298</v>
      </c>
      <c r="C271" s="1063"/>
      <c r="D271" s="1063"/>
      <c r="E271" s="1063"/>
      <c r="F271" s="1063"/>
      <c r="G271" s="1042"/>
      <c r="H271" s="1070" t="s">
        <v>344</v>
      </c>
      <c r="I271" s="1064" t="s">
        <v>340</v>
      </c>
      <c r="J271" s="1065" t="s">
        <v>362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1063"/>
      <c r="C272" s="1063"/>
      <c r="D272" s="1063"/>
      <c r="E272" s="1063"/>
      <c r="F272" s="1063"/>
      <c r="G272" s="1042"/>
      <c r="H272" s="1071"/>
      <c r="I272" s="1064"/>
      <c r="J272" s="1065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1063"/>
      <c r="C273" s="1063"/>
      <c r="D273" s="1063"/>
      <c r="E273" s="1063"/>
      <c r="F273" s="1063"/>
      <c r="G273" s="1042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1064"/>
      <c r="J273" s="1065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711" t="s">
        <v>302</v>
      </c>
      <c r="C274" s="712"/>
      <c r="D274" s="712"/>
      <c r="E274" s="712"/>
      <c r="F274" s="712"/>
      <c r="G274" s="713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711" t="s">
        <v>301</v>
      </c>
      <c r="C275" s="712"/>
      <c r="D275" s="712"/>
      <c r="E275" s="712"/>
      <c r="F275" s="712"/>
      <c r="G275" s="713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711" t="s">
        <v>303</v>
      </c>
      <c r="C276" s="712"/>
      <c r="D276" s="712"/>
      <c r="E276" s="712"/>
      <c r="F276" s="712"/>
      <c r="G276" s="713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711" t="s">
        <v>304</v>
      </c>
      <c r="C277" s="712"/>
      <c r="D277" s="712"/>
      <c r="E277" s="712"/>
      <c r="F277" s="712"/>
      <c r="G277" s="713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711" t="s">
        <v>307</v>
      </c>
      <c r="C278" s="712"/>
      <c r="D278" s="712"/>
      <c r="E278" s="712"/>
      <c r="F278" s="712"/>
      <c r="G278" s="713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711" t="s">
        <v>305</v>
      </c>
      <c r="C279" s="712"/>
      <c r="D279" s="712"/>
      <c r="E279" s="712"/>
      <c r="F279" s="712"/>
      <c r="G279" s="713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711" t="s">
        <v>343</v>
      </c>
      <c r="C280" s="712"/>
      <c r="D280" s="712"/>
      <c r="E280" s="712"/>
      <c r="F280" s="712"/>
      <c r="G280" s="713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825" t="s">
        <v>349</v>
      </c>
      <c r="C282" s="825"/>
      <c r="D282" s="825"/>
      <c r="E282" s="825"/>
      <c r="F282" s="825"/>
      <c r="G282" s="825"/>
      <c r="H282" s="248" t="s">
        <v>352</v>
      </c>
      <c r="I282" s="95">
        <f>SUM(J274:J280)</f>
        <v>3.31</v>
      </c>
      <c r="J282" s="244" t="s">
        <v>370</v>
      </c>
      <c r="K282" s="933"/>
      <c r="L282" s="933"/>
      <c r="M282" s="933"/>
      <c r="N282" s="933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825" t="s">
        <v>350</v>
      </c>
      <c r="C283" s="825"/>
      <c r="D283" s="825"/>
      <c r="E283" s="825"/>
      <c r="F283" s="825"/>
      <c r="G283" s="825"/>
      <c r="H283" s="938" t="s">
        <v>351</v>
      </c>
      <c r="I283" s="939">
        <f>I282*I245</f>
        <v>0.67323388752307134</v>
      </c>
      <c r="J283" s="1008" t="s">
        <v>3</v>
      </c>
      <c r="K283" s="933"/>
      <c r="L283" s="933"/>
      <c r="M283" s="933"/>
      <c r="N283" s="933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825"/>
      <c r="C284" s="825"/>
      <c r="D284" s="825"/>
      <c r="E284" s="825"/>
      <c r="F284" s="825"/>
      <c r="G284" s="825"/>
      <c r="H284" s="938"/>
      <c r="I284" s="939"/>
      <c r="J284" s="1008"/>
      <c r="K284" s="933"/>
      <c r="L284" s="933"/>
      <c r="M284" s="933"/>
      <c r="N284" s="933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505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711" t="s">
        <v>123</v>
      </c>
      <c r="C287" s="712"/>
      <c r="D287" s="712"/>
      <c r="E287" s="712"/>
      <c r="F287" s="712"/>
      <c r="G287" s="713"/>
      <c r="H287" s="106" t="s">
        <v>363</v>
      </c>
      <c r="I287" s="202">
        <f>I222</f>
        <v>0.58079999999999998</v>
      </c>
      <c r="J287" s="155" t="s">
        <v>3</v>
      </c>
      <c r="K287" s="1051"/>
      <c r="L287" s="1051"/>
      <c r="M287" s="1051"/>
      <c r="N287" s="1051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711" t="s">
        <v>356</v>
      </c>
      <c r="C288" s="712"/>
      <c r="D288" s="712"/>
      <c r="E288" s="712"/>
      <c r="F288" s="712"/>
      <c r="G288" s="713"/>
      <c r="H288" s="106" t="s">
        <v>364</v>
      </c>
      <c r="I288" s="202">
        <f>I227</f>
        <v>0.11141198734635877</v>
      </c>
      <c r="J288" s="155" t="s">
        <v>3</v>
      </c>
      <c r="K288" s="1051"/>
      <c r="L288" s="1051"/>
      <c r="M288" s="1051"/>
      <c r="N288" s="1051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711" t="s">
        <v>360</v>
      </c>
      <c r="C289" s="712"/>
      <c r="D289" s="712"/>
      <c r="E289" s="712"/>
      <c r="F289" s="712"/>
      <c r="G289" s="713"/>
      <c r="H289" s="106" t="s">
        <v>361</v>
      </c>
      <c r="I289" s="202">
        <f>I234</f>
        <v>2.7684607803693799</v>
      </c>
      <c r="J289" s="155" t="s">
        <v>3</v>
      </c>
      <c r="K289" s="1051"/>
      <c r="L289" s="1051"/>
      <c r="M289" s="1051"/>
      <c r="N289" s="1051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711" t="s">
        <v>365</v>
      </c>
      <c r="C290" s="712"/>
      <c r="D290" s="712"/>
      <c r="E290" s="712"/>
      <c r="F290" s="712"/>
      <c r="G290" s="713"/>
      <c r="H290" s="106" t="s">
        <v>332</v>
      </c>
      <c r="I290" s="202">
        <f>IF(B290=DM8,I256,IF(B290=DM9,I268))</f>
        <v>0.2900273164163919</v>
      </c>
      <c r="J290" s="155" t="s">
        <v>3</v>
      </c>
      <c r="K290" s="1051"/>
      <c r="L290" s="1051"/>
      <c r="M290" s="1051"/>
      <c r="N290" s="1051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711" t="s">
        <v>368</v>
      </c>
      <c r="C291" s="712"/>
      <c r="D291" s="712"/>
      <c r="E291" s="712"/>
      <c r="F291" s="712"/>
      <c r="G291" s="713"/>
      <c r="H291" s="106" t="s">
        <v>351</v>
      </c>
      <c r="I291" s="202">
        <f>SUM(J274:J280)*I245</f>
        <v>0.67323388752307134</v>
      </c>
      <c r="J291" s="155" t="s">
        <v>3</v>
      </c>
      <c r="K291" s="1051"/>
      <c r="L291" s="1051"/>
      <c r="M291" s="1051"/>
      <c r="N291" s="1051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711" t="s">
        <v>369</v>
      </c>
      <c r="C292" s="712"/>
      <c r="D292" s="712"/>
      <c r="E292" s="712"/>
      <c r="F292" s="712"/>
      <c r="G292" s="713"/>
      <c r="H292" s="208" t="s">
        <v>392</v>
      </c>
      <c r="I292" s="202">
        <f>SUM(I287:I291)</f>
        <v>4.4239339716552024</v>
      </c>
      <c r="J292" s="155" t="s">
        <v>3</v>
      </c>
      <c r="K292" s="1051"/>
      <c r="L292" s="1051"/>
      <c r="M292" s="1051"/>
      <c r="N292" s="1051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458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1063" t="s">
        <v>450</v>
      </c>
      <c r="C295" s="1063"/>
      <c r="D295" s="1063"/>
      <c r="E295" s="1063"/>
      <c r="F295" s="1063"/>
      <c r="G295" s="1063"/>
      <c r="H295" s="1063"/>
      <c r="I295" s="1068" t="s">
        <v>451</v>
      </c>
      <c r="J295" s="1069" t="s">
        <v>449</v>
      </c>
      <c r="K295" s="919"/>
      <c r="L295" s="919"/>
      <c r="M295" s="919"/>
      <c r="N295" s="919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1063"/>
      <c r="C296" s="1063"/>
      <c r="D296" s="1063"/>
      <c r="E296" s="1063"/>
      <c r="F296" s="1063"/>
      <c r="G296" s="1063"/>
      <c r="H296" s="1063"/>
      <c r="I296" s="1068"/>
      <c r="J296" s="1069"/>
      <c r="K296" s="919"/>
      <c r="L296" s="919"/>
      <c r="M296" s="919"/>
      <c r="N296" s="919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825" t="s">
        <v>452</v>
      </c>
      <c r="C297" s="825"/>
      <c r="D297" s="825"/>
      <c r="E297" s="825"/>
      <c r="F297" s="825"/>
      <c r="G297" s="825"/>
      <c r="H297" s="257" t="s">
        <v>321</v>
      </c>
      <c r="I297" s="202" t="s">
        <v>264</v>
      </c>
      <c r="J297" s="202">
        <f>$I$243</f>
        <v>1.9972385015453531</v>
      </c>
      <c r="K297" s="906"/>
      <c r="L297" s="907"/>
      <c r="M297" s="907"/>
      <c r="N297" s="908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30" t="s">
        <v>456</v>
      </c>
      <c r="C298" s="731"/>
      <c r="D298" s="731"/>
      <c r="E298" s="731"/>
      <c r="F298" s="731"/>
      <c r="G298" s="732"/>
      <c r="H298" s="909" t="s">
        <v>454</v>
      </c>
      <c r="I298" s="911" t="s">
        <v>453</v>
      </c>
      <c r="J298" s="911">
        <f>$I$213/(VLOOKUP(I173,BG8:BH16,2,FALSE))</f>
        <v>1.0979188625043919</v>
      </c>
      <c r="K298" s="913"/>
      <c r="L298" s="914"/>
      <c r="M298" s="914"/>
      <c r="N298" s="915"/>
      <c r="O298" s="972" t="str">
        <f>IF(J298&lt;0.9,"Velocidad baja en el múltiple, seleccione otra sección",IF(J298&gt;2.4,"Velocidad alta en el múltiple, seleccione otra sección","¡Ok!"))</f>
        <v>¡Ok!</v>
      </c>
      <c r="P298" s="1051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33"/>
      <c r="C299" s="734"/>
      <c r="D299" s="734"/>
      <c r="E299" s="734"/>
      <c r="F299" s="734"/>
      <c r="G299" s="735"/>
      <c r="H299" s="910"/>
      <c r="I299" s="912"/>
      <c r="J299" s="912"/>
      <c r="K299" s="916"/>
      <c r="L299" s="917"/>
      <c r="M299" s="917"/>
      <c r="N299" s="918"/>
      <c r="O299" s="972"/>
      <c r="P299" s="1051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30" t="s">
        <v>457</v>
      </c>
      <c r="C300" s="731"/>
      <c r="D300" s="731"/>
      <c r="E300" s="731"/>
      <c r="F300" s="731"/>
      <c r="G300" s="732"/>
      <c r="H300" s="934" t="s">
        <v>455</v>
      </c>
      <c r="I300" s="911" t="s">
        <v>453</v>
      </c>
      <c r="J300" s="911">
        <f>$I$213/(VLOOKUP(I177,BB8:BC12,2,FALSE)*I178)</f>
        <v>1.7973176305515934</v>
      </c>
      <c r="K300" s="913"/>
      <c r="L300" s="914"/>
      <c r="M300" s="914"/>
      <c r="N300" s="915"/>
      <c r="O300" s="972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33"/>
      <c r="C301" s="734"/>
      <c r="D301" s="734"/>
      <c r="E301" s="734"/>
      <c r="F301" s="734"/>
      <c r="G301" s="735"/>
      <c r="H301" s="935"/>
      <c r="I301" s="912"/>
      <c r="J301" s="912"/>
      <c r="K301" s="916"/>
      <c r="L301" s="917"/>
      <c r="M301" s="917"/>
      <c r="N301" s="918"/>
      <c r="O301" s="972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524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510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515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825" t="s">
        <v>76</v>
      </c>
      <c r="C306" s="825"/>
      <c r="D306" s="825"/>
      <c r="E306" s="825"/>
      <c r="F306" s="825"/>
      <c r="G306" s="825"/>
      <c r="H306" s="80" t="s">
        <v>103</v>
      </c>
      <c r="I306" s="471">
        <f>$G$19/(24*60)</f>
        <v>8.3333333333333329E-2</v>
      </c>
      <c r="J306" s="108" t="s">
        <v>126</v>
      </c>
      <c r="K306" s="896"/>
      <c r="L306" s="897"/>
      <c r="M306" s="897"/>
      <c r="N306" s="898"/>
      <c r="O306" s="38"/>
      <c r="P306" s="711" t="s">
        <v>76</v>
      </c>
      <c r="Q306" s="712"/>
      <c r="R306" s="712"/>
      <c r="S306" s="712"/>
      <c r="T306" s="80" t="s">
        <v>509</v>
      </c>
      <c r="U306" s="471">
        <f>$G$20/(24*60)</f>
        <v>0.10416666666666667</v>
      </c>
      <c r="V306" s="472" t="s">
        <v>126</v>
      </c>
      <c r="W306" s="896"/>
      <c r="X306" s="897"/>
      <c r="Y306" s="897"/>
      <c r="Z306" s="898"/>
      <c r="AA306" s="38"/>
      <c r="AB306" s="38"/>
      <c r="AC306" s="38"/>
    </row>
    <row r="307" spans="2:29" s="47" customFormat="1" ht="20.100000000000001" customHeight="1">
      <c r="B307" s="711" t="s">
        <v>168</v>
      </c>
      <c r="C307" s="712"/>
      <c r="D307" s="712"/>
      <c r="E307" s="712"/>
      <c r="F307" s="712"/>
      <c r="G307" s="713"/>
      <c r="H307" s="80" t="s">
        <v>169</v>
      </c>
      <c r="I307" s="202">
        <f>SUM(G88:G92)</f>
        <v>0.44999999999999996</v>
      </c>
      <c r="J307" s="58" t="s">
        <v>3</v>
      </c>
      <c r="K307" s="896"/>
      <c r="L307" s="897"/>
      <c r="M307" s="897"/>
      <c r="N307" s="898"/>
      <c r="O307" s="38"/>
      <c r="P307" s="711" t="s">
        <v>168</v>
      </c>
      <c r="Q307" s="712"/>
      <c r="R307" s="712"/>
      <c r="S307" s="712"/>
      <c r="T307" s="80" t="s">
        <v>169</v>
      </c>
      <c r="U307" s="471">
        <f>SUM(G88:G92)</f>
        <v>0.44999999999999996</v>
      </c>
      <c r="V307" s="287" t="s">
        <v>3</v>
      </c>
      <c r="W307" s="896"/>
      <c r="X307" s="897"/>
      <c r="Y307" s="897"/>
      <c r="Z307" s="898"/>
      <c r="AA307" s="38"/>
      <c r="AB307" s="38"/>
      <c r="AC307" s="38"/>
    </row>
    <row r="308" spans="2:29" s="47" customFormat="1" ht="20.100000000000001" customHeight="1">
      <c r="B308" s="730" t="s">
        <v>170</v>
      </c>
      <c r="C308" s="731"/>
      <c r="D308" s="731"/>
      <c r="E308" s="731"/>
      <c r="F308" s="731"/>
      <c r="G308" s="732"/>
      <c r="H308" s="756" t="s">
        <v>171</v>
      </c>
      <c r="I308" s="911">
        <f>I306*I307/3</f>
        <v>1.2499999999999997E-2</v>
      </c>
      <c r="J308" s="756" t="s">
        <v>3</v>
      </c>
      <c r="K308" s="927"/>
      <c r="L308" s="928"/>
      <c r="M308" s="928"/>
      <c r="N308" s="929"/>
      <c r="O308" s="38"/>
      <c r="P308" s="730" t="s">
        <v>170</v>
      </c>
      <c r="Q308" s="731"/>
      <c r="R308" s="731"/>
      <c r="S308" s="731"/>
      <c r="T308" s="756" t="s">
        <v>517</v>
      </c>
      <c r="U308" s="822">
        <f>U306*U307/3</f>
        <v>1.5625E-2</v>
      </c>
      <c r="V308" s="756" t="s">
        <v>3</v>
      </c>
      <c r="W308" s="927"/>
      <c r="X308" s="928"/>
      <c r="Y308" s="928"/>
      <c r="Z308" s="929"/>
      <c r="AA308" s="38"/>
      <c r="AB308" s="38"/>
      <c r="AC308" s="38"/>
    </row>
    <row r="309" spans="2:29" s="47" customFormat="1" ht="20.100000000000001" customHeight="1">
      <c r="B309" s="733"/>
      <c r="C309" s="734"/>
      <c r="D309" s="734"/>
      <c r="E309" s="734"/>
      <c r="F309" s="734"/>
      <c r="G309" s="735"/>
      <c r="H309" s="757"/>
      <c r="I309" s="912"/>
      <c r="J309" s="757"/>
      <c r="K309" s="930"/>
      <c r="L309" s="931"/>
      <c r="M309" s="931"/>
      <c r="N309" s="932"/>
      <c r="O309" s="38"/>
      <c r="P309" s="733"/>
      <c r="Q309" s="734"/>
      <c r="R309" s="734"/>
      <c r="S309" s="734"/>
      <c r="T309" s="757"/>
      <c r="U309" s="823"/>
      <c r="V309" s="757"/>
      <c r="W309" s="930"/>
      <c r="X309" s="931"/>
      <c r="Y309" s="931"/>
      <c r="Z309" s="932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511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514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825" t="s">
        <v>76</v>
      </c>
      <c r="C312" s="825"/>
      <c r="D312" s="825"/>
      <c r="E312" s="825"/>
      <c r="F312" s="825"/>
      <c r="G312" s="825"/>
      <c r="H312" s="58" t="s">
        <v>374</v>
      </c>
      <c r="I312" s="220">
        <f>$G$19/(86400)</f>
        <v>1.3888888888888889E-3</v>
      </c>
      <c r="J312" s="108" t="s">
        <v>5</v>
      </c>
      <c r="K312" s="896"/>
      <c r="L312" s="897"/>
      <c r="M312" s="897"/>
      <c r="N312" s="898"/>
      <c r="O312" s="38"/>
      <c r="P312" s="825" t="s">
        <v>76</v>
      </c>
      <c r="Q312" s="825"/>
      <c r="R312" s="825"/>
      <c r="S312" s="711"/>
      <c r="T312" s="287" t="s">
        <v>518</v>
      </c>
      <c r="U312" s="220">
        <f>$G$20/(86400)</f>
        <v>1.736111111111111E-3</v>
      </c>
      <c r="V312" s="472" t="s">
        <v>5</v>
      </c>
      <c r="W312" s="896"/>
      <c r="X312" s="897"/>
      <c r="Y312" s="897"/>
      <c r="Z312" s="898"/>
      <c r="AA312" s="38"/>
      <c r="AB312" s="38"/>
      <c r="AC312" s="38"/>
    </row>
    <row r="313" spans="2:29" s="47" customFormat="1" ht="20.100000000000001" customHeight="1">
      <c r="B313" s="798" t="s">
        <v>358</v>
      </c>
      <c r="C313" s="799"/>
      <c r="D313" s="799"/>
      <c r="E313" s="799"/>
      <c r="F313" s="799"/>
      <c r="G313" s="800"/>
      <c r="H313" s="155" t="s">
        <v>44</v>
      </c>
      <c r="I313" s="155">
        <f>$I$232</f>
        <v>0.6</v>
      </c>
      <c r="J313" s="155"/>
      <c r="K313" s="896"/>
      <c r="L313" s="897"/>
      <c r="M313" s="897"/>
      <c r="N313" s="898"/>
      <c r="O313" s="38"/>
      <c r="P313" s="769" t="s">
        <v>358</v>
      </c>
      <c r="Q313" s="769"/>
      <c r="R313" s="769"/>
      <c r="S313" s="798"/>
      <c r="T313" s="475" t="s">
        <v>44</v>
      </c>
      <c r="U313" s="472">
        <f>$I$232</f>
        <v>0.6</v>
      </c>
      <c r="V313" s="475"/>
      <c r="W313" s="896"/>
      <c r="X313" s="897"/>
      <c r="Y313" s="897"/>
      <c r="Z313" s="898"/>
      <c r="AA313" s="38"/>
      <c r="AB313" s="38"/>
      <c r="AC313" s="38"/>
    </row>
    <row r="314" spans="2:29" s="47" customFormat="1" ht="20.100000000000001" customHeight="1">
      <c r="B314" s="798" t="s">
        <v>254</v>
      </c>
      <c r="C314" s="799"/>
      <c r="D314" s="799"/>
      <c r="E314" s="799"/>
      <c r="F314" s="799"/>
      <c r="G314" s="800"/>
      <c r="H314" s="114" t="s">
        <v>265</v>
      </c>
      <c r="I314" s="277">
        <f>$I$184</f>
        <v>2.8E-3</v>
      </c>
      <c r="J314" s="155"/>
      <c r="K314" s="896"/>
      <c r="L314" s="897"/>
      <c r="M314" s="897"/>
      <c r="N314" s="898"/>
      <c r="O314" s="38"/>
      <c r="P314" s="769" t="s">
        <v>254</v>
      </c>
      <c r="Q314" s="769"/>
      <c r="R314" s="769"/>
      <c r="S314" s="798"/>
      <c r="T314" s="114" t="s">
        <v>265</v>
      </c>
      <c r="U314" s="220">
        <f>$I$184</f>
        <v>2.8E-3</v>
      </c>
      <c r="V314" s="475"/>
      <c r="W314" s="896"/>
      <c r="X314" s="897"/>
      <c r="Y314" s="897"/>
      <c r="Z314" s="898"/>
      <c r="AA314" s="38"/>
      <c r="AB314" s="38"/>
      <c r="AC314" s="38"/>
    </row>
    <row r="315" spans="2:29" s="47" customFormat="1" ht="20.100000000000001" customHeight="1">
      <c r="B315" s="776" t="s">
        <v>436</v>
      </c>
      <c r="C315" s="777"/>
      <c r="D315" s="777"/>
      <c r="E315" s="777"/>
      <c r="F315" s="777"/>
      <c r="G315" s="778"/>
      <c r="H315" s="934" t="s">
        <v>443</v>
      </c>
      <c r="I315" s="822">
        <f>(1/(2*9.806))*(I312/(I313*I314))^2</f>
        <v>3.4849340124994715E-2</v>
      </c>
      <c r="J315" s="756" t="s">
        <v>3</v>
      </c>
      <c r="K315" s="927"/>
      <c r="L315" s="928"/>
      <c r="M315" s="928"/>
      <c r="N315" s="929"/>
      <c r="O315" s="38"/>
      <c r="P315" s="769" t="s">
        <v>436</v>
      </c>
      <c r="Q315" s="769"/>
      <c r="R315" s="769"/>
      <c r="S315" s="798"/>
      <c r="T315" s="934" t="s">
        <v>519</v>
      </c>
      <c r="U315" s="822">
        <f>(1/(2*9.806))*(U312/(U313*U314))^2</f>
        <v>5.4452093945304231E-2</v>
      </c>
      <c r="V315" s="756" t="s">
        <v>3</v>
      </c>
      <c r="W315" s="927"/>
      <c r="X315" s="928"/>
      <c r="Y315" s="928"/>
      <c r="Z315" s="929"/>
      <c r="AA315" s="38"/>
      <c r="AB315" s="38"/>
      <c r="AC315" s="38"/>
    </row>
    <row r="316" spans="2:29" s="47" customFormat="1" ht="20.100000000000001" customHeight="1">
      <c r="B316" s="779"/>
      <c r="C316" s="780"/>
      <c r="D316" s="780"/>
      <c r="E316" s="780"/>
      <c r="F316" s="780"/>
      <c r="G316" s="781"/>
      <c r="H316" s="935"/>
      <c r="I316" s="823"/>
      <c r="J316" s="757"/>
      <c r="K316" s="930"/>
      <c r="L316" s="931"/>
      <c r="M316" s="931"/>
      <c r="N316" s="932"/>
      <c r="O316" s="38"/>
      <c r="P316" s="769"/>
      <c r="Q316" s="769"/>
      <c r="R316" s="769"/>
      <c r="S316" s="798"/>
      <c r="T316" s="935"/>
      <c r="U316" s="823"/>
      <c r="V316" s="757"/>
      <c r="W316" s="930"/>
      <c r="X316" s="931"/>
      <c r="Y316" s="931"/>
      <c r="Z316" s="932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512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516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98" t="s">
        <v>426</v>
      </c>
      <c r="C319" s="799"/>
      <c r="D319" s="799"/>
      <c r="E319" s="799"/>
      <c r="F319" s="799"/>
      <c r="G319" s="800"/>
      <c r="H319" s="960" t="str">
        <f>$H$238</f>
        <v>Acero al carbono API 5L SCH-40</v>
      </c>
      <c r="I319" s="961"/>
      <c r="J319" s="962"/>
      <c r="K319" s="766"/>
      <c r="L319" s="767"/>
      <c r="M319" s="767"/>
      <c r="N319" s="768"/>
      <c r="O319" s="38"/>
      <c r="P319" s="769" t="s">
        <v>426</v>
      </c>
      <c r="Q319" s="769"/>
      <c r="R319" s="769"/>
      <c r="S319" s="798"/>
      <c r="T319" s="1120" t="str">
        <f>$H$238</f>
        <v>Acero al carbono API 5L SCH-40</v>
      </c>
      <c r="U319" s="1121"/>
      <c r="V319" s="1122"/>
      <c r="W319" s="766"/>
      <c r="X319" s="767"/>
      <c r="Y319" s="767"/>
      <c r="Z319" s="768"/>
      <c r="AA319" s="51"/>
      <c r="AB319" s="51"/>
      <c r="AC319" s="51"/>
    </row>
    <row r="320" spans="2:29" s="47" customFormat="1" ht="20.100000000000001" customHeight="1">
      <c r="B320" s="798" t="s">
        <v>323</v>
      </c>
      <c r="C320" s="799"/>
      <c r="D320" s="799"/>
      <c r="E320" s="799"/>
      <c r="F320" s="799"/>
      <c r="G320" s="800"/>
      <c r="H320" s="248" t="s">
        <v>329</v>
      </c>
      <c r="I320" s="220">
        <f>$I$239</f>
        <v>0.15</v>
      </c>
      <c r="J320" s="108" t="s">
        <v>128</v>
      </c>
      <c r="K320" s="393"/>
      <c r="L320" s="394"/>
      <c r="M320" s="394"/>
      <c r="N320" s="395"/>
      <c r="O320" s="38"/>
      <c r="P320" s="769" t="s">
        <v>323</v>
      </c>
      <c r="Q320" s="769"/>
      <c r="R320" s="769"/>
      <c r="S320" s="798"/>
      <c r="T320" s="470" t="s">
        <v>329</v>
      </c>
      <c r="U320" s="220">
        <f>$I$239</f>
        <v>0.15</v>
      </c>
      <c r="V320" s="472" t="s">
        <v>128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98" t="s">
        <v>427</v>
      </c>
      <c r="C321" s="799"/>
      <c r="D321" s="799"/>
      <c r="E321" s="799"/>
      <c r="F321" s="799"/>
      <c r="G321" s="800"/>
      <c r="H321" s="248" t="s">
        <v>431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98" t="s">
        <v>427</v>
      </c>
      <c r="Q321" s="799"/>
      <c r="R321" s="799"/>
      <c r="S321" s="799"/>
      <c r="T321" s="470" t="s">
        <v>431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98" t="s">
        <v>428</v>
      </c>
      <c r="C322" s="799"/>
      <c r="D322" s="799"/>
      <c r="E322" s="799"/>
      <c r="F322" s="799"/>
      <c r="G322" s="800"/>
      <c r="H322" s="248" t="s">
        <v>434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66"/>
      <c r="L322" s="767"/>
      <c r="M322" s="767"/>
      <c r="N322" s="768"/>
      <c r="O322" s="38"/>
      <c r="P322" s="798" t="s">
        <v>428</v>
      </c>
      <c r="Q322" s="799"/>
      <c r="R322" s="799"/>
      <c r="S322" s="799"/>
      <c r="T322" s="470" t="s">
        <v>434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66"/>
      <c r="X322" s="767"/>
      <c r="Y322" s="767"/>
      <c r="Z322" s="768"/>
      <c r="AA322" s="51"/>
      <c r="AB322" s="51"/>
      <c r="AC322" s="51"/>
    </row>
    <row r="323" spans="2:29" s="47" customFormat="1" ht="20.100000000000001" customHeight="1">
      <c r="B323" s="798" t="s">
        <v>429</v>
      </c>
      <c r="C323" s="799"/>
      <c r="D323" s="799"/>
      <c r="E323" s="799"/>
      <c r="F323" s="799"/>
      <c r="G323" s="800"/>
      <c r="H323" s="248" t="s">
        <v>432</v>
      </c>
      <c r="I323" s="249">
        <f>$I$242</f>
        <v>0.255</v>
      </c>
      <c r="J323" s="108" t="s">
        <v>3</v>
      </c>
      <c r="K323" s="766"/>
      <c r="L323" s="767"/>
      <c r="M323" s="767"/>
      <c r="N323" s="768"/>
      <c r="O323" s="38"/>
      <c r="P323" s="798" t="s">
        <v>429</v>
      </c>
      <c r="Q323" s="799"/>
      <c r="R323" s="799"/>
      <c r="S323" s="799"/>
      <c r="T323" s="470" t="s">
        <v>432</v>
      </c>
      <c r="U323" s="471">
        <f>$I$242</f>
        <v>0.255</v>
      </c>
      <c r="V323" s="472" t="s">
        <v>3</v>
      </c>
      <c r="W323" s="766"/>
      <c r="X323" s="767"/>
      <c r="Y323" s="767"/>
      <c r="Z323" s="768"/>
      <c r="AA323" s="51"/>
      <c r="AB323" s="51"/>
      <c r="AC323" s="51"/>
    </row>
    <row r="324" spans="2:29" s="47" customFormat="1" ht="20.100000000000001" customHeight="1">
      <c r="B324" s="798" t="s">
        <v>424</v>
      </c>
      <c r="C324" s="799"/>
      <c r="D324" s="799"/>
      <c r="E324" s="799"/>
      <c r="F324" s="799"/>
      <c r="G324" s="800"/>
      <c r="H324" s="241" t="s">
        <v>425</v>
      </c>
      <c r="I324" s="469">
        <f>$G$19/(86400)*I166</f>
        <v>1.1450400000000001E-2</v>
      </c>
      <c r="J324" s="239" t="s">
        <v>164</v>
      </c>
      <c r="K324" s="766"/>
      <c r="L324" s="767"/>
      <c r="M324" s="767"/>
      <c r="N324" s="768"/>
      <c r="O324" s="38"/>
      <c r="P324" s="798" t="s">
        <v>424</v>
      </c>
      <c r="Q324" s="799"/>
      <c r="R324" s="799"/>
      <c r="S324" s="799"/>
      <c r="T324" s="466" t="s">
        <v>520</v>
      </c>
      <c r="U324" s="469">
        <f>$G$20/(86400)*I166</f>
        <v>1.4313000000000001E-2</v>
      </c>
      <c r="V324" s="463" t="s">
        <v>164</v>
      </c>
      <c r="W324" s="766"/>
      <c r="X324" s="767"/>
      <c r="Y324" s="767"/>
      <c r="Z324" s="768"/>
      <c r="AA324" s="51"/>
      <c r="AB324" s="51"/>
      <c r="AC324" s="51"/>
    </row>
    <row r="325" spans="2:29" s="47" customFormat="1" ht="20.100000000000001" customHeight="1">
      <c r="B325" s="730" t="s">
        <v>430</v>
      </c>
      <c r="C325" s="731"/>
      <c r="D325" s="731"/>
      <c r="E325" s="731"/>
      <c r="F325" s="731"/>
      <c r="G325" s="732"/>
      <c r="H325" s="909" t="s">
        <v>433</v>
      </c>
      <c r="I325" s="822">
        <f>(4*I324)/(PI()*(I323^2))</f>
        <v>0.22420764449112662</v>
      </c>
      <c r="J325" s="720" t="s">
        <v>5</v>
      </c>
      <c r="K325" s="792"/>
      <c r="L325" s="793"/>
      <c r="M325" s="793"/>
      <c r="N325" s="794"/>
      <c r="O325" s="38"/>
      <c r="P325" s="730" t="s">
        <v>430</v>
      </c>
      <c r="Q325" s="731"/>
      <c r="R325" s="731"/>
      <c r="S325" s="731"/>
      <c r="T325" s="909" t="s">
        <v>521</v>
      </c>
      <c r="U325" s="822">
        <f>(4*U324)/(PI()*(U323^2))</f>
        <v>0.28025955561390825</v>
      </c>
      <c r="V325" s="720" t="s">
        <v>5</v>
      </c>
      <c r="W325" s="792"/>
      <c r="X325" s="793"/>
      <c r="Y325" s="793"/>
      <c r="Z325" s="794"/>
      <c r="AA325" s="51"/>
      <c r="AB325" s="51"/>
      <c r="AC325" s="51"/>
    </row>
    <row r="326" spans="2:29" s="47" customFormat="1" ht="20.100000000000001" customHeight="1">
      <c r="B326" s="733"/>
      <c r="C326" s="734"/>
      <c r="D326" s="734"/>
      <c r="E326" s="734"/>
      <c r="F326" s="734"/>
      <c r="G326" s="735"/>
      <c r="H326" s="910"/>
      <c r="I326" s="823"/>
      <c r="J326" s="721"/>
      <c r="K326" s="795"/>
      <c r="L326" s="796"/>
      <c r="M326" s="796"/>
      <c r="N326" s="797"/>
      <c r="O326" s="38"/>
      <c r="P326" s="733"/>
      <c r="Q326" s="734"/>
      <c r="R326" s="734"/>
      <c r="S326" s="734"/>
      <c r="T326" s="910"/>
      <c r="U326" s="823"/>
      <c r="V326" s="721"/>
      <c r="W326" s="795"/>
      <c r="X326" s="796"/>
      <c r="Y326" s="796"/>
      <c r="Z326" s="797"/>
      <c r="AA326" s="51"/>
      <c r="AB326" s="51"/>
      <c r="AC326" s="51"/>
    </row>
    <row r="327" spans="2:29" s="47" customFormat="1" ht="20.100000000000001" customHeight="1">
      <c r="B327" s="730" t="s">
        <v>347</v>
      </c>
      <c r="C327" s="731"/>
      <c r="D327" s="731"/>
      <c r="E327" s="731"/>
      <c r="F327" s="731"/>
      <c r="G327" s="732"/>
      <c r="H327" s="909"/>
      <c r="I327" s="822">
        <f>(I325^2)/(2*9.806)</f>
        <v>2.5631790662991754E-3</v>
      </c>
      <c r="J327" s="720" t="s">
        <v>3</v>
      </c>
      <c r="K327" s="792"/>
      <c r="L327" s="793"/>
      <c r="M327" s="793"/>
      <c r="N327" s="794"/>
      <c r="O327" s="38"/>
      <c r="P327" s="730" t="s">
        <v>347</v>
      </c>
      <c r="Q327" s="731"/>
      <c r="R327" s="731"/>
      <c r="S327" s="731"/>
      <c r="T327" s="909"/>
      <c r="U327" s="822">
        <f>(U325^2)/(2*9.806)</f>
        <v>4.0049672910924608E-3</v>
      </c>
      <c r="V327" s="720" t="s">
        <v>3</v>
      </c>
      <c r="W327" s="792"/>
      <c r="X327" s="793"/>
      <c r="Y327" s="793"/>
      <c r="Z327" s="794"/>
      <c r="AA327" s="51"/>
      <c r="AB327" s="51"/>
      <c r="AC327" s="51"/>
    </row>
    <row r="328" spans="2:29" s="47" customFormat="1" ht="20.100000000000001" customHeight="1">
      <c r="B328" s="733"/>
      <c r="C328" s="734"/>
      <c r="D328" s="734"/>
      <c r="E328" s="734"/>
      <c r="F328" s="734"/>
      <c r="G328" s="735"/>
      <c r="H328" s="910"/>
      <c r="I328" s="823"/>
      <c r="J328" s="721"/>
      <c r="K328" s="795"/>
      <c r="L328" s="796"/>
      <c r="M328" s="796"/>
      <c r="N328" s="797"/>
      <c r="O328" s="38"/>
      <c r="P328" s="733"/>
      <c r="Q328" s="734"/>
      <c r="R328" s="734"/>
      <c r="S328" s="734"/>
      <c r="T328" s="910"/>
      <c r="U328" s="823"/>
      <c r="V328" s="721"/>
      <c r="W328" s="795"/>
      <c r="X328" s="796"/>
      <c r="Y328" s="796"/>
      <c r="Z328" s="797"/>
      <c r="AA328" s="51"/>
      <c r="AB328" s="51"/>
      <c r="AC328" s="51"/>
    </row>
    <row r="329" spans="2:29" s="47" customFormat="1" ht="20.100000000000001" customHeight="1">
      <c r="B329" s="711" t="str">
        <f>B33</f>
        <v>Viscocidad cinemática del agua a 20 °C</v>
      </c>
      <c r="C329" s="712"/>
      <c r="D329" s="712"/>
      <c r="E329" s="712"/>
      <c r="F329" s="712"/>
      <c r="G329" s="713"/>
      <c r="H329" s="18" t="s">
        <v>2</v>
      </c>
      <c r="I329" s="234">
        <f>$I$33</f>
        <v>1.0070000000000001E-6</v>
      </c>
      <c r="J329" s="79" t="s">
        <v>167</v>
      </c>
      <c r="K329" s="766"/>
      <c r="L329" s="767"/>
      <c r="M329" s="767"/>
      <c r="N329" s="768"/>
      <c r="O329" s="38"/>
      <c r="P329" s="711" t="str">
        <f>B33</f>
        <v>Viscocidad cinemática del agua a 20 °C</v>
      </c>
      <c r="Q329" s="712"/>
      <c r="R329" s="712"/>
      <c r="S329" s="712"/>
      <c r="T329" s="18" t="s">
        <v>2</v>
      </c>
      <c r="U329" s="234">
        <f>$I$33</f>
        <v>1.0070000000000001E-6</v>
      </c>
      <c r="V329" s="79" t="s">
        <v>167</v>
      </c>
      <c r="W329" s="766"/>
      <c r="X329" s="767"/>
      <c r="Y329" s="767"/>
      <c r="Z329" s="768"/>
      <c r="AA329" s="51"/>
      <c r="AB329" s="51"/>
      <c r="AC329" s="51"/>
    </row>
    <row r="330" spans="2:29" s="47" customFormat="1" ht="20.100000000000001" customHeight="1">
      <c r="B330" s="730" t="s">
        <v>53</v>
      </c>
      <c r="C330" s="731"/>
      <c r="D330" s="731"/>
      <c r="E330" s="731"/>
      <c r="F330" s="731"/>
      <c r="G330" s="732"/>
      <c r="H330" s="720" t="s">
        <v>1</v>
      </c>
      <c r="I330" s="936">
        <f>I325*I323/I329</f>
        <v>56775.520700334942</v>
      </c>
      <c r="J330" s="841"/>
      <c r="K330" s="927"/>
      <c r="L330" s="928"/>
      <c r="M330" s="928"/>
      <c r="N330" s="929"/>
      <c r="O330" s="38"/>
      <c r="P330" s="730" t="s">
        <v>53</v>
      </c>
      <c r="Q330" s="731"/>
      <c r="R330" s="731"/>
      <c r="S330" s="731"/>
      <c r="T330" s="720" t="s">
        <v>522</v>
      </c>
      <c r="U330" s="909">
        <f>U325*U323/U329</f>
        <v>70969.40087541868</v>
      </c>
      <c r="V330" s="841"/>
      <c r="W330" s="927"/>
      <c r="X330" s="928"/>
      <c r="Y330" s="928"/>
      <c r="Z330" s="929"/>
      <c r="AA330" s="38"/>
      <c r="AB330" s="38"/>
      <c r="AC330" s="38"/>
    </row>
    <row r="331" spans="2:29" s="47" customFormat="1" ht="20.100000000000001" customHeight="1">
      <c r="B331" s="733"/>
      <c r="C331" s="734"/>
      <c r="D331" s="734"/>
      <c r="E331" s="734"/>
      <c r="F331" s="734"/>
      <c r="G331" s="735"/>
      <c r="H331" s="721"/>
      <c r="I331" s="937"/>
      <c r="J331" s="842"/>
      <c r="K331" s="930"/>
      <c r="L331" s="931"/>
      <c r="M331" s="931"/>
      <c r="N331" s="932"/>
      <c r="O331" s="38"/>
      <c r="P331" s="733"/>
      <c r="Q331" s="734"/>
      <c r="R331" s="734"/>
      <c r="S331" s="734"/>
      <c r="T331" s="721"/>
      <c r="U331" s="910"/>
      <c r="V331" s="842"/>
      <c r="W331" s="930"/>
      <c r="X331" s="931"/>
      <c r="Y331" s="931"/>
      <c r="Z331" s="932"/>
      <c r="AA331" s="38"/>
      <c r="AB331" s="38"/>
      <c r="AC331" s="38"/>
    </row>
    <row r="332" spans="2:29" s="47" customFormat="1" ht="20.100000000000001" customHeight="1">
      <c r="B332" s="711" t="s">
        <v>324</v>
      </c>
      <c r="C332" s="712"/>
      <c r="D332" s="712"/>
      <c r="E332" s="712"/>
      <c r="F332" s="712"/>
      <c r="G332" s="713"/>
      <c r="H332" s="240" t="s">
        <v>322</v>
      </c>
      <c r="I332" s="315">
        <v>0.02</v>
      </c>
      <c r="J332" s="243"/>
      <c r="K332" s="396"/>
      <c r="L332" s="397"/>
      <c r="M332" s="397"/>
      <c r="N332" s="398"/>
      <c r="O332" s="38"/>
      <c r="P332" s="711" t="s">
        <v>324</v>
      </c>
      <c r="Q332" s="712"/>
      <c r="R332" s="712"/>
      <c r="S332" s="712"/>
      <c r="T332" s="464" t="s">
        <v>322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30" t="s">
        <v>325</v>
      </c>
      <c r="C333" s="731"/>
      <c r="D333" s="731"/>
      <c r="E333" s="731"/>
      <c r="F333" s="731"/>
      <c r="G333" s="732"/>
      <c r="H333" s="720" t="s">
        <v>322</v>
      </c>
      <c r="I333" s="1081">
        <f>(1/(-2*LOG10(($I$320/1000)/(3.7*$I$323)+2.51/($I$330*SQRT(I332)))))^2</f>
        <v>2.2593395766311853E-2</v>
      </c>
      <c r="J333" s="841"/>
      <c r="K333" s="1057"/>
      <c r="L333" s="1058"/>
      <c r="M333" s="1058"/>
      <c r="N333" s="1059"/>
      <c r="O333" s="38"/>
      <c r="P333" s="730" t="s">
        <v>325</v>
      </c>
      <c r="Q333" s="731"/>
      <c r="R333" s="731"/>
      <c r="S333" s="731"/>
      <c r="T333" s="720" t="s">
        <v>322</v>
      </c>
      <c r="U333" s="759">
        <f>(1/(-2*LOG10(($U$320/1000)/(3.7*$U$323)+2.51/($U$330*SQRT(U332)))))^2</f>
        <v>2.1777129747930991E-2</v>
      </c>
      <c r="V333" s="841"/>
      <c r="W333" s="1057"/>
      <c r="X333" s="1058"/>
      <c r="Y333" s="1058"/>
      <c r="Z333" s="1059"/>
      <c r="AA333" s="38"/>
      <c r="AB333" s="38"/>
      <c r="AC333" s="38"/>
    </row>
    <row r="334" spans="2:29" s="47" customFormat="1" ht="20.100000000000001" customHeight="1">
      <c r="B334" s="733"/>
      <c r="C334" s="734"/>
      <c r="D334" s="734"/>
      <c r="E334" s="734"/>
      <c r="F334" s="734"/>
      <c r="G334" s="735"/>
      <c r="H334" s="721"/>
      <c r="I334" s="1082"/>
      <c r="J334" s="842"/>
      <c r="K334" s="1060"/>
      <c r="L334" s="1061"/>
      <c r="M334" s="1061"/>
      <c r="N334" s="1062"/>
      <c r="O334" s="38"/>
      <c r="P334" s="733"/>
      <c r="Q334" s="734"/>
      <c r="R334" s="734"/>
      <c r="S334" s="734"/>
      <c r="T334" s="721"/>
      <c r="U334" s="760"/>
      <c r="V334" s="842"/>
      <c r="W334" s="1060"/>
      <c r="X334" s="1061"/>
      <c r="Y334" s="1061"/>
      <c r="Z334" s="1062"/>
      <c r="AA334" s="38"/>
      <c r="AB334" s="38"/>
      <c r="AC334" s="38"/>
    </row>
    <row r="335" spans="2:29" s="47" customFormat="1" ht="20.100000000000001" customHeight="1">
      <c r="B335" s="711" t="s">
        <v>326</v>
      </c>
      <c r="C335" s="712"/>
      <c r="D335" s="712"/>
      <c r="E335" s="712"/>
      <c r="F335" s="712"/>
      <c r="G335" s="713"/>
      <c r="H335" s="240" t="s">
        <v>322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711" t="s">
        <v>326</v>
      </c>
      <c r="Q335" s="712"/>
      <c r="R335" s="712"/>
      <c r="S335" s="712"/>
      <c r="T335" s="464" t="s">
        <v>322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711" t="s">
        <v>327</v>
      </c>
      <c r="C336" s="712"/>
      <c r="D336" s="712"/>
      <c r="E336" s="712"/>
      <c r="F336" s="712"/>
      <c r="G336" s="713"/>
      <c r="H336" s="240" t="s">
        <v>322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711" t="s">
        <v>327</v>
      </c>
      <c r="Q336" s="712"/>
      <c r="R336" s="712"/>
      <c r="S336" s="712"/>
      <c r="T336" s="464" t="s">
        <v>322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711" t="s">
        <v>328</v>
      </c>
      <c r="C337" s="712"/>
      <c r="D337" s="712"/>
      <c r="E337" s="712"/>
      <c r="F337" s="712"/>
      <c r="G337" s="713"/>
      <c r="H337" s="240" t="s">
        <v>322</v>
      </c>
      <c r="I337" s="250">
        <f>(1/(-2*LOG10(($I$320/1000)/(3.7*$I$323)+2.51/($I$330*SQRT(I336)))))^2</f>
        <v>2.2377294930956939E-2</v>
      </c>
      <c r="J337" s="155"/>
      <c r="K337" s="896"/>
      <c r="L337" s="897"/>
      <c r="M337" s="897"/>
      <c r="N337" s="898"/>
      <c r="O337" s="38"/>
      <c r="P337" s="711" t="s">
        <v>328</v>
      </c>
      <c r="Q337" s="712"/>
      <c r="R337" s="712"/>
      <c r="S337" s="712"/>
      <c r="T337" s="464" t="s">
        <v>322</v>
      </c>
      <c r="U337" s="499">
        <f>(1/(-2*LOG10(($U$320/1000)/(3.7*$U$323)+2.51/($U$330*SQRT(U336)))))^2</f>
        <v>2.1643915487188834E-2</v>
      </c>
      <c r="V337" s="475"/>
      <c r="W337" s="896"/>
      <c r="X337" s="897"/>
      <c r="Y337" s="897"/>
      <c r="Z337" s="898"/>
      <c r="AA337" s="38"/>
      <c r="AB337" s="38"/>
      <c r="AC337" s="38"/>
    </row>
    <row r="338" spans="2:29" s="47" customFormat="1" ht="20.100000000000001" customHeight="1">
      <c r="B338" s="730" t="s">
        <v>435</v>
      </c>
      <c r="C338" s="731"/>
      <c r="D338" s="731"/>
      <c r="E338" s="731"/>
      <c r="F338" s="731"/>
      <c r="G338" s="732"/>
      <c r="H338" s="909" t="s">
        <v>444</v>
      </c>
      <c r="I338" s="1066">
        <f>I337*(I321/I323)*I327</f>
        <v>3.3739419957312628E-4</v>
      </c>
      <c r="J338" s="841" t="s">
        <v>3</v>
      </c>
      <c r="K338" s="927"/>
      <c r="L338" s="928"/>
      <c r="M338" s="928"/>
      <c r="N338" s="929"/>
      <c r="O338" s="38"/>
      <c r="P338" s="730" t="s">
        <v>435</v>
      </c>
      <c r="Q338" s="731"/>
      <c r="R338" s="731"/>
      <c r="S338" s="731"/>
      <c r="T338" s="909" t="s">
        <v>506</v>
      </c>
      <c r="U338" s="1118">
        <f>U337*(U321/U323)*U327</f>
        <v>5.0990102104329894E-4</v>
      </c>
      <c r="V338" s="841" t="s">
        <v>3</v>
      </c>
      <c r="W338" s="927"/>
      <c r="X338" s="928"/>
      <c r="Y338" s="928"/>
      <c r="Z338" s="929"/>
      <c r="AA338" s="38"/>
      <c r="AB338" s="38"/>
      <c r="AC338" s="38"/>
    </row>
    <row r="339" spans="2:29" s="47" customFormat="1" ht="20.100000000000001" customHeight="1">
      <c r="B339" s="733"/>
      <c r="C339" s="734"/>
      <c r="D339" s="734"/>
      <c r="E339" s="734"/>
      <c r="F339" s="734"/>
      <c r="G339" s="735"/>
      <c r="H339" s="910"/>
      <c r="I339" s="1067"/>
      <c r="J339" s="842"/>
      <c r="K339" s="930"/>
      <c r="L339" s="931"/>
      <c r="M339" s="931"/>
      <c r="N339" s="932"/>
      <c r="O339" s="38"/>
      <c r="P339" s="733"/>
      <c r="Q339" s="734"/>
      <c r="R339" s="734"/>
      <c r="S339" s="734"/>
      <c r="T339" s="910"/>
      <c r="U339" s="1119"/>
      <c r="V339" s="842"/>
      <c r="W339" s="930"/>
      <c r="X339" s="931"/>
      <c r="Y339" s="931"/>
      <c r="Z339" s="932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513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523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1063" t="s">
        <v>298</v>
      </c>
      <c r="C342" s="1063"/>
      <c r="D342" s="1063"/>
      <c r="E342" s="1063"/>
      <c r="F342" s="1063"/>
      <c r="G342" s="1042"/>
      <c r="H342" s="1070" t="s">
        <v>344</v>
      </c>
      <c r="I342" s="1064" t="s">
        <v>340</v>
      </c>
      <c r="J342" s="1065" t="s">
        <v>362</v>
      </c>
      <c r="K342" s="205"/>
      <c r="L342" s="81"/>
      <c r="M342" s="81"/>
      <c r="N342" s="245"/>
      <c r="O342" s="38"/>
      <c r="P342" s="1111" t="s">
        <v>298</v>
      </c>
      <c r="Q342" s="1123"/>
      <c r="R342" s="1123"/>
      <c r="S342" s="1112"/>
      <c r="T342" s="1070" t="s">
        <v>344</v>
      </c>
      <c r="U342" s="1064" t="s">
        <v>340</v>
      </c>
      <c r="V342" s="1065" t="s">
        <v>362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1063"/>
      <c r="C343" s="1063"/>
      <c r="D343" s="1063"/>
      <c r="E343" s="1063"/>
      <c r="F343" s="1063"/>
      <c r="G343" s="1042"/>
      <c r="H343" s="1071"/>
      <c r="I343" s="1064"/>
      <c r="J343" s="1065"/>
      <c r="K343" s="205"/>
      <c r="L343" s="38"/>
      <c r="M343" s="38"/>
      <c r="N343" s="245"/>
      <c r="O343" s="38"/>
      <c r="P343" s="1113"/>
      <c r="Q343" s="1124"/>
      <c r="R343" s="1124"/>
      <c r="S343" s="1114"/>
      <c r="T343" s="1071"/>
      <c r="U343" s="1064"/>
      <c r="V343" s="1065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1063"/>
      <c r="C344" s="1063"/>
      <c r="D344" s="1063"/>
      <c r="E344" s="1063"/>
      <c r="F344" s="1063"/>
      <c r="G344" s="1042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1064"/>
      <c r="J344" s="1065"/>
      <c r="K344" s="206"/>
      <c r="L344" s="38"/>
      <c r="M344" s="38"/>
      <c r="N344" s="245"/>
      <c r="O344" s="38"/>
      <c r="P344" s="1115"/>
      <c r="Q344" s="1125"/>
      <c r="R344" s="1125"/>
      <c r="S344" s="1116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1064"/>
      <c r="V344" s="1065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711" t="s">
        <v>302</v>
      </c>
      <c r="C345" s="712"/>
      <c r="D345" s="712"/>
      <c r="E345" s="712"/>
      <c r="F345" s="712"/>
      <c r="G345" s="713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302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711" t="s">
        <v>303</v>
      </c>
      <c r="C346" s="712"/>
      <c r="D346" s="712"/>
      <c r="E346" s="712"/>
      <c r="F346" s="712"/>
      <c r="G346" s="713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303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711" t="s">
        <v>305</v>
      </c>
      <c r="C347" s="712"/>
      <c r="D347" s="712"/>
      <c r="E347" s="712"/>
      <c r="F347" s="712"/>
      <c r="G347" s="713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305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711" t="s">
        <v>343</v>
      </c>
      <c r="C348" s="712"/>
      <c r="D348" s="712"/>
      <c r="E348" s="712"/>
      <c r="F348" s="712"/>
      <c r="G348" s="713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343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825" t="s">
        <v>349</v>
      </c>
      <c r="C350" s="825"/>
      <c r="D350" s="825"/>
      <c r="E350" s="825"/>
      <c r="F350" s="825"/>
      <c r="G350" s="825"/>
      <c r="H350" s="257" t="s">
        <v>352</v>
      </c>
      <c r="I350" s="95">
        <f>SUM(J345:J348)</f>
        <v>1.8900000000000001</v>
      </c>
      <c r="J350" s="108" t="s">
        <v>370</v>
      </c>
      <c r="K350" s="933"/>
      <c r="L350" s="933"/>
      <c r="M350" s="933"/>
      <c r="N350" s="933"/>
      <c r="O350" s="38"/>
      <c r="P350" s="825" t="s">
        <v>349</v>
      </c>
      <c r="Q350" s="825"/>
      <c r="R350" s="825"/>
      <c r="S350" s="711"/>
      <c r="T350" s="470" t="s">
        <v>352</v>
      </c>
      <c r="U350" s="474">
        <f>SUM(V345:V348)</f>
        <v>1.8900000000000001</v>
      </c>
      <c r="V350" s="472" t="s">
        <v>370</v>
      </c>
      <c r="W350" s="933"/>
      <c r="X350" s="933"/>
      <c r="Y350" s="933"/>
      <c r="Z350" s="933"/>
      <c r="AA350" s="38"/>
      <c r="AB350" s="38"/>
      <c r="AC350" s="38"/>
    </row>
    <row r="351" spans="2:29" s="47" customFormat="1" ht="20.100000000000001" customHeight="1">
      <c r="B351" s="825" t="s">
        <v>504</v>
      </c>
      <c r="C351" s="825"/>
      <c r="D351" s="825"/>
      <c r="E351" s="825"/>
      <c r="F351" s="825"/>
      <c r="G351" s="825"/>
      <c r="H351" s="938" t="s">
        <v>445</v>
      </c>
      <c r="I351" s="939">
        <f>I350*I327</f>
        <v>4.8444084353054416E-3</v>
      </c>
      <c r="J351" s="824" t="s">
        <v>3</v>
      </c>
      <c r="K351" s="933"/>
      <c r="L351" s="933"/>
      <c r="M351" s="933"/>
      <c r="N351" s="933"/>
      <c r="O351" s="38"/>
      <c r="P351" s="825" t="s">
        <v>504</v>
      </c>
      <c r="Q351" s="825"/>
      <c r="R351" s="825"/>
      <c r="S351" s="711"/>
      <c r="T351" s="938" t="s">
        <v>507</v>
      </c>
      <c r="U351" s="939">
        <f>U350*U327</f>
        <v>7.569388180164751E-3</v>
      </c>
      <c r="V351" s="824" t="s">
        <v>3</v>
      </c>
      <c r="W351" s="933"/>
      <c r="X351" s="933"/>
      <c r="Y351" s="933"/>
      <c r="Z351" s="933"/>
      <c r="AA351" s="38"/>
      <c r="AB351" s="38"/>
      <c r="AC351" s="38"/>
    </row>
    <row r="352" spans="2:29" s="47" customFormat="1" ht="20.100000000000001" customHeight="1">
      <c r="B352" s="825"/>
      <c r="C352" s="825"/>
      <c r="D352" s="825"/>
      <c r="E352" s="825"/>
      <c r="F352" s="825"/>
      <c r="G352" s="825"/>
      <c r="H352" s="938"/>
      <c r="I352" s="939"/>
      <c r="J352" s="824"/>
      <c r="K352" s="933"/>
      <c r="L352" s="933"/>
      <c r="M352" s="933"/>
      <c r="N352" s="933"/>
      <c r="O352" s="38"/>
      <c r="P352" s="825"/>
      <c r="Q352" s="825"/>
      <c r="R352" s="825"/>
      <c r="S352" s="711"/>
      <c r="T352" s="938"/>
      <c r="U352" s="939"/>
      <c r="V352" s="824"/>
      <c r="W352" s="933"/>
      <c r="X352" s="933"/>
      <c r="Y352" s="933"/>
      <c r="Z352" s="933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539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544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711" t="s">
        <v>439</v>
      </c>
      <c r="C355" s="712"/>
      <c r="D355" s="712"/>
      <c r="E355" s="712"/>
      <c r="F355" s="712"/>
      <c r="G355" s="713"/>
      <c r="H355" s="248" t="s">
        <v>437</v>
      </c>
      <c r="I355" s="202" t="str">
        <f>LEFT(W117,5)</f>
        <v>0,198</v>
      </c>
      <c r="J355" s="155" t="s">
        <v>3</v>
      </c>
      <c r="K355" s="933"/>
      <c r="L355" s="933"/>
      <c r="M355" s="933"/>
      <c r="N355" s="933"/>
      <c r="O355" s="38"/>
      <c r="P355" s="825" t="s">
        <v>439</v>
      </c>
      <c r="Q355" s="825"/>
      <c r="R355" s="825"/>
      <c r="S355" s="711"/>
      <c r="T355" s="470" t="s">
        <v>526</v>
      </c>
      <c r="U355" s="202" t="str">
        <f>LEFT(W135,5)</f>
        <v>0,251</v>
      </c>
      <c r="V355" s="475" t="s">
        <v>3</v>
      </c>
      <c r="W355" s="933"/>
      <c r="X355" s="933"/>
      <c r="Y355" s="933"/>
      <c r="Z355" s="933"/>
      <c r="AA355" s="38"/>
      <c r="AB355" s="38"/>
      <c r="AC355" s="38"/>
    </row>
    <row r="356" spans="2:29" s="47" customFormat="1" ht="20.100000000000001" customHeight="1">
      <c r="B356" s="711" t="s">
        <v>438</v>
      </c>
      <c r="C356" s="712"/>
      <c r="D356" s="712"/>
      <c r="E356" s="712"/>
      <c r="F356" s="712"/>
      <c r="G356" s="713"/>
      <c r="H356" s="248" t="s">
        <v>446</v>
      </c>
      <c r="I356" s="249">
        <f>I308</f>
        <v>1.2499999999999997E-2</v>
      </c>
      <c r="J356" s="155" t="s">
        <v>3</v>
      </c>
      <c r="K356" s="933"/>
      <c r="L356" s="933"/>
      <c r="M356" s="933"/>
      <c r="N356" s="933"/>
      <c r="O356" s="38"/>
      <c r="P356" s="825" t="s">
        <v>438</v>
      </c>
      <c r="Q356" s="825"/>
      <c r="R356" s="825"/>
      <c r="S356" s="711"/>
      <c r="T356" s="470" t="s">
        <v>527</v>
      </c>
      <c r="U356" s="471">
        <f>U308</f>
        <v>1.5625E-2</v>
      </c>
      <c r="V356" s="475" t="s">
        <v>3</v>
      </c>
      <c r="W356" s="933"/>
      <c r="X356" s="933"/>
      <c r="Y356" s="933"/>
      <c r="Z356" s="933"/>
      <c r="AA356" s="38"/>
      <c r="AB356" s="38"/>
      <c r="AC356" s="38"/>
    </row>
    <row r="357" spans="2:29" s="47" customFormat="1" ht="20.100000000000001" customHeight="1">
      <c r="B357" s="711" t="s">
        <v>440</v>
      </c>
      <c r="C357" s="712"/>
      <c r="D357" s="712"/>
      <c r="E357" s="712"/>
      <c r="F357" s="712"/>
      <c r="G357" s="713"/>
      <c r="H357" s="248" t="s">
        <v>447</v>
      </c>
      <c r="I357" s="249">
        <f>I315</f>
        <v>3.4849340124994715E-2</v>
      </c>
      <c r="J357" s="155" t="s">
        <v>3</v>
      </c>
      <c r="K357" s="933"/>
      <c r="L357" s="933"/>
      <c r="M357" s="933"/>
      <c r="N357" s="933"/>
      <c r="O357" s="38"/>
      <c r="P357" s="825" t="s">
        <v>440</v>
      </c>
      <c r="Q357" s="825"/>
      <c r="R357" s="825"/>
      <c r="S357" s="711"/>
      <c r="T357" s="470" t="s">
        <v>528</v>
      </c>
      <c r="U357" s="471">
        <f>U315</f>
        <v>5.4452093945304231E-2</v>
      </c>
      <c r="V357" s="475" t="s">
        <v>3</v>
      </c>
      <c r="W357" s="933"/>
      <c r="X357" s="933"/>
      <c r="Y357" s="933"/>
      <c r="Z357" s="933"/>
      <c r="AA357" s="38"/>
      <c r="AB357" s="38"/>
      <c r="AC357" s="38"/>
    </row>
    <row r="358" spans="2:29" s="47" customFormat="1" ht="20.100000000000001" customHeight="1">
      <c r="B358" s="711" t="s">
        <v>441</v>
      </c>
      <c r="C358" s="712"/>
      <c r="D358" s="712"/>
      <c r="E358" s="712"/>
      <c r="F358" s="712"/>
      <c r="G358" s="713"/>
      <c r="H358" s="248" t="s">
        <v>444</v>
      </c>
      <c r="I358" s="249">
        <f>I338</f>
        <v>3.3739419957312628E-4</v>
      </c>
      <c r="J358" s="155" t="s">
        <v>3</v>
      </c>
      <c r="K358" s="933"/>
      <c r="L358" s="933"/>
      <c r="M358" s="933"/>
      <c r="N358" s="933"/>
      <c r="O358" s="38"/>
      <c r="P358" s="825" t="s">
        <v>441</v>
      </c>
      <c r="Q358" s="825"/>
      <c r="R358" s="825"/>
      <c r="S358" s="711"/>
      <c r="T358" s="470" t="s">
        <v>506</v>
      </c>
      <c r="U358" s="471">
        <f>U338</f>
        <v>5.0990102104329894E-4</v>
      </c>
      <c r="V358" s="475" t="s">
        <v>3</v>
      </c>
      <c r="W358" s="933"/>
      <c r="X358" s="933"/>
      <c r="Y358" s="933"/>
      <c r="Z358" s="933"/>
      <c r="AA358" s="38"/>
      <c r="AB358" s="38"/>
      <c r="AC358" s="38"/>
    </row>
    <row r="359" spans="2:29" s="47" customFormat="1" ht="20.100000000000001" customHeight="1">
      <c r="B359" s="711" t="s">
        <v>442</v>
      </c>
      <c r="C359" s="712"/>
      <c r="D359" s="712"/>
      <c r="E359" s="712"/>
      <c r="F359" s="712"/>
      <c r="G359" s="713"/>
      <c r="H359" s="248" t="s">
        <v>445</v>
      </c>
      <c r="I359" s="249">
        <f>I351</f>
        <v>4.8444084353054416E-3</v>
      </c>
      <c r="J359" s="155" t="s">
        <v>3</v>
      </c>
      <c r="K359" s="933"/>
      <c r="L359" s="933"/>
      <c r="M359" s="933"/>
      <c r="N359" s="933"/>
      <c r="O359" s="38"/>
      <c r="P359" s="825" t="s">
        <v>442</v>
      </c>
      <c r="Q359" s="825"/>
      <c r="R359" s="825"/>
      <c r="S359" s="711"/>
      <c r="T359" s="470" t="s">
        <v>507</v>
      </c>
      <c r="U359" s="471">
        <f>U351</f>
        <v>7.569388180164751E-3</v>
      </c>
      <c r="V359" s="475" t="s">
        <v>3</v>
      </c>
      <c r="W359" s="933"/>
      <c r="X359" s="933"/>
      <c r="Y359" s="933"/>
      <c r="Z359" s="933"/>
      <c r="AA359" s="38"/>
      <c r="AB359" s="38"/>
      <c r="AC359" s="38"/>
    </row>
    <row r="360" spans="2:29" s="47" customFormat="1" ht="20.100000000000001" customHeight="1">
      <c r="B360" s="711" t="s">
        <v>534</v>
      </c>
      <c r="C360" s="712"/>
      <c r="D360" s="712"/>
      <c r="E360" s="712"/>
      <c r="F360" s="712"/>
      <c r="G360" s="713"/>
      <c r="H360" s="208" t="s">
        <v>448</v>
      </c>
      <c r="I360" s="202">
        <f>I355+I356+I357+I358+I359</f>
        <v>0.25053114275987332</v>
      </c>
      <c r="J360" s="155" t="s">
        <v>3</v>
      </c>
      <c r="K360" s="933"/>
      <c r="L360" s="933"/>
      <c r="M360" s="933"/>
      <c r="N360" s="933"/>
      <c r="O360" s="38"/>
      <c r="P360" s="825" t="s">
        <v>535</v>
      </c>
      <c r="Q360" s="825"/>
      <c r="R360" s="825"/>
      <c r="S360" s="711"/>
      <c r="T360" s="208" t="s">
        <v>525</v>
      </c>
      <c r="U360" s="202">
        <f>U355+U356+U357+U358+U359</f>
        <v>0.3291563831465123</v>
      </c>
      <c r="V360" s="475" t="s">
        <v>3</v>
      </c>
      <c r="W360" s="933"/>
      <c r="X360" s="933"/>
      <c r="Y360" s="933"/>
      <c r="Z360" s="933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371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825" t="s">
        <v>405</v>
      </c>
      <c r="C364" s="825"/>
      <c r="D364" s="825"/>
      <c r="E364" s="825"/>
      <c r="F364" s="825"/>
      <c r="G364" s="825"/>
      <c r="H364" s="215" t="s">
        <v>338</v>
      </c>
      <c r="I364" s="316">
        <v>1.5</v>
      </c>
      <c r="J364" s="155" t="s">
        <v>3</v>
      </c>
      <c r="K364" s="858"/>
      <c r="L364" s="859"/>
      <c r="M364" s="859"/>
      <c r="N364" s="860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825" t="s">
        <v>373</v>
      </c>
      <c r="C365" s="825"/>
      <c r="D365" s="825"/>
      <c r="E365" s="825"/>
      <c r="F365" s="825"/>
      <c r="G365" s="825"/>
      <c r="H365" s="108" t="s">
        <v>235</v>
      </c>
      <c r="I365" s="202">
        <f>$I$168</f>
        <v>2.8712868195288328</v>
      </c>
      <c r="J365" s="155" t="s">
        <v>3</v>
      </c>
      <c r="K365" s="946"/>
      <c r="L365" s="946"/>
      <c r="M365" s="946"/>
      <c r="N365" s="946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825" t="s">
        <v>393</v>
      </c>
      <c r="C366" s="825"/>
      <c r="D366" s="825"/>
      <c r="E366" s="825"/>
      <c r="F366" s="825"/>
      <c r="G366" s="825"/>
      <c r="H366" s="209" t="s">
        <v>372</v>
      </c>
      <c r="I366" s="218">
        <f>ROUND(I365/I364,0)</f>
        <v>2</v>
      </c>
      <c r="J366" s="155"/>
      <c r="K366" s="946"/>
      <c r="L366" s="946"/>
      <c r="M366" s="946"/>
      <c r="N366" s="946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711" t="s">
        <v>336</v>
      </c>
      <c r="C367" s="712"/>
      <c r="D367" s="712"/>
      <c r="E367" s="712"/>
      <c r="F367" s="712"/>
      <c r="G367" s="713"/>
      <c r="H367" s="114" t="s">
        <v>314</v>
      </c>
      <c r="I367" s="213">
        <f>I213</f>
        <v>0.10199999999999999</v>
      </c>
      <c r="J367" s="58" t="s">
        <v>313</v>
      </c>
      <c r="K367" s="858"/>
      <c r="L367" s="859"/>
      <c r="M367" s="859"/>
      <c r="N367" s="860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30" t="s">
        <v>395</v>
      </c>
      <c r="C368" s="731"/>
      <c r="D368" s="731"/>
      <c r="E368" s="731"/>
      <c r="F368" s="731"/>
      <c r="G368" s="732"/>
      <c r="H368" s="909" t="s">
        <v>394</v>
      </c>
      <c r="I368" s="911">
        <f>I367/I366</f>
        <v>5.0999999999999997E-2</v>
      </c>
      <c r="J368" s="841" t="s">
        <v>313</v>
      </c>
      <c r="K368" s="940"/>
      <c r="L368" s="941"/>
      <c r="M368" s="941"/>
      <c r="N368" s="942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33"/>
      <c r="C369" s="734"/>
      <c r="D369" s="734"/>
      <c r="E369" s="734"/>
      <c r="F369" s="734"/>
      <c r="G369" s="735"/>
      <c r="H369" s="910"/>
      <c r="I369" s="912"/>
      <c r="J369" s="842"/>
      <c r="K369" s="943"/>
      <c r="L369" s="944"/>
      <c r="M369" s="944"/>
      <c r="N369" s="945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711" t="s">
        <v>397</v>
      </c>
      <c r="C370" s="712"/>
      <c r="D370" s="712"/>
      <c r="E370" s="712"/>
      <c r="F370" s="712"/>
      <c r="G370" s="713"/>
      <c r="H370" s="212" t="s">
        <v>400</v>
      </c>
      <c r="I370" s="309">
        <v>0.35</v>
      </c>
      <c r="J370" s="212" t="s">
        <v>3</v>
      </c>
      <c r="K370" s="858"/>
      <c r="L370" s="859"/>
      <c r="M370" s="859"/>
      <c r="N370" s="860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30" t="s">
        <v>398</v>
      </c>
      <c r="C371" s="731"/>
      <c r="D371" s="731"/>
      <c r="E371" s="731"/>
      <c r="F371" s="731"/>
      <c r="G371" s="732"/>
      <c r="H371" s="720" t="s">
        <v>399</v>
      </c>
      <c r="I371" s="822">
        <f>(I368/(1.38*I370))^(2/3)</f>
        <v>0.22339941433418214</v>
      </c>
      <c r="J371" s="720" t="s">
        <v>3</v>
      </c>
      <c r="K371" s="940"/>
      <c r="L371" s="941"/>
      <c r="M371" s="941"/>
      <c r="N371" s="942"/>
      <c r="O371" s="950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33"/>
      <c r="C372" s="734"/>
      <c r="D372" s="734"/>
      <c r="E372" s="734"/>
      <c r="F372" s="734"/>
      <c r="G372" s="735"/>
      <c r="H372" s="721"/>
      <c r="I372" s="823"/>
      <c r="J372" s="721"/>
      <c r="K372" s="943"/>
      <c r="L372" s="944"/>
      <c r="M372" s="944"/>
      <c r="N372" s="945"/>
      <c r="O372" s="950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711" t="s">
        <v>401</v>
      </c>
      <c r="C373" s="712"/>
      <c r="D373" s="712"/>
      <c r="E373" s="712"/>
      <c r="F373" s="712"/>
      <c r="G373" s="713"/>
      <c r="H373" s="108" t="s">
        <v>402</v>
      </c>
      <c r="I373" s="219">
        <f>IF(I371/2&lt;0.05,0.05,IF(I371/2&gt;0.1,0.1,I371/2))</f>
        <v>0.1</v>
      </c>
      <c r="J373" s="108" t="s">
        <v>3</v>
      </c>
      <c r="K373" s="858"/>
      <c r="L373" s="859"/>
      <c r="M373" s="859"/>
      <c r="N373" s="860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711" t="s">
        <v>403</v>
      </c>
      <c r="C374" s="712"/>
      <c r="D374" s="712"/>
      <c r="E374" s="712"/>
      <c r="F374" s="712"/>
      <c r="G374" s="713"/>
      <c r="H374" s="108" t="s">
        <v>404</v>
      </c>
      <c r="I374" s="219">
        <f>ROUND(I371+I373,2)</f>
        <v>0.32</v>
      </c>
      <c r="J374" s="108" t="s">
        <v>3</v>
      </c>
      <c r="K374" s="858"/>
      <c r="L374" s="859"/>
      <c r="M374" s="859"/>
      <c r="N374" s="860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711" t="s">
        <v>377</v>
      </c>
      <c r="C375" s="712"/>
      <c r="D375" s="712"/>
      <c r="E375" s="712"/>
      <c r="F375" s="712"/>
      <c r="G375" s="713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378</v>
      </c>
      <c r="C376" s="488"/>
      <c r="D376" s="488"/>
      <c r="E376" s="488"/>
      <c r="F376" s="488"/>
      <c r="G376" s="489"/>
      <c r="H376" s="221" t="s">
        <v>387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711" t="s">
        <v>389</v>
      </c>
      <c r="C377" s="712"/>
      <c r="D377" s="712"/>
      <c r="E377" s="712"/>
      <c r="F377" s="712"/>
      <c r="G377" s="713"/>
      <c r="H377" s="212" t="s">
        <v>390</v>
      </c>
      <c r="I377" s="222">
        <f>((0.75*I375+I374)+(I375+I374))/2</f>
        <v>0.88</v>
      </c>
      <c r="J377" s="212" t="s">
        <v>3</v>
      </c>
      <c r="K377" s="858"/>
      <c r="L377" s="859"/>
      <c r="M377" s="859"/>
      <c r="N377" s="860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825" t="s">
        <v>406</v>
      </c>
      <c r="C378" s="825"/>
      <c r="D378" s="825"/>
      <c r="E378" s="825"/>
      <c r="F378" s="825"/>
      <c r="G378" s="825"/>
      <c r="H378" s="215" t="s">
        <v>338</v>
      </c>
      <c r="I378" s="95">
        <f>I365/I366</f>
        <v>1.4356434097644164</v>
      </c>
      <c r="J378" s="108" t="s">
        <v>3</v>
      </c>
      <c r="K378" s="858"/>
      <c r="L378" s="859"/>
      <c r="M378" s="859"/>
      <c r="N378" s="860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711" t="s">
        <v>388</v>
      </c>
      <c r="C379" s="712"/>
      <c r="D379" s="712"/>
      <c r="E379" s="712"/>
      <c r="F379" s="712"/>
      <c r="G379" s="713"/>
      <c r="H379" s="108" t="s">
        <v>391</v>
      </c>
      <c r="I379" s="219">
        <f>I377-(I376-I375)</f>
        <v>0.63433264543183498</v>
      </c>
      <c r="J379" s="108" t="s">
        <v>3</v>
      </c>
      <c r="K379" s="858"/>
      <c r="L379" s="859"/>
      <c r="M379" s="859"/>
      <c r="N379" s="860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533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711" t="s">
        <v>168</v>
      </c>
      <c r="C383" s="712"/>
      <c r="D383" s="712"/>
      <c r="E383" s="712"/>
      <c r="F383" s="712"/>
      <c r="G383" s="713"/>
      <c r="H383" s="494" t="s">
        <v>169</v>
      </c>
      <c r="I383" s="471">
        <f>SUM(G88:G92)</f>
        <v>0.44999999999999996</v>
      </c>
      <c r="J383" s="472" t="s">
        <v>3</v>
      </c>
      <c r="K383" s="858"/>
      <c r="L383" s="859"/>
      <c r="M383" s="859"/>
      <c r="N383" s="860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711" t="s">
        <v>162</v>
      </c>
      <c r="C384" s="712"/>
      <c r="D384" s="712"/>
      <c r="E384" s="712"/>
      <c r="F384" s="712"/>
      <c r="G384" s="713"/>
      <c r="H384" s="494" t="s">
        <v>46</v>
      </c>
      <c r="I384" s="471">
        <f>I74</f>
        <v>0.64</v>
      </c>
      <c r="J384" s="472" t="s">
        <v>3</v>
      </c>
      <c r="K384" s="858"/>
      <c r="L384" s="859"/>
      <c r="M384" s="859"/>
      <c r="N384" s="860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711" t="s">
        <v>531</v>
      </c>
      <c r="C385" s="712"/>
      <c r="D385" s="712"/>
      <c r="E385" s="712"/>
      <c r="F385" s="712"/>
      <c r="G385" s="713"/>
      <c r="H385" s="494" t="s">
        <v>532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711" t="s">
        <v>529</v>
      </c>
      <c r="C386" s="712"/>
      <c r="D386" s="712"/>
      <c r="E386" s="712"/>
      <c r="F386" s="712"/>
      <c r="G386" s="713"/>
      <c r="H386" s="494" t="s">
        <v>530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711" t="s">
        <v>536</v>
      </c>
      <c r="C387" s="712"/>
      <c r="D387" s="712"/>
      <c r="E387" s="712"/>
      <c r="F387" s="712"/>
      <c r="G387" s="713"/>
      <c r="H387" s="208" t="s">
        <v>448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711" t="s">
        <v>28</v>
      </c>
      <c r="C388" s="712"/>
      <c r="D388" s="712"/>
      <c r="E388" s="712"/>
      <c r="F388" s="712"/>
      <c r="G388" s="713"/>
      <c r="H388" s="494" t="s">
        <v>29</v>
      </c>
      <c r="I388" s="500">
        <v>0.4</v>
      </c>
      <c r="J388" s="472" t="s">
        <v>3</v>
      </c>
      <c r="K388" s="858"/>
      <c r="L388" s="859"/>
      <c r="M388" s="859"/>
      <c r="N388" s="860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711" t="s">
        <v>540</v>
      </c>
      <c r="C389" s="712"/>
      <c r="D389" s="712"/>
      <c r="E389" s="712"/>
      <c r="F389" s="712"/>
      <c r="G389" s="713"/>
      <c r="H389" s="494" t="s">
        <v>541</v>
      </c>
      <c r="I389" s="471">
        <f>I383+I384+I385+I387</f>
        <v>1.5405311427598731</v>
      </c>
      <c r="J389" s="494" t="s">
        <v>3</v>
      </c>
      <c r="K389" s="858"/>
      <c r="L389" s="859"/>
      <c r="M389" s="859"/>
      <c r="N389" s="860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711" t="s">
        <v>543</v>
      </c>
      <c r="C390" s="712"/>
      <c r="D390" s="712"/>
      <c r="E390" s="712"/>
      <c r="F390" s="712"/>
      <c r="G390" s="713"/>
      <c r="H390" s="494" t="s">
        <v>542</v>
      </c>
      <c r="I390" s="471">
        <f>I383+I384+I385+I386</f>
        <v>3.09</v>
      </c>
      <c r="J390" s="494" t="s">
        <v>3</v>
      </c>
      <c r="K390" s="858"/>
      <c r="L390" s="859"/>
      <c r="M390" s="859"/>
      <c r="N390" s="860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711" t="s">
        <v>537</v>
      </c>
      <c r="C391" s="712"/>
      <c r="D391" s="712"/>
      <c r="E391" s="712"/>
      <c r="F391" s="712"/>
      <c r="G391" s="713"/>
      <c r="H391" s="494" t="s">
        <v>538</v>
      </c>
      <c r="I391" s="493">
        <f>I383+I384+I385+I386+I388</f>
        <v>3.4899999999999998</v>
      </c>
      <c r="J391" s="494" t="s">
        <v>3</v>
      </c>
      <c r="K391" s="858"/>
      <c r="L391" s="859"/>
      <c r="M391" s="859"/>
      <c r="N391" s="860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839" t="s">
        <v>19</v>
      </c>
      <c r="C398" s="839"/>
      <c r="D398" s="839"/>
      <c r="E398" s="839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840"/>
      <c r="D400" s="840"/>
      <c r="E400" s="840"/>
      <c r="F400" s="840"/>
      <c r="G400" s="840"/>
      <c r="H400" s="840"/>
      <c r="I400" s="840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840"/>
      <c r="D401" s="840"/>
      <c r="E401" s="840"/>
      <c r="F401" s="840"/>
      <c r="G401" s="840"/>
      <c r="H401" s="840"/>
      <c r="I401" s="840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1005"/>
      <c r="D402" s="1005"/>
      <c r="E402" s="1005"/>
      <c r="F402" s="1005"/>
      <c r="G402" s="1005"/>
      <c r="H402" s="1005"/>
      <c r="I402" s="1005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840"/>
      <c r="D403" s="840"/>
      <c r="E403" s="840"/>
      <c r="F403" s="840"/>
      <c r="G403" s="840"/>
      <c r="H403" s="840"/>
      <c r="I403" s="840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840"/>
      <c r="D404" s="840"/>
      <c r="E404" s="840"/>
      <c r="F404" s="840"/>
      <c r="G404" s="840"/>
      <c r="H404" s="840"/>
      <c r="I404" s="840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836"/>
      <c r="D405" s="836"/>
      <c r="E405" s="836"/>
      <c r="F405" s="836"/>
      <c r="G405" s="836"/>
      <c r="H405" s="836"/>
      <c r="I405" s="836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1005"/>
      <c r="D406" s="1005"/>
      <c r="E406" s="1005"/>
      <c r="F406" s="1005"/>
      <c r="G406" s="1005"/>
      <c r="H406" s="1005"/>
      <c r="I406" s="100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840"/>
      <c r="D407" s="840"/>
      <c r="E407" s="840"/>
      <c r="F407" s="840"/>
      <c r="G407" s="840"/>
      <c r="H407" s="840"/>
      <c r="I407" s="840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70</v>
      </c>
      <c r="C408" s="840"/>
      <c r="D408" s="840"/>
      <c r="E408" s="840"/>
      <c r="F408" s="840"/>
      <c r="G408" s="840"/>
      <c r="H408" s="840"/>
      <c r="I408" s="840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631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O108:O110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I204:I205"/>
    <mergeCell ref="B242:G242"/>
    <mergeCell ref="H245:H246"/>
    <mergeCell ref="H238:J238"/>
    <mergeCell ref="B221:G221"/>
    <mergeCell ref="B231:G231"/>
    <mergeCell ref="K232:N232"/>
    <mergeCell ref="B226:G226"/>
    <mergeCell ref="J202:J203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O204:O205"/>
    <mergeCell ref="K165:N165"/>
    <mergeCell ref="J166:J167"/>
    <mergeCell ref="K166:N167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186:N186"/>
    <mergeCell ref="K192:N192"/>
    <mergeCell ref="K202:N203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38:N339"/>
    <mergeCell ref="M131:R131"/>
    <mergeCell ref="I132:I134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K263:N263"/>
    <mergeCell ref="K264:N264"/>
    <mergeCell ref="K265:N265"/>
    <mergeCell ref="B266:G267"/>
    <mergeCell ref="H266:H267"/>
    <mergeCell ref="K287:N287"/>
    <mergeCell ref="K288:N288"/>
    <mergeCell ref="K289:N289"/>
    <mergeCell ref="K290:N290"/>
    <mergeCell ref="B264:G264"/>
    <mergeCell ref="H271:H272"/>
    <mergeCell ref="I271:I273"/>
    <mergeCell ref="K351:N352"/>
    <mergeCell ref="B342:G344"/>
    <mergeCell ref="H342:H343"/>
    <mergeCell ref="B347:G34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I342:I344"/>
    <mergeCell ref="J342:J344"/>
    <mergeCell ref="B345:G345"/>
    <mergeCell ref="H338:H339"/>
    <mergeCell ref="I338:I339"/>
    <mergeCell ref="J338:J339"/>
    <mergeCell ref="J271:J273"/>
    <mergeCell ref="B268:G268"/>
    <mergeCell ref="B336:G336"/>
    <mergeCell ref="B337:G337"/>
    <mergeCell ref="B323:G323"/>
    <mergeCell ref="B322:G322"/>
    <mergeCell ref="B282:G282"/>
    <mergeCell ref="B295:H296"/>
    <mergeCell ref="I295:I296"/>
    <mergeCell ref="J295:J296"/>
    <mergeCell ref="K323:N323"/>
    <mergeCell ref="K325:N326"/>
    <mergeCell ref="K324:N324"/>
    <mergeCell ref="K268:N268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H283:H284"/>
    <mergeCell ref="I283:I284"/>
    <mergeCell ref="H260:J260"/>
    <mergeCell ref="B277:G277"/>
    <mergeCell ref="B278:G278"/>
    <mergeCell ref="I256:I257"/>
    <mergeCell ref="K261:N261"/>
    <mergeCell ref="K260:N260"/>
    <mergeCell ref="B265:G265"/>
    <mergeCell ref="K262:N262"/>
    <mergeCell ref="B253:G253"/>
    <mergeCell ref="K282:N282"/>
    <mergeCell ref="B319:G319"/>
    <mergeCell ref="B314:G314"/>
    <mergeCell ref="B279:G279"/>
    <mergeCell ref="B274:G274"/>
    <mergeCell ref="B271:G273"/>
    <mergeCell ref="J266:J267"/>
    <mergeCell ref="I266:I267"/>
    <mergeCell ref="H248:H249"/>
    <mergeCell ref="K245:N246"/>
    <mergeCell ref="K242:N242"/>
    <mergeCell ref="I234:I235"/>
    <mergeCell ref="K255:N255"/>
    <mergeCell ref="B250:G250"/>
    <mergeCell ref="B251:G252"/>
    <mergeCell ref="H251:H252"/>
    <mergeCell ref="B255:G255"/>
    <mergeCell ref="K226:N226"/>
    <mergeCell ref="K201:N201"/>
    <mergeCell ref="K221:N221"/>
    <mergeCell ref="K213:N213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I113:L113"/>
    <mergeCell ref="H113:H116"/>
    <mergeCell ref="J95:K96"/>
    <mergeCell ref="I131:L131"/>
    <mergeCell ref="K247:N247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AR5:AR7"/>
    <mergeCell ref="BO5:BO7"/>
    <mergeCell ref="AN5:AN7"/>
    <mergeCell ref="AO5:AO7"/>
    <mergeCell ref="AT5:AT7"/>
    <mergeCell ref="AU5:AU7"/>
    <mergeCell ref="AZ5:AZ7"/>
    <mergeCell ref="AB31:AB32"/>
    <mergeCell ref="J63:J64"/>
    <mergeCell ref="I38:J38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B173:G173"/>
    <mergeCell ref="B162:G162"/>
    <mergeCell ref="B166:G167"/>
    <mergeCell ref="H166:H167"/>
    <mergeCell ref="H131:H134"/>
    <mergeCell ref="I95:I98"/>
    <mergeCell ref="J132:K134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K163:N164"/>
    <mergeCell ref="K155:N155"/>
    <mergeCell ref="H158:H159"/>
    <mergeCell ref="B156:G156"/>
    <mergeCell ref="B150:G150"/>
    <mergeCell ref="B151:G151"/>
    <mergeCell ref="K151:N151"/>
    <mergeCell ref="B10:G10"/>
    <mergeCell ref="B12:G12"/>
    <mergeCell ref="B75:G75"/>
    <mergeCell ref="B67:B69"/>
    <mergeCell ref="E67:E69"/>
    <mergeCell ref="F67:G69"/>
    <mergeCell ref="G56:I57"/>
    <mergeCell ref="B53:B55"/>
    <mergeCell ref="B77:G77"/>
    <mergeCell ref="G27:H27"/>
    <mergeCell ref="F60:F62"/>
    <mergeCell ref="H39:H41"/>
    <mergeCell ref="J53:J55"/>
    <mergeCell ref="E53:E55"/>
    <mergeCell ref="G39:G41"/>
    <mergeCell ref="B95:B98"/>
    <mergeCell ref="B113:B116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84:G87"/>
    <mergeCell ref="C113:C114"/>
    <mergeCell ref="D113:D114"/>
    <mergeCell ref="E113:E116"/>
    <mergeCell ref="F113:F116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H300:H301"/>
    <mergeCell ref="I300:I301"/>
    <mergeCell ref="J300:J301"/>
    <mergeCell ref="K330:N331"/>
    <mergeCell ref="B330:G331"/>
    <mergeCell ref="J330:J331"/>
    <mergeCell ref="I330:I331"/>
    <mergeCell ref="K322:N322"/>
    <mergeCell ref="K329:N329"/>
    <mergeCell ref="B346:G346"/>
    <mergeCell ref="K350:N350"/>
    <mergeCell ref="B351:G352"/>
    <mergeCell ref="H351:H352"/>
    <mergeCell ref="I351:I352"/>
    <mergeCell ref="J351:J352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N119:O119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B152:G152"/>
    <mergeCell ref="B149:G149"/>
    <mergeCell ref="J160:J161"/>
    <mergeCell ref="K160:N161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V114:V116"/>
    <mergeCell ref="M113:R113"/>
    <mergeCell ref="N117:O117"/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disablePrompts="1"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2022-05-18T14:15:58Z</dcterms:modified>
</cp:coreProperties>
</file>