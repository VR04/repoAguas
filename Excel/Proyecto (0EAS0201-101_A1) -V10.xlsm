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40B81248-C852-40FD-9702-870165E26F09}" xr6:coauthVersionLast="47" xr6:coauthVersionMax="47" xr10:uidLastSave="{00000000-0000-0000-0000-000000000000}"/>
  <bookViews>
    <workbookView visibility="hidden" xWindow="-120" yWindow="-120" windowWidth="20640" windowHeight="11160" tabRatio="469" firstSheet="1" activeTab="2" xr2:uid="{00000000-000D-0000-FFFF-FFFF00000000}"/>
  </bookViews>
  <sheets>
    <sheet name="Floculador Alabama" sheetId="10" r:id="rId1"/>
    <sheet name="Sedimentador alta tasa" sheetId="9" r:id="rId2"/>
    <sheet name="Filtro rápido" sheetId="6" r:id="rId3"/>
    <sheet name="EdiciónEC" sheetId="11" r:id="rId4"/>
  </sheets>
  <definedNames>
    <definedName name="_xlnm.Print_Area" localSheetId="0">'Floculador Alabama'!$B$10:$K$191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" i="10" l="1"/>
  <c r="C19" i="10"/>
  <c r="C35" i="10" l="1"/>
  <c r="C27" i="10" l="1"/>
  <c r="B32" i="9"/>
  <c r="B33" i="9"/>
  <c r="B31" i="6"/>
  <c r="C175" i="10"/>
  <c r="C163" i="10"/>
  <c r="C151" i="10"/>
  <c r="C139" i="10"/>
  <c r="C127" i="10"/>
  <c r="C115" i="10"/>
  <c r="C103" i="10"/>
  <c r="C91" i="10"/>
  <c r="C79" i="10"/>
  <c r="C67" i="10"/>
  <c r="C55" i="10"/>
  <c r="B45" i="10"/>
  <c r="AD39" i="10"/>
  <c r="AD38" i="10"/>
  <c r="AD37" i="10"/>
  <c r="AD36" i="10"/>
  <c r="AD35" i="10"/>
  <c r="AD34" i="10"/>
  <c r="AD33" i="10"/>
  <c r="AD32" i="10"/>
  <c r="AD31" i="10"/>
  <c r="AD30" i="10"/>
  <c r="AD29" i="10"/>
  <c r="C29" i="10"/>
  <c r="AD28" i="10"/>
  <c r="C28" i="10"/>
  <c r="AD27" i="10"/>
  <c r="AD26" i="10"/>
  <c r="AD25" i="10"/>
  <c r="AD24" i="10"/>
  <c r="AD23" i="10"/>
  <c r="AD22" i="10"/>
  <c r="AD21" i="10"/>
  <c r="AD20" i="10"/>
  <c r="AD19" i="10"/>
  <c r="AD18" i="10"/>
  <c r="AD17" i="10"/>
  <c r="AD16" i="10"/>
  <c r="C16" i="10"/>
  <c r="C17" i="10" s="1"/>
  <c r="AD15" i="10"/>
  <c r="AD14" i="10"/>
  <c r="AD13" i="10"/>
  <c r="AD12" i="10"/>
  <c r="AD11" i="10"/>
  <c r="AD10" i="10"/>
  <c r="AD9" i="10"/>
  <c r="AD8" i="10"/>
  <c r="AD7" i="10"/>
  <c r="AD6" i="10"/>
  <c r="AD5" i="10"/>
  <c r="AD4" i="10"/>
  <c r="C20" i="10" l="1"/>
  <c r="C22" i="10"/>
  <c r="C23" i="10" s="1"/>
  <c r="C41" i="10" s="1"/>
  <c r="B21" i="10"/>
  <c r="B20" i="10"/>
  <c r="B23" i="10"/>
  <c r="B22" i="10"/>
  <c r="C18" i="10"/>
  <c r="C21" i="10" l="1"/>
  <c r="C53" i="10"/>
  <c r="C173" i="10"/>
  <c r="C161" i="10"/>
  <c r="C162" i="10" s="1"/>
  <c r="C166" i="10" s="1"/>
  <c r="C113" i="10"/>
  <c r="C114" i="10" s="1"/>
  <c r="C118" i="10" s="1"/>
  <c r="C89" i="10"/>
  <c r="C90" i="10" s="1"/>
  <c r="C94" i="10" s="1"/>
  <c r="C65" i="10"/>
  <c r="C66" i="10" s="1"/>
  <c r="C70" i="10" s="1"/>
  <c r="C137" i="10"/>
  <c r="C138" i="10" s="1"/>
  <c r="C142" i="10" s="1"/>
  <c r="C101" i="10"/>
  <c r="C102" i="10" s="1"/>
  <c r="C106" i="10" s="1"/>
  <c r="C116" i="10"/>
  <c r="C174" i="10"/>
  <c r="C178" i="10" s="1"/>
  <c r="C77" i="10"/>
  <c r="C125" i="10"/>
  <c r="C126" i="10" s="1"/>
  <c r="C130" i="10" s="1"/>
  <c r="C149" i="10"/>
  <c r="C150" i="10" s="1"/>
  <c r="C154" i="10" s="1"/>
  <c r="C54" i="10" l="1"/>
  <c r="C58" i="10" s="1"/>
  <c r="C78" i="10"/>
  <c r="C82" i="10" s="1"/>
  <c r="C104" i="10"/>
  <c r="C39" i="10"/>
  <c r="C68" i="10"/>
  <c r="C92" i="10"/>
  <c r="C152" i="10"/>
  <c r="C56" i="10"/>
  <c r="C140" i="10"/>
  <c r="C80" i="10"/>
  <c r="C128" i="10"/>
  <c r="C37" i="10"/>
  <c r="C48" i="10" s="1"/>
  <c r="C176" i="10"/>
  <c r="C164" i="10"/>
  <c r="C105" i="10" l="1"/>
  <c r="C107" i="10" s="1"/>
  <c r="C110" i="10" s="1"/>
  <c r="C38" i="10"/>
  <c r="C69" i="10"/>
  <c r="C71" i="10" s="1"/>
  <c r="C74" i="10" s="1"/>
  <c r="C57" i="10"/>
  <c r="C59" i="10" s="1"/>
  <c r="C81" i="10"/>
  <c r="C83" i="10" s="1"/>
  <c r="C86" i="10" s="1"/>
  <c r="C141" i="10"/>
  <c r="C143" i="10" s="1"/>
  <c r="C146" i="10" s="1"/>
  <c r="C93" i="10"/>
  <c r="C95" i="10" s="1"/>
  <c r="C96" i="10" s="1"/>
  <c r="C97" i="10" s="1"/>
  <c r="C177" i="10"/>
  <c r="C179" i="10" s="1"/>
  <c r="C182" i="10" s="1"/>
  <c r="C40" i="10"/>
  <c r="C42" i="10" s="1"/>
  <c r="C165" i="10"/>
  <c r="C167" i="10" s="1"/>
  <c r="C168" i="10" s="1"/>
  <c r="E168" i="10" s="1"/>
  <c r="C153" i="10"/>
  <c r="C155" i="10" s="1"/>
  <c r="C156" i="10" s="1"/>
  <c r="C157" i="10" s="1"/>
  <c r="C129" i="10"/>
  <c r="C131" i="10" s="1"/>
  <c r="C134" i="10" s="1"/>
  <c r="C117" i="10"/>
  <c r="C119" i="10" s="1"/>
  <c r="C120" i="10" s="1"/>
  <c r="E120" i="10" s="1"/>
  <c r="C60" i="10" l="1"/>
  <c r="E60" i="10" s="1"/>
  <c r="C61" i="10"/>
  <c r="C84" i="10"/>
  <c r="C85" i="10" s="1"/>
  <c r="C98" i="10"/>
  <c r="C62" i="10"/>
  <c r="C72" i="10"/>
  <c r="C73" i="10" s="1"/>
  <c r="C108" i="10"/>
  <c r="C109" i="10" s="1"/>
  <c r="E96" i="10"/>
  <c r="C144" i="10"/>
  <c r="C145" i="10" s="1"/>
  <c r="C180" i="10"/>
  <c r="E156" i="10"/>
  <c r="C122" i="10"/>
  <c r="C121" i="10"/>
  <c r="C132" i="10"/>
  <c r="E132" i="10" s="1"/>
  <c r="C158" i="10"/>
  <c r="C169" i="10"/>
  <c r="C44" i="10"/>
  <c r="C47" i="10"/>
  <c r="C170" i="10"/>
  <c r="C43" i="10"/>
  <c r="B48" i="9"/>
  <c r="B41" i="9"/>
  <c r="B40" i="9"/>
  <c r="B39" i="9"/>
  <c r="S102" i="6"/>
  <c r="S103" i="6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B42" i="9"/>
  <c r="C181" i="10" l="1"/>
  <c r="E180" i="10"/>
  <c r="E84" i="10"/>
  <c r="E108" i="10"/>
  <c r="E144" i="10"/>
  <c r="E72" i="10"/>
  <c r="D186" i="10"/>
  <c r="F186" i="10" s="1"/>
  <c r="C133" i="10"/>
  <c r="C45" i="10"/>
  <c r="C46" i="10"/>
  <c r="C49" i="10"/>
  <c r="C50" i="10" s="1"/>
  <c r="D185" i="10"/>
  <c r="F185" i="10" s="1"/>
  <c r="AE12" i="9"/>
  <c r="AG10" i="9"/>
  <c r="AD10" i="9"/>
  <c r="AD11" i="9"/>
  <c r="AD12" i="9"/>
  <c r="AE11" i="9"/>
  <c r="AF10" i="9"/>
  <c r="AE10" i="9"/>
  <c r="AI7" i="9"/>
  <c r="AM7" i="9"/>
  <c r="AQ7" i="9"/>
  <c r="B43" i="9" l="1"/>
  <c r="B34" i="9"/>
  <c r="Z12" i="9"/>
  <c r="B33" i="6" l="1"/>
  <c r="B32" i="6"/>
  <c r="BU79" i="6" l="1"/>
  <c r="BZ79" i="6"/>
  <c r="CA79" i="6"/>
  <c r="BU80" i="6"/>
  <c r="BZ80" i="6"/>
  <c r="CA80" i="6"/>
  <c r="BU81" i="6"/>
  <c r="BZ81" i="6"/>
  <c r="CA81" i="6"/>
  <c r="BU82" i="6"/>
  <c r="BZ82" i="6"/>
  <c r="CA82" i="6"/>
  <c r="BU83" i="6"/>
  <c r="BZ83" i="6"/>
  <c r="CA83" i="6"/>
  <c r="BU84" i="6"/>
  <c r="BZ84" i="6"/>
  <c r="CA84" i="6"/>
  <c r="BU85" i="6"/>
  <c r="BZ85" i="6"/>
  <c r="CA85" i="6"/>
  <c r="BU86" i="6"/>
  <c r="BZ86" i="6"/>
  <c r="CA86" i="6"/>
  <c r="BU87" i="6"/>
  <c r="BZ87" i="6"/>
  <c r="CA87" i="6"/>
  <c r="T345" i="6"/>
  <c r="T332" i="6"/>
  <c r="T321" i="6"/>
  <c r="T307" i="6"/>
  <c r="S348" i="6"/>
  <c r="S347" i="6"/>
  <c r="S346" i="6"/>
  <c r="S345" i="6"/>
  <c r="S344" i="6"/>
  <c r="U322" i="6"/>
  <c r="T322" i="6"/>
  <c r="S319" i="6"/>
  <c r="T313" i="6"/>
  <c r="G19" i="6"/>
  <c r="E136" i="6" l="1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BU74" i="6"/>
  <c r="BZ74" i="6"/>
  <c r="CA74" i="6"/>
  <c r="BU75" i="6"/>
  <c r="BZ75" i="6"/>
  <c r="CA75" i="6"/>
  <c r="BU76" i="6"/>
  <c r="BZ76" i="6"/>
  <c r="CA76" i="6"/>
  <c r="BT77" i="6"/>
  <c r="G23" i="6"/>
  <c r="G22" i="6"/>
  <c r="G21" i="6"/>
  <c r="G20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T306" i="6"/>
  <c r="T308" i="6" s="1"/>
  <c r="T356" i="6" s="1"/>
  <c r="T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D123" i="6" l="1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F120" i="6" l="1"/>
  <c r="F124" i="6"/>
  <c r="F125" i="6"/>
  <c r="F117" i="6"/>
  <c r="F118" i="6"/>
  <c r="F121" i="6"/>
  <c r="F122" i="6"/>
  <c r="F123" i="6"/>
  <c r="BB12" i="6" l="1"/>
  <c r="BB11" i="6"/>
  <c r="CA73" i="6"/>
  <c r="BZ73" i="6"/>
  <c r="BU73" i="6"/>
  <c r="CA72" i="6"/>
  <c r="BZ72" i="6"/>
  <c r="BU72" i="6"/>
  <c r="CA71" i="6"/>
  <c r="BZ71" i="6"/>
  <c r="BU71" i="6"/>
  <c r="CA70" i="6"/>
  <c r="BZ70" i="6"/>
  <c r="BU70" i="6"/>
  <c r="CA69" i="6"/>
  <c r="BZ69" i="6"/>
  <c r="BU69" i="6"/>
  <c r="CA68" i="6"/>
  <c r="BZ68" i="6"/>
  <c r="BU68" i="6"/>
  <c r="BT66" i="6"/>
  <c r="CA65" i="6"/>
  <c r="BZ65" i="6"/>
  <c r="CA64" i="6"/>
  <c r="BZ64" i="6"/>
  <c r="CA63" i="6"/>
  <c r="BZ63" i="6"/>
  <c r="CA62" i="6"/>
  <c r="BZ62" i="6"/>
  <c r="CA61" i="6"/>
  <c r="BZ61" i="6"/>
  <c r="CA60" i="6"/>
  <c r="BZ60" i="6"/>
  <c r="BT58" i="6"/>
  <c r="CA57" i="6"/>
  <c r="BZ57" i="6"/>
  <c r="CA56" i="6"/>
  <c r="BZ56" i="6"/>
  <c r="CA55" i="6"/>
  <c r="BZ55" i="6"/>
  <c r="CA54" i="6"/>
  <c r="BZ54" i="6"/>
  <c r="CA53" i="6"/>
  <c r="BZ53" i="6"/>
  <c r="CA52" i="6"/>
  <c r="BZ52" i="6"/>
  <c r="BT50" i="6"/>
  <c r="CA49" i="6"/>
  <c r="BZ49" i="6"/>
  <c r="CA48" i="6"/>
  <c r="BZ48" i="6"/>
  <c r="CA47" i="6"/>
  <c r="BZ47" i="6"/>
  <c r="CA46" i="6"/>
  <c r="BZ46" i="6"/>
  <c r="CA45" i="6"/>
  <c r="BZ45" i="6"/>
  <c r="CA44" i="6"/>
  <c r="BZ44" i="6"/>
  <c r="CA43" i="6"/>
  <c r="BZ43" i="6"/>
  <c r="CA42" i="6"/>
  <c r="BZ42" i="6"/>
  <c r="CA41" i="6"/>
  <c r="BZ41" i="6"/>
  <c r="BT39" i="6"/>
  <c r="CA38" i="6"/>
  <c r="BZ38" i="6"/>
  <c r="CA37" i="6"/>
  <c r="BZ37" i="6"/>
  <c r="CA36" i="6"/>
  <c r="BZ36" i="6"/>
  <c r="CA35" i="6"/>
  <c r="BZ35" i="6"/>
  <c r="CA34" i="6"/>
  <c r="BZ34" i="6"/>
  <c r="CA33" i="6"/>
  <c r="BZ33" i="6"/>
  <c r="BT31" i="6"/>
  <c r="CA30" i="6"/>
  <c r="BZ30" i="6"/>
  <c r="BU30" i="6"/>
  <c r="CA29" i="6"/>
  <c r="BZ29" i="6"/>
  <c r="BU29" i="6"/>
  <c r="CA28" i="6"/>
  <c r="BZ28" i="6"/>
  <c r="BU28" i="6"/>
  <c r="CA27" i="6"/>
  <c r="BZ27" i="6"/>
  <c r="BU27" i="6"/>
  <c r="CA26" i="6"/>
  <c r="BZ26" i="6"/>
  <c r="BU26" i="6"/>
  <c r="CA25" i="6"/>
  <c r="BZ25" i="6"/>
  <c r="BU25" i="6"/>
  <c r="CA24" i="6"/>
  <c r="BZ24" i="6"/>
  <c r="BU24" i="6"/>
  <c r="CA23" i="6"/>
  <c r="BZ23" i="6"/>
  <c r="BU23" i="6"/>
  <c r="CA22" i="6"/>
  <c r="BZ22" i="6"/>
  <c r="BU22" i="6"/>
  <c r="CA21" i="6"/>
  <c r="BZ21" i="6"/>
  <c r="BU21" i="6"/>
  <c r="BT19" i="6"/>
  <c r="F45" i="6" l="1"/>
  <c r="G45" i="6" s="1"/>
  <c r="F43" i="6"/>
  <c r="G43" i="6" s="1"/>
  <c r="F44" i="6"/>
  <c r="G44" i="6" s="1"/>
  <c r="E50" i="6"/>
  <c r="E107" i="6" l="1"/>
  <c r="E143" i="6"/>
  <c r="J50" i="6"/>
  <c r="E125" i="6"/>
  <c r="CW23" i="6"/>
  <c r="E144" i="6" l="1"/>
  <c r="H348" i="6"/>
  <c r="H347" i="6"/>
  <c r="H346" i="6"/>
  <c r="H345" i="6"/>
  <c r="H344" i="6"/>
  <c r="H319" i="6"/>
  <c r="H260" i="6"/>
  <c r="T320" i="6"/>
  <c r="I322" i="6"/>
  <c r="DB9" i="6" l="1"/>
  <c r="DC9" i="6"/>
  <c r="DD9" i="6"/>
  <c r="DE9" i="6"/>
  <c r="DF9" i="6"/>
  <c r="DG9" i="6"/>
  <c r="DI9" i="6"/>
  <c r="DJ9" i="6"/>
  <c r="DB11" i="6"/>
  <c r="DC11" i="6"/>
  <c r="DD11" i="6"/>
  <c r="DE11" i="6"/>
  <c r="DF11" i="6"/>
  <c r="DG11" i="6"/>
  <c r="DI11" i="6"/>
  <c r="DJ11" i="6"/>
  <c r="DB12" i="6"/>
  <c r="DC12" i="6"/>
  <c r="DD12" i="6"/>
  <c r="DE12" i="6"/>
  <c r="DF12" i="6"/>
  <c r="DG12" i="6"/>
  <c r="DI12" i="6"/>
  <c r="DJ12" i="6"/>
  <c r="DB14" i="6"/>
  <c r="DC14" i="6"/>
  <c r="DD14" i="6"/>
  <c r="DE14" i="6"/>
  <c r="DF14" i="6"/>
  <c r="DG14" i="6"/>
  <c r="DI14" i="6"/>
  <c r="DJ14" i="6"/>
  <c r="DB16" i="6"/>
  <c r="DC16" i="6"/>
  <c r="DD16" i="6"/>
  <c r="DE16" i="6"/>
  <c r="DF16" i="6"/>
  <c r="DG16" i="6"/>
  <c r="DI16" i="6"/>
  <c r="DJ16" i="6"/>
  <c r="DB18" i="6"/>
  <c r="DC18" i="6"/>
  <c r="DD18" i="6"/>
  <c r="DE18" i="6"/>
  <c r="DF18" i="6"/>
  <c r="DG18" i="6"/>
  <c r="DI18" i="6"/>
  <c r="DJ18" i="6"/>
  <c r="DB20" i="6"/>
  <c r="DC20" i="6"/>
  <c r="DD20" i="6"/>
  <c r="DE20" i="6"/>
  <c r="DF20" i="6"/>
  <c r="DG20" i="6"/>
  <c r="DI20" i="6"/>
  <c r="DJ20" i="6"/>
  <c r="DB21" i="6"/>
  <c r="DC21" i="6"/>
  <c r="DD21" i="6"/>
  <c r="DE21" i="6"/>
  <c r="DF21" i="6"/>
  <c r="DG21" i="6"/>
  <c r="DI21" i="6"/>
  <c r="DJ21" i="6"/>
  <c r="DB23" i="6"/>
  <c r="DC23" i="6"/>
  <c r="DD23" i="6"/>
  <c r="DE23" i="6"/>
  <c r="DF23" i="6"/>
  <c r="DG23" i="6"/>
  <c r="DI23" i="6"/>
  <c r="DJ23" i="6"/>
  <c r="DA9" i="6"/>
  <c r="DA11" i="6"/>
  <c r="DA12" i="6"/>
  <c r="DA14" i="6"/>
  <c r="DA16" i="6"/>
  <c r="DA18" i="6"/>
  <c r="DA20" i="6"/>
  <c r="DA21" i="6"/>
  <c r="DA23" i="6"/>
  <c r="CX9" i="6"/>
  <c r="CY9" i="6"/>
  <c r="CZ9" i="6"/>
  <c r="CX11" i="6"/>
  <c r="CY11" i="6"/>
  <c r="CZ11" i="6"/>
  <c r="CX12" i="6"/>
  <c r="CY12" i="6"/>
  <c r="CZ12" i="6"/>
  <c r="CX14" i="6"/>
  <c r="CY14" i="6"/>
  <c r="CZ14" i="6"/>
  <c r="CX16" i="6"/>
  <c r="CY16" i="6"/>
  <c r="CZ16" i="6"/>
  <c r="CX18" i="6"/>
  <c r="CY18" i="6"/>
  <c r="CZ18" i="6"/>
  <c r="CX20" i="6"/>
  <c r="CY20" i="6"/>
  <c r="CZ20" i="6"/>
  <c r="CX21" i="6"/>
  <c r="CY21" i="6"/>
  <c r="CZ21" i="6"/>
  <c r="CX23" i="6"/>
  <c r="CY23" i="6"/>
  <c r="I348" i="6" s="1"/>
  <c r="U348" i="6" s="1"/>
  <c r="CZ23" i="6"/>
  <c r="CW9" i="6"/>
  <c r="I345" i="6" s="1"/>
  <c r="U345" i="6" s="1"/>
  <c r="CW11" i="6"/>
  <c r="CW12" i="6"/>
  <c r="CW14" i="6"/>
  <c r="CW16" i="6"/>
  <c r="CW18" i="6"/>
  <c r="CW20" i="6"/>
  <c r="CW21" i="6"/>
  <c r="H275" i="6"/>
  <c r="H276" i="6"/>
  <c r="H277" i="6"/>
  <c r="H278" i="6"/>
  <c r="H279" i="6"/>
  <c r="H280" i="6"/>
  <c r="H274" i="6"/>
  <c r="H273" i="6"/>
  <c r="I346" i="6" l="1"/>
  <c r="U346" i="6" s="1"/>
  <c r="I279" i="6"/>
  <c r="I347" i="6"/>
  <c r="U347" i="6" s="1"/>
  <c r="I275" i="6"/>
  <c r="I276" i="6"/>
  <c r="I278" i="6"/>
  <c r="I274" i="6"/>
  <c r="I277" i="6"/>
  <c r="I280" i="6"/>
  <c r="BU11" i="6"/>
  <c r="BU12" i="6"/>
  <c r="BU13" i="6"/>
  <c r="BU14" i="6"/>
  <c r="BU15" i="6"/>
  <c r="BU16" i="6"/>
  <c r="BU17" i="6"/>
  <c r="BU18" i="6"/>
  <c r="BU10" i="6"/>
  <c r="CA10" i="6"/>
  <c r="BZ10" i="6"/>
  <c r="BZ11" i="6"/>
  <c r="CA11" i="6"/>
  <c r="BZ12" i="6"/>
  <c r="CA12" i="6"/>
  <c r="BZ13" i="6"/>
  <c r="CA13" i="6"/>
  <c r="BZ14" i="6"/>
  <c r="CA14" i="6"/>
  <c r="BZ15" i="6"/>
  <c r="CA15" i="6"/>
  <c r="BZ16" i="6"/>
  <c r="CA16" i="6"/>
  <c r="BZ17" i="6"/>
  <c r="CA17" i="6"/>
  <c r="BZ18" i="6"/>
  <c r="CA18" i="6"/>
  <c r="T350" i="6" l="1"/>
  <c r="I263" i="6"/>
  <c r="O329" i="6" l="1"/>
  <c r="B329" i="6"/>
  <c r="I241" i="6"/>
  <c r="AG44" i="6" l="1"/>
  <c r="AG43" i="6"/>
  <c r="AG42" i="6"/>
  <c r="AG41" i="6"/>
  <c r="AG40" i="6"/>
  <c r="AG39" i="6"/>
  <c r="AG38" i="6"/>
  <c r="AG37" i="6"/>
  <c r="AG36" i="6"/>
  <c r="AG35" i="6"/>
  <c r="AG34" i="6"/>
  <c r="AG33" i="6"/>
  <c r="AG32" i="6"/>
  <c r="AG31" i="6"/>
  <c r="AG30" i="6"/>
  <c r="AG29" i="6"/>
  <c r="AG28" i="6"/>
  <c r="AG27" i="6"/>
  <c r="AG26" i="6"/>
  <c r="AG25" i="6"/>
  <c r="AG24" i="6"/>
  <c r="AG23" i="6"/>
  <c r="AG22" i="6"/>
  <c r="AG21" i="6"/>
  <c r="AG20" i="6"/>
  <c r="AG19" i="6"/>
  <c r="AG18" i="6"/>
  <c r="AG17" i="6"/>
  <c r="AG16" i="6"/>
  <c r="AG15" i="6"/>
  <c r="AG14" i="6"/>
  <c r="AG13" i="6"/>
  <c r="AG12" i="6"/>
  <c r="AG11" i="6"/>
  <c r="AG10" i="6"/>
  <c r="AG9" i="6"/>
  <c r="T329" i="6" l="1"/>
  <c r="R135" i="6"/>
  <c r="L135" i="6"/>
  <c r="L136" i="6"/>
  <c r="M136" i="6" s="1"/>
  <c r="L138" i="6"/>
  <c r="M138" i="6" s="1"/>
  <c r="R142" i="6"/>
  <c r="R140" i="6"/>
  <c r="R136" i="6"/>
  <c r="R138" i="6"/>
  <c r="L142" i="6"/>
  <c r="M142" i="6" s="1"/>
  <c r="L140" i="6"/>
  <c r="M140" i="6" s="1"/>
  <c r="R139" i="6"/>
  <c r="L139" i="6"/>
  <c r="M139" i="6" s="1"/>
  <c r="L141" i="6"/>
  <c r="M141" i="6" s="1"/>
  <c r="R143" i="6"/>
  <c r="R137" i="6"/>
  <c r="L143" i="6"/>
  <c r="M143" i="6" s="1"/>
  <c r="L137" i="6"/>
  <c r="M137" i="6" s="1"/>
  <c r="R141" i="6"/>
  <c r="BT8" i="6"/>
  <c r="T323" i="6" l="1"/>
  <c r="BG16" i="6" l="1"/>
  <c r="BG15" i="6"/>
  <c r="BG14" i="6"/>
  <c r="BG13" i="6"/>
  <c r="BG12" i="6"/>
  <c r="BG11" i="6"/>
  <c r="BG10" i="6"/>
  <c r="BG9" i="6"/>
  <c r="BH9" i="6"/>
  <c r="BH10" i="6"/>
  <c r="BH11" i="6"/>
  <c r="BH12" i="6"/>
  <c r="BH13" i="6"/>
  <c r="BH14" i="6"/>
  <c r="BH15" i="6"/>
  <c r="BH16" i="6"/>
  <c r="BB10" i="6" l="1"/>
  <c r="BB9" i="6"/>
  <c r="AW9" i="6"/>
  <c r="AW10" i="6"/>
  <c r="AW11" i="6"/>
  <c r="AW12" i="6"/>
  <c r="G27" i="6" l="1"/>
  <c r="G26" i="6"/>
  <c r="G25" i="6"/>
  <c r="B27" i="6"/>
  <c r="B26" i="6"/>
  <c r="B25" i="6"/>
  <c r="G24" i="6"/>
  <c r="G16" i="6" l="1"/>
  <c r="G17" i="6"/>
  <c r="T324" i="6" l="1"/>
  <c r="T325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E57" i="6" l="1"/>
  <c r="T327" i="6"/>
  <c r="T351" i="6" s="1"/>
  <c r="T359" i="6" s="1"/>
  <c r="T330" i="6"/>
  <c r="C99" i="6"/>
  <c r="F99" i="6" s="1"/>
  <c r="D99" i="6"/>
  <c r="CF14" i="6"/>
  <c r="T333" i="6" l="1"/>
  <c r="T335" i="6" s="1"/>
  <c r="T336" i="6" s="1"/>
  <c r="T337" i="6" s="1"/>
  <c r="T338" i="6" s="1"/>
  <c r="T358" i="6" s="1"/>
  <c r="G99" i="6"/>
  <c r="H99" i="6" s="1"/>
  <c r="G117" i="6"/>
  <c r="E108" i="6"/>
  <c r="H117" i="6" l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T314" i="6" l="1"/>
  <c r="T315" i="6" s="1"/>
  <c r="T357" i="6" s="1"/>
  <c r="R117" i="6"/>
  <c r="L117" i="6"/>
  <c r="S135" i="6"/>
  <c r="U135" i="6" s="1"/>
  <c r="M135" i="6"/>
  <c r="O135" i="6" s="1"/>
  <c r="G107" i="6"/>
  <c r="H107" i="6" s="1"/>
  <c r="G125" i="6"/>
  <c r="G124" i="6"/>
  <c r="G106" i="6"/>
  <c r="H106" i="6" s="1"/>
  <c r="G123" i="6"/>
  <c r="G105" i="6"/>
  <c r="H105" i="6" s="1"/>
  <c r="G101" i="6"/>
  <c r="H101" i="6" s="1"/>
  <c r="G119" i="6"/>
  <c r="G122" i="6"/>
  <c r="G104" i="6"/>
  <c r="H104" i="6" s="1"/>
  <c r="G121" i="6"/>
  <c r="G103" i="6"/>
  <c r="H103" i="6" s="1"/>
  <c r="G100" i="6"/>
  <c r="H100" i="6" s="1"/>
  <c r="G118" i="6"/>
  <c r="G102" i="6"/>
  <c r="H102" i="6" s="1"/>
  <c r="G120" i="6"/>
  <c r="H125" i="6" l="1"/>
  <c r="S143" i="6"/>
  <c r="U143" i="6" s="1"/>
  <c r="H122" i="6"/>
  <c r="S140" i="6"/>
  <c r="U140" i="6" s="1"/>
  <c r="H119" i="6"/>
  <c r="S137" i="6"/>
  <c r="U137" i="6" s="1"/>
  <c r="H123" i="6"/>
  <c r="S141" i="6"/>
  <c r="U141" i="6" s="1"/>
  <c r="H120" i="6"/>
  <c r="S138" i="6"/>
  <c r="U138" i="6" s="1"/>
  <c r="H118" i="6"/>
  <c r="S136" i="6"/>
  <c r="U136" i="6" s="1"/>
  <c r="H121" i="6"/>
  <c r="S139" i="6"/>
  <c r="U139" i="6" s="1"/>
  <c r="H124" i="6"/>
  <c r="S142" i="6"/>
  <c r="U142" i="6" s="1"/>
  <c r="I102" i="6"/>
  <c r="K102" i="6" s="1"/>
  <c r="N102" i="6"/>
  <c r="I101" i="6"/>
  <c r="K101" i="6" s="1"/>
  <c r="N101" i="6"/>
  <c r="I104" i="6"/>
  <c r="K104" i="6" s="1"/>
  <c r="N104" i="6"/>
  <c r="I105" i="6"/>
  <c r="K105" i="6" s="1"/>
  <c r="N105" i="6"/>
  <c r="I106" i="6"/>
  <c r="K106" i="6" s="1"/>
  <c r="N106" i="6"/>
  <c r="I103" i="6"/>
  <c r="K103" i="6" s="1"/>
  <c r="N103" i="6"/>
  <c r="I107" i="6"/>
  <c r="K107" i="6" s="1"/>
  <c r="N107" i="6"/>
  <c r="I100" i="6"/>
  <c r="K100" i="6" s="1"/>
  <c r="N100" i="6"/>
  <c r="N99" i="6"/>
  <c r="I99" i="6"/>
  <c r="K99" i="6" s="1"/>
  <c r="R123" i="6" l="1"/>
  <c r="L123" i="6"/>
  <c r="R121" i="6"/>
  <c r="L121" i="6"/>
  <c r="R119" i="6"/>
  <c r="L119" i="6"/>
  <c r="R118" i="6"/>
  <c r="L118" i="6"/>
  <c r="R122" i="6"/>
  <c r="L122" i="6"/>
  <c r="R124" i="6"/>
  <c r="L124" i="6"/>
  <c r="R120" i="6"/>
  <c r="L120" i="6"/>
  <c r="R125" i="6"/>
  <c r="L125" i="6"/>
  <c r="O137" i="6"/>
  <c r="O139" i="6"/>
  <c r="O141" i="6"/>
  <c r="O136" i="6"/>
  <c r="O140" i="6"/>
  <c r="O138" i="6"/>
  <c r="O143" i="6"/>
  <c r="O142" i="6"/>
  <c r="K108" i="6"/>
  <c r="L99" i="6" s="1"/>
  <c r="N108" i="6"/>
  <c r="O99" i="6" s="1"/>
  <c r="O144" i="6" l="1"/>
  <c r="P135" i="6" s="1"/>
  <c r="I135" i="6"/>
  <c r="U144" i="6"/>
  <c r="V135" i="6" s="1"/>
  <c r="T355" i="6" l="1"/>
  <c r="T360" i="6" s="1"/>
  <c r="M124" i="6"/>
  <c r="O124" i="6" s="1"/>
  <c r="S124" i="6"/>
  <c r="U124" i="6" s="1"/>
  <c r="M125" i="6"/>
  <c r="O125" i="6" s="1"/>
  <c r="S125" i="6"/>
  <c r="U125" i="6" s="1"/>
  <c r="M118" i="6"/>
  <c r="O118" i="6" s="1"/>
  <c r="S118" i="6"/>
  <c r="U118" i="6" s="1"/>
  <c r="S117" i="6"/>
  <c r="U117" i="6" s="1"/>
  <c r="M119" i="6"/>
  <c r="S119" i="6"/>
  <c r="M117" i="6"/>
  <c r="O117" i="6" s="1"/>
  <c r="M121" i="6"/>
  <c r="O121" i="6" s="1"/>
  <c r="S121" i="6"/>
  <c r="U121" i="6" s="1"/>
  <c r="M122" i="6"/>
  <c r="O122" i="6" s="1"/>
  <c r="S122" i="6"/>
  <c r="U122" i="6" s="1"/>
  <c r="M123" i="6"/>
  <c r="O123" i="6" s="1"/>
  <c r="S123" i="6"/>
  <c r="U123" i="6" s="1"/>
  <c r="M120" i="6"/>
  <c r="S120" i="6"/>
  <c r="I50" i="6" l="1"/>
  <c r="I49" i="6"/>
  <c r="I43" i="6"/>
  <c r="I44" i="6"/>
  <c r="E64" i="6"/>
  <c r="I45" i="6"/>
  <c r="I47" i="6"/>
  <c r="I42" i="6"/>
  <c r="I46" i="6"/>
  <c r="E56" i="6" s="1"/>
  <c r="I48" i="6"/>
  <c r="F57" i="6" l="1"/>
  <c r="U120" i="6"/>
  <c r="O120" i="6"/>
  <c r="F56" i="6"/>
  <c r="F64" i="6"/>
  <c r="E63" i="6"/>
  <c r="F63" i="6" l="1"/>
  <c r="G63" i="6" s="1"/>
  <c r="G56" i="6"/>
  <c r="I56" i="6" s="1"/>
  <c r="J56" i="6" s="1"/>
  <c r="E126" i="6" l="1"/>
  <c r="I117" i="6"/>
  <c r="U119" i="6"/>
  <c r="U126" i="6" s="1"/>
  <c r="V117" i="6" s="1"/>
  <c r="O119" i="6"/>
  <c r="O126" i="6" s="1"/>
  <c r="P117" i="6" s="1"/>
  <c r="B70" i="6"/>
  <c r="I63" i="6"/>
  <c r="E70" i="6" s="1"/>
  <c r="F70" i="6" l="1"/>
  <c r="H70" i="6" l="1"/>
  <c r="I298" i="6" l="1"/>
  <c r="I300" i="6"/>
  <c r="I297" i="6" l="1"/>
  <c r="CF1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A89EF312-21CF-465F-A6A2-F26CE584289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5B23A54D-0F3D-4012-B30E-342D656B3FB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2" authorId="0" shapeId="0" xr:uid="{40482F2E-575D-4331-9368-ED242928B14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2222F8B-5121-4F86-A5E3-1493FF1DDA13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29" authorId="0" shapeId="0" xr:uid="{F81E4AE3-0FE8-40EC-83D1-C464ACFB3835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2" authorId="0" shapeId="0" xr:uid="{C13271B4-80EF-452F-BF6D-431E1B4FA17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3" authorId="0" shapeId="0" xr:uid="{E1CEAF48-CC90-4BC8-BEDE-D0A595C031D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<sst xmlns="http://schemas.openxmlformats.org/spreadsheetml/2006/main" count="1496" uniqueCount="770">
  <si>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</si>
  <si>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</si>
  <si>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</si>
  <si>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</si>
  <si>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</si>
  <si>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</si>
  <si>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</si>
  <si>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</si>
  <si>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</si>
  <si>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</si>
  <si>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</si>
  <si>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</si>
  <si>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</si>
  <si>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</si>
  <si>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</si>
  <si>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</si>
  <si>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</si>
  <si>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</si>
  <si>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</si>
  <si>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</si>
  <si>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</si>
  <si>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</si>
  <si>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</si>
  <si>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</si>
  <si>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</si>
  <si>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</si>
  <si>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</si>
  <si>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</si>
  <si>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</si>
  <si>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</si>
  <si>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</si>
  <si>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</si>
  <si>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</si>
  <si>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</si>
  <si>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</si>
  <si>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</si>
  <si>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</si>
  <si>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</si>
  <si>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</si>
  <si>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</si>
  <si>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</si>
  <si>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</si>
  <si>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</si>
  <si>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</si>
  <si>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</si>
  <si>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</si>
  <si>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</si>
  <si>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</si>
  <si>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</si>
  <si>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</si>
  <si>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</si>
  <si>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</si>
  <si>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</si>
  <si>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</si>
  <si>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</si>
  <si>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</si>
  <si>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</si>
  <si>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</si>
  <si>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</si>
  <si>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</si>
  <si>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</si>
  <si>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</si>
  <si>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</si>
  <si>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</si>
  <si>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</si>
  <si>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</si>
  <si>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</si>
  <si>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</si>
  <si>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</si>
  <si>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</si>
  <si>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</si>
  <si>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</si>
  <si>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</si>
  <si>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</si>
  <si>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</si>
  <si>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</si>
  <si>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</si>
  <si>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</si>
  <si>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</si>
  <si>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</si>
  <si>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</si>
  <si>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</si>
  <si>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</si>
  <si>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</si>
  <si>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</si>
  <si>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</si>
  <si>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</si>
  <si>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</si>
  <si>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</si>
  <si>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</si>
  <si>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</si>
  <si>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</si>
  <si>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</si>
  <si>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</si>
  <si>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</si>
  <si>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</si>
  <si>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</si>
  <si>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</si>
  <si>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</si>
  <si>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</si>
  <si>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</si>
  <si>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</si>
  <si>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</si>
  <si>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</si>
  <si>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</si>
  <si>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</si>
  <si>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</si>
  <si>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</si>
  <si>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</si>
  <si>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</si>
  <si>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</si>
  <si>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</si>
  <si>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</si>
  <si>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</si>
  <si>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</si>
  <si>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</si>
  <si>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</si>
  <si>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</si>
  <si>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</si>
  <si>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</si>
  <si>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</si>
  <si>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</si>
  <si>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</si>
  <si>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</si>
  <si>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</si>
  <si>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</si>
  <si>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</si>
  <si>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</si>
  <si>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</si>
  <si>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</si>
  <si>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</si>
  <si>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</si>
  <si>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</si>
  <si>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</si>
  <si>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</si>
  <si>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</si>
  <si>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</si>
  <si>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</si>
  <si>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</si>
  <si>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</si>
  <si>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</si>
  <si>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</si>
  <si>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</si>
  <si>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</si>
  <si>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</si>
  <si>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</si>
  <si>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</si>
  <si>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</si>
  <si>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</si>
  <si>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</si>
  <si>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</si>
  <si>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</si>
  <si>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</si>
  <si>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</si>
  <si>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</si>
  <si>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</si>
  <si>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</si>
  <si>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</si>
  <si>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</si>
  <si>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</si>
  <si>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</si>
  <si>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</si>
  <si>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</si>
  <si>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</si>
  <si>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</si>
  <si>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</si>
  <si>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</si>
  <si>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</si>
  <si>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</si>
  <si>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</si>
  <si>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</si>
  <si>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</si>
  <si>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</si>
  <si>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</si>
  <si>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</si>
  <si>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</si>
  <si>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</si>
  <si>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</si>
  <si>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</si>
  <si>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</si>
  <si>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</si>
  <si>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</si>
  <si>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</si>
  <si>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</si>
  <si>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</si>
  <si>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</si>
  <si>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</si>
  <si>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</si>
  <si>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</si>
  <si>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</si>
  <si>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</si>
  <si>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</si>
  <si>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</si>
  <si>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</si>
  <si>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</si>
  <si>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</si>
  <si>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</si>
  <si>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</si>
  <si>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</si>
  <si>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</si>
  <si>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</si>
  <si>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</si>
  <si>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</si>
  <si>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</si>
  <si>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</si>
  <si>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</si>
  <si>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</si>
  <si>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</si>
  <si>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</si>
  <si>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</si>
  <si>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</si>
  <si>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</si>
  <si>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</si>
  <si>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</si>
  <si>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</si>
  <si>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</si>
  <si>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</si>
  <si>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</si>
  <si>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</si>
  <si>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</si>
  <si>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</si>
  <si>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</si>
  <si>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</si>
  <si>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</si>
  <si>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</si>
  <si>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</si>
  <si>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</si>
  <si>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</si>
  <si>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</si>
  <si>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</si>
  <si>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</si>
  <si>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</si>
  <si>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</si>
  <si>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</si>
  <si>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</si>
  <si>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</si>
  <si>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</si>
  <si>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</si>
  <si>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</si>
  <si>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</si>
  <si>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</si>
  <si>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</si>
  <si>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</si>
  <si>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</si>
  <si>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</si>
  <si>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</si>
  <si>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</si>
  <si>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</si>
  <si>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</si>
  <si>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</si>
  <si>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</si>
  <si>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</si>
  <si>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</si>
  <si>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</si>
  <si>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</si>
  <si>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</si>
  <si>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</si>
  <si>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</si>
  <si>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</si>
  <si>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</si>
  <si>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</si>
  <si>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</si>
  <si>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</si>
  <si>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</si>
  <si>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</si>
  <si>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</si>
  <si>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</si>
  <si>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</si>
  <si>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</si>
  <si>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</si>
  <si>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</si>
  <si>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</si>
  <si>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</si>
  <si>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</si>
  <si>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</si>
  <si>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</si>
  <si>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</si>
  <si>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</si>
  <si>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</si>
  <si>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</si>
  <si>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</si>
  <si>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</si>
  <si>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</si>
  <si>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</si>
  <si>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</si>
  <si>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</si>
  <si>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</si>
  <si>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</si>
  <si>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</si>
  <si>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</si>
  <si>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</si>
  <si>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</si>
  <si>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</si>
  <si>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</si>
  <si>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</si>
  <si>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</si>
  <si>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</si>
  <si>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</si>
  <si>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</si>
  <si>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</si>
  <si>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</si>
  <si>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</si>
  <si>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</si>
  <si>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</si>
  <si>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</si>
  <si>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</si>
  <si>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</si>
  <si>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</si>
  <si>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</si>
  <si>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</si>
  <si>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</si>
  <si>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</si>
  <si>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</si>
  <si>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</si>
  <si>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</si>
  <si>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</si>
  <si>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</si>
  <si>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</si>
  <si>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</si>
  <si>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</si>
  <si>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</si>
  <si>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</si>
  <si>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</si>
  <si>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</si>
  <si>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</si>
  <si>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</si>
  <si>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</si>
  <si>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</si>
  <si>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</si>
  <si>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</si>
  <si>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</si>
  <si>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</si>
  <si>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</si>
  <si>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</si>
  <si>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</si>
  <si>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</si>
  <si>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</si>
  <si>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</si>
  <si>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</si>
  <si>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</si>
  <si>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</si>
  <si>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</si>
  <si>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</si>
  <si>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</si>
  <si>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</si>
  <si>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</si>
  <si>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</si>
  <si>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</si>
  <si>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</si>
  <si>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</si>
  <si>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</si>
  <si>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</si>
  <si>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</si>
  <si>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</si>
  <si>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</si>
  <si>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</si>
  <si>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</si>
  <si>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</si>
  <si>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</si>
  <si>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</si>
  <si>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</si>
  <si>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</si>
  <si>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</si>
  <si>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</si>
  <si>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</si>
  <si>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</si>
  <si>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</si>
  <si>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</si>
  <si>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</si>
  <si>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</si>
  <si>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</si>
  <si>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</si>
  <si>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</si>
  <si>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</si>
  <si>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</si>
  <si>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</si>
  <si>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</si>
  <si>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</si>
  <si>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</si>
  <si>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</si>
  <si>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</si>
  <si>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</si>
  <si>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</si>
  <si>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</si>
  <si>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</si>
  <si>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</si>
  <si>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</si>
  <si>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</si>
  <si>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</si>
  <si>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</si>
  <si>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</si>
  <si>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</si>
  <si>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</si>
  <si>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</si>
  <si>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</si>
  <si>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</si>
  <si>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</si>
  <si>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</si>
  <si>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</si>
  <si>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</si>
  <si>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</si>
  <si>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</si>
  <si>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</si>
  <si>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</si>
  <si>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</si>
  <si>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</si>
  <si>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</si>
  <si>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</si>
  <si>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</si>
  <si>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</si>
  <si>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</si>
  <si>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</si>
  <si>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</si>
  <si>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</si>
  <si>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</si>
  <si>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</si>
  <si>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</si>
  <si>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</si>
  <si>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</si>
  <si>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</si>
  <si>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</si>
  <si>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</si>
  <si>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</si>
  <si>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</si>
  <si>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</si>
  <si>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</si>
  <si>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</si>
  <si>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</si>
  <si>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</si>
  <si>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</si>
  <si>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</si>
  <si>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</si>
  <si>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</si>
  <si>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</si>
  <si>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</si>
  <si>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</si>
  <si>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</si>
  <si>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</si>
  <si>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</si>
  <si>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</si>
  <si>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</si>
  <si>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</si>
  <si>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</si>
  <si>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</si>
  <si>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</si>
  <si>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</si>
  <si>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</si>
  <si>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</si>
  <si>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Velocidad en la tubería de lavado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</si>
  <si>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</si>
  <si>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</si>
  <si>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</si>
  <si>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</si>
  <si>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</si>
  <si>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</si>
  <si>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</si>
  <si>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</si>
  <si>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</si>
  <si>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</si>
  <si>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</si>
  <si>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</si>
  <si>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</si>
  <si>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</si>
  <si>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</si>
  <si>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</si>
  <si>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</si>
  <si>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</si>
  <si>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</si>
  <si>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</si>
  <si>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</si>
  <si>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</si>
  <si>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</si>
  <si>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</si>
  <si>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</si>
  <si>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</si>
  <si>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</si>
  <si>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</si>
  <si>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</si>
  <si>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</si>
  <si>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</si>
  <si>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</si>
  <si>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</si>
  <si>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</si>
  <si>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</si>
  <si>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</si>
  <si>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</si>
  <si>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</si>
  <si>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</si>
  <si>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</si>
  <si>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</si>
  <si>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</si>
  <si>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</si>
  <si>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</si>
  <si>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</si>
  <si>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</si>
  <si>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</si>
  <si>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</si>
  <si>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</si>
  <si>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</si>
  <si>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</si>
  <si>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</si>
  <si>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</si>
  <si>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</si>
  <si>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</si>
  <si>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</si>
  <si>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</si>
  <si>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</si>
  <si>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</si>
  <si>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</si>
  <si>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</si>
  <si>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</si>
  <si>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</si>
  <si>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</si>
  <si>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</si>
  <si>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</si>
  <si>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</si>
  <si>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</si>
  <si>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</si>
  <si>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</si>
  <si>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</si>
  <si>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</si>
  <si>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</si>
  <si>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</si>
  <si>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</si>
  <si>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</si>
  <si>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</si>
  <si>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</si>
  <si>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</si>
  <si>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</si>
  <si>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</si>
  <si>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</si>
  <si>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</si>
  <si>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</si>
  <si>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</si>
  <si>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</si>
  <si>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</si>
  <si>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</si>
  <si>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</si>
  <si>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</si>
  <si>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</si>
  <si>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</si>
  <si>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</si>
  <si>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</si>
  <si>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</si>
  <si>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</si>
  <si>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</si>
  <si>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</si>
  <si>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</si>
  <si>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</si>
  <si>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</si>
  <si>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m²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</si>
  <si>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</si>
  <si>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Ancho (W)</t>
  </si>
  <si>
    <t>Longitud (L)</t>
  </si>
  <si>
    <t>Altura (a)</t>
  </si>
  <si>
    <t>Densidad del agua (ρ)</t>
  </si>
  <si>
    <t>Kg/m³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</si>
  <si>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</si>
  <si>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</si>
  <si>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</si>
  <si>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</si>
  <si>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</si>
  <si>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</si>
  <si>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</si>
  <si>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</si>
  <si>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</si>
  <si>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</si>
  <si>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</si>
  <si>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</si>
  <si>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</si>
  <si>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</si>
  <si>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</si>
  <si>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</si>
  <si>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</si>
  <si>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</si>
  <si>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</si>
  <si>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</si>
  <si>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</si>
  <si>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</si>
  <si>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</si>
  <si>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</si>
  <si>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</si>
  <si>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</si>
  <si>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</si>
  <si>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</si>
  <si>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</si>
  <si>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</si>
  <si>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</si>
  <si>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</si>
  <si>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</si>
  <si>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</si>
  <si>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</si>
  <si>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</si>
  <si>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</si>
  <si>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</si>
  <si>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</si>
  <si>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</si>
  <si>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</si>
  <si>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</si>
  <si>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</si>
  <si>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</si>
  <si>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</si>
  <si>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</si>
  <si>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</si>
  <si>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</si>
  <si>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</si>
  <si>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</si>
  <si>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</si>
  <si>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</si>
  <si>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</si>
  <si>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</si>
  <si>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</si>
  <si>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</si>
  <si>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</si>
  <si>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</si>
  <si>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</si>
  <si>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</si>
  <si>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</si>
  <si>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</si>
  <si>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</si>
  <si>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</si>
  <si>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</si>
  <si>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</si>
  <si>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</si>
  <si>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</si>
  <si>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</si>
  <si>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</si>
  <si>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</si>
  <si>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</si>
  <si>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</si>
  <si>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</si>
  <si>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</si>
  <si>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</si>
  <si>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</si>
  <si>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cm</t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</si>
  <si>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</si>
  <si>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</si>
  <si>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</si>
  <si>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</si>
  <si>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</si>
  <si>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</si>
  <si>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</si>
  <si>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</si>
  <si>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</si>
  <si>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</si>
  <si>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</si>
  <si>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</si>
  <si>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</si>
  <si>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</si>
  <si>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</si>
  <si>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</si>
  <si>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</si>
  <si>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</si>
  <si>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</si>
  <si>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</si>
  <si>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</si>
  <si>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</si>
  <si>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</si>
  <si>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</si>
  <si>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</si>
  <si>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</si>
  <si>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</si>
  <si>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</si>
  <si>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</si>
  <si>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</si>
  <si>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</si>
  <si>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</si>
  <si>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</si>
  <si>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</si>
  <si>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</si>
  <si>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</si>
  <si>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</si>
  <si>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</si>
  <si>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</si>
  <si>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</si>
  <si>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</si>
  <si>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</si>
  <si>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</si>
  <si>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</si>
  <si>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</si>
  <si>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</si>
  <si>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</si>
  <si>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</si>
  <si>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</si>
  <si>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</si>
  <si>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</si>
  <si>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</si>
  <si>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</si>
  <si>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</si>
  <si>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</si>
  <si>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DETERMINACIÓN DE PARÁMETROS BÁSICOS DE DISEÑO</t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</si>
  <si>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</si>
  <si>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</si>
  <si>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</si>
  <si>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</si>
  <si>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</si>
  <si>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</si>
  <si>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</si>
  <si>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</si>
  <si>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</si>
  <si>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</si>
  <si>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</si>
  <si>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</si>
  <si>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</si>
  <si>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</si>
  <si>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</si>
  <si>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</si>
  <si>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</si>
  <si>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</si>
  <si>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</si>
  <si>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</si>
  <si>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</si>
  <si>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</si>
  <si>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</si>
  <si>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</si>
  <si>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</si>
  <si>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</si>
  <si>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</si>
  <si>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</si>
  <si>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</si>
  <si>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</si>
  <si>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</si>
  <si>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</si>
  <si>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</si>
  <si>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</si>
  <si>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</si>
  <si>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</si>
  <si>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</si>
  <si>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</si>
  <si>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</si>
  <si>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</si>
  <si>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</si>
  <si>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</si>
  <si>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</si>
  <si>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</si>
  <si>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</si>
  <si>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</si>
  <si>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</si>
  <si>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</si>
  <si>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</si>
  <si>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</si>
  <si>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</si>
  <si>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</si>
  <si>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</si>
  <si>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</si>
  <si>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</si>
  <si>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Temperatura T</t>
  </si>
  <si>
    <t>Densidad ρ</t>
  </si>
  <si>
    <t>Columna1</t>
  </si>
  <si>
    <t>Diametro interconexión (D) m</t>
  </si>
  <si>
    <t>Viscocidad Dinamica del agua (µ)</t>
  </si>
  <si>
    <t>N.s/m2</t>
  </si>
  <si>
    <t>Viscocidad Cinematica del agua (v)</t>
  </si>
  <si>
    <t>Estabilidad del floculo (S)</t>
  </si>
  <si>
    <t>Estabilidad del floculo</t>
  </si>
  <si>
    <t>RDE 21 PVC Tipo 1, Grado 1</t>
  </si>
  <si>
    <t>Diametro pulg</t>
  </si>
  <si>
    <t>Diametro exterior m</t>
  </si>
  <si>
    <t>Diametro interior m</t>
  </si>
  <si>
    <t>Longitud ocupada por las placas/modulos</t>
  </si>
  <si>
    <t>Ancho de las placas/modulos</t>
  </si>
  <si>
    <t>Número de canales/condutos a lo largo de la unidad</t>
  </si>
  <si>
    <t>Velocidad promedio de flujo entre placas/conductos</t>
  </si>
  <si>
    <t>Tiempo de retención en cada canal/conducto</t>
  </si>
  <si>
    <t>Velocidad promedio del flujo entre placas/conductos</t>
  </si>
  <si>
    <t>Viscocidad dinámica del agua a m °C</t>
  </si>
  <si>
    <t>Velocidad de asentamiento del medio filtrante a m °C</t>
  </si>
  <si>
    <t>Velocidad de fluidización del medio filtrante a m °C</t>
  </si>
  <si>
    <t>Velocidad óptima de lavado a m °C</t>
  </si>
  <si>
    <t>Viscocidad cinemática del agua a m 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</si>
</sst>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03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2" fontId="16" fillId="2" borderId="0" xfId="0" applyNumberFormat="1" applyFont="1" applyFill="1" applyBorder="1" applyAlignment="1">
      <alignment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2" fontId="10" fillId="2" borderId="1" xfId="0" applyNumberFormat="1" applyFont="1" applyFill="1" applyBorder="1" applyAlignment="1">
      <alignment horizontal="center" vertical="top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54" fillId="2" borderId="0" xfId="0" applyFont="1" applyFill="1" applyAlignment="1">
      <alignment vertical="center"/>
    </xf>
    <xf numFmtId="0" fontId="54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4" fillId="2" borderId="0" xfId="0" applyFont="1" applyFill="1" applyBorder="1" applyAlignment="1">
      <alignment horizontal="left" vertical="center"/>
    </xf>
    <xf numFmtId="9" fontId="55" fillId="2" borderId="0" xfId="0" applyNumberFormat="1" applyFont="1" applyFill="1" applyBorder="1" applyAlignment="1">
      <alignment horizontal="center" vertical="center"/>
    </xf>
    <xf numFmtId="2" fontId="55" fillId="2" borderId="0" xfId="0" applyNumberFormat="1" applyFont="1" applyFill="1" applyBorder="1" applyAlignment="1">
      <alignment horizontal="center" vertical="center"/>
    </xf>
    <xf numFmtId="0" fontId="54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9" fontId="9" fillId="2" borderId="0" xfId="0" applyNumberFormat="1" applyFont="1" applyFill="1" applyBorder="1" applyAlignment="1">
      <alignment horizontal="center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2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0" fontId="43" fillId="2" borderId="0" xfId="0" applyFont="1" applyFill="1"/>
    <xf numFmtId="0" fontId="43" fillId="2" borderId="3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horizontal="center" vertical="center"/>
    </xf>
    <xf numFmtId="0" fontId="43" fillId="2" borderId="1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wrapText="1"/>
    </xf>
    <xf numFmtId="2" fontId="43" fillId="2" borderId="0" xfId="0" applyNumberFormat="1" applyFont="1" applyFill="1" applyAlignment="1">
      <alignment horizontal="center" vertical="center"/>
    </xf>
    <xf numFmtId="0" fontId="42" fillId="2" borderId="0" xfId="0" applyFont="1" applyFill="1"/>
    <xf numFmtId="2" fontId="42" fillId="9" borderId="1" xfId="0" applyNumberFormat="1" applyFont="1" applyFill="1" applyBorder="1" applyAlignment="1">
      <alignment horizontal="left" vertical="center"/>
    </xf>
    <xf numFmtId="2" fontId="43" fillId="10" borderId="1" xfId="0" applyNumberFormat="1" applyFont="1" applyFill="1" applyBorder="1" applyAlignment="1">
      <alignment horizontal="left" vertical="center"/>
    </xf>
    <xf numFmtId="2" fontId="43" fillId="11" borderId="1" xfId="0" applyNumberFormat="1" applyFont="1" applyFill="1" applyBorder="1" applyAlignment="1">
      <alignment horizontal="left" vertical="center"/>
    </xf>
    <xf numFmtId="165" fontId="43" fillId="2" borderId="1" xfId="0" applyNumberFormat="1" applyFont="1" applyFill="1" applyBorder="1" applyAlignment="1">
      <alignment horizontal="left" vertical="center"/>
    </xf>
    <xf numFmtId="2" fontId="46" fillId="12" borderId="1" xfId="0" applyNumberFormat="1" applyFont="1" applyFill="1" applyBorder="1" applyAlignment="1">
      <alignment horizontal="left"/>
    </xf>
    <xf numFmtId="0" fontId="47" fillId="2" borderId="1" xfId="0" applyFont="1" applyFill="1" applyBorder="1"/>
    <xf numFmtId="0" fontId="51" fillId="2" borderId="1" xfId="0" applyFont="1" applyFill="1" applyBorder="1"/>
    <xf numFmtId="0" fontId="43" fillId="2" borderId="0" xfId="0" applyFont="1" applyFill="1" applyAlignment="1">
      <alignment horizontal="center"/>
    </xf>
    <xf numFmtId="173" fontId="47" fillId="2" borderId="0" xfId="0" applyNumberFormat="1" applyFont="1" applyFill="1" applyAlignment="1">
      <alignment horizontal="left"/>
    </xf>
    <xf numFmtId="0" fontId="44" fillId="2" borderId="0" xfId="0" applyFont="1" applyFill="1"/>
    <xf numFmtId="173" fontId="47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51" fillId="2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0" fontId="46" fillId="2" borderId="0" xfId="0" applyFont="1" applyFill="1" applyAlignment="1">
      <alignment horizontal="center" vertical="center"/>
    </xf>
    <xf numFmtId="0" fontId="49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173" fontId="48" fillId="2" borderId="0" xfId="0" applyNumberFormat="1" applyFont="1" applyFill="1" applyAlignment="1">
      <alignment horizontal="right"/>
    </xf>
    <xf numFmtId="2" fontId="43" fillId="2" borderId="1" xfId="0" applyNumberFormat="1" applyFont="1" applyFill="1" applyBorder="1" applyAlignment="1">
      <alignment horizontal="right" vertical="center"/>
    </xf>
    <xf numFmtId="171" fontId="43" fillId="2" borderId="1" xfId="0" applyNumberFormat="1" applyFont="1" applyFill="1" applyBorder="1" applyAlignment="1">
      <alignment horizontal="right" vertical="center"/>
    </xf>
    <xf numFmtId="172" fontId="43" fillId="2" borderId="1" xfId="0" applyNumberFormat="1" applyFont="1" applyFill="1" applyBorder="1" applyAlignment="1">
      <alignment horizontal="right" vertical="center"/>
    </xf>
    <xf numFmtId="2" fontId="43" fillId="2" borderId="0" xfId="0" applyNumberFormat="1" applyFont="1" applyFill="1" applyBorder="1" applyAlignment="1">
      <alignment horizontal="right" vertical="center"/>
    </xf>
    <xf numFmtId="0" fontId="43" fillId="2" borderId="0" xfId="0" applyFont="1" applyFill="1" applyBorder="1"/>
    <xf numFmtId="172" fontId="43" fillId="2" borderId="0" xfId="0" applyNumberFormat="1" applyFont="1" applyFill="1"/>
    <xf numFmtId="172" fontId="43" fillId="2" borderId="1" xfId="0" applyNumberFormat="1" applyFont="1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left" vertical="top" wrapText="1"/>
    </xf>
    <xf numFmtId="0" fontId="43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3" fillId="2" borderId="0" xfId="0" applyFont="1" applyFill="1" applyAlignment="1">
      <alignment horizontal="left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/>
    </xf>
    <xf numFmtId="0" fontId="42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wrapText="1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0" xfId="0" applyFill="1" applyAlignment="1">
      <alignment horizontal="justify" vertical="center" wrapText="1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0" fillId="7" borderId="1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1" fontId="17" fillId="2" borderId="4" xfId="0" applyNumberFormat="1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0" fillId="7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0" fontId="8" fillId="2" borderId="1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justify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left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2" fontId="5" fillId="2" borderId="1" xfId="0" applyNumberFormat="1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3">
    <cellStyle name="Millares" xfId="2" builtinId="3"/>
    <cellStyle name="Moneda" xfId="1" builtinId="4"/>
    <cellStyle name="Normal" xfId="0" builtinId="0"/>
  </cellStyles>
  <dxfs count="47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34</xdr:row>
      <xdr:rowOff>31327</xdr:rowOff>
    </xdr:from>
    <xdr:to>
      <xdr:col>9</xdr:col>
      <xdr:colOff>626324</xdr:colOff>
      <xdr:row>41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004A0FF-E971-4233-A1E0-937B98244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28364" y="6660727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588857</xdr:colOff>
      <xdr:row>21</xdr:row>
      <xdr:rowOff>1906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02BB80-C4BC-4EBF-9769-1E1E2EDB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37598" y="1963620"/>
          <a:ext cx="2800109" cy="189400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44</xdr:row>
      <xdr:rowOff>3123</xdr:rowOff>
    </xdr:from>
    <xdr:to>
      <xdr:col>9</xdr:col>
      <xdr:colOff>506731</xdr:colOff>
      <xdr:row>50</xdr:row>
      <xdr:rowOff>160435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EB72A1-1CE6-4C93-9881-910CB8CB8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2894" y="8575623"/>
          <a:ext cx="2419732" cy="1298407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55</xdr:row>
      <xdr:rowOff>82550</xdr:rowOff>
    </xdr:from>
    <xdr:to>
      <xdr:col>9</xdr:col>
      <xdr:colOff>712470</xdr:colOff>
      <xdr:row>59</xdr:row>
      <xdr:rowOff>140971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A69AB9D-3AA0-4BC5-9E74-0E941894C6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876225" y="10750550"/>
          <a:ext cx="2905950" cy="82232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653480</xdr:colOff>
      <xdr:row>30</xdr:row>
      <xdr:rowOff>150706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7C45B86-4D5F-4DDC-8DAD-519820C570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7052734" y="4474632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313371</xdr:colOff>
      <xdr:row>74</xdr:row>
      <xdr:rowOff>9207</xdr:rowOff>
    </xdr:from>
    <xdr:to>
      <xdr:col>34</xdr:col>
      <xdr:colOff>84127</xdr:colOff>
      <xdr:row>80</xdr:row>
      <xdr:rowOff>39688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A276A74-00CD-4C3F-B8D2-CEF4042117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7095171" y="14420532"/>
          <a:ext cx="2816851" cy="1173481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62</xdr:row>
      <xdr:rowOff>26035</xdr:rowOff>
    </xdr:from>
    <xdr:to>
      <xdr:col>9</xdr:col>
      <xdr:colOff>171973</xdr:colOff>
      <xdr:row>65</xdr:row>
      <xdr:rowOff>162451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C792C3-5B9F-48FE-B8DD-CA38C0E86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766884" y="1211326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69</xdr:row>
      <xdr:rowOff>74588</xdr:rowOff>
    </xdr:from>
    <xdr:to>
      <xdr:col>8</xdr:col>
      <xdr:colOff>546328</xdr:colOff>
      <xdr:row>72</xdr:row>
      <xdr:rowOff>2333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9F9F01A-8A72-492C-BF0C-BDEAC419C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640913" y="1349531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4</xdr:row>
      <xdr:rowOff>168433</xdr:rowOff>
    </xdr:to>
    <xdr:pic>
      <xdr:nvPicPr>
        <xdr:cNvPr id="10" name="Imagen 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35326E93-6929-4142-95FA-05560EDA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7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6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7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6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26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11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8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9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8</xdr:col>
      <xdr:colOff>836083</xdr:colOff>
      <xdr:row>372</xdr:row>
      <xdr:rowOff>52916</xdr:rowOff>
    </xdr:from>
    <xdr:to>
      <xdr:col>11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9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8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9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12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17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18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20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0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12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17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18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20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20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20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21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21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18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119062</xdr:colOff>
      <xdr:row>9</xdr:row>
      <xdr:rowOff>71437</xdr:rowOff>
    </xdr:from>
    <xdr:ext cx="682430" cy="36715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D3980CF7-41F1-4591-8407-45B1CB9E83F3}"/>
                </a:ext>
              </a:extLst>
            </xdr:cNvPr>
            <xdr:cNvSpPr txBox="1"/>
          </xdr:nvSpPr>
          <xdr:spPr>
            <a:xfrm>
              <a:off x="6948487" y="12911137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D3980CF7-41F1-4591-8407-45B1CB9E83F3}"/>
                </a:ext>
              </a:extLst>
            </xdr:cNvPr>
            <xdr:cNvSpPr txBox="1"/>
          </xdr:nvSpPr>
          <xdr:spPr>
            <a:xfrm>
              <a:off x="6948487" y="12911137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142875</xdr:colOff>
      <xdr:row>11</xdr:row>
      <xdr:rowOff>107156</xdr:rowOff>
    </xdr:from>
    <xdr:ext cx="1051378" cy="32848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5AC33AC3-AAE4-46B5-A42E-8BED7C743A8C}"/>
                </a:ext>
              </a:extLst>
            </xdr:cNvPr>
            <xdr:cNvSpPr txBox="1"/>
          </xdr:nvSpPr>
          <xdr:spPr>
            <a:xfrm>
              <a:off x="6972300" y="13442156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5AC33AC3-AAE4-46B5-A42E-8BED7C743A8C}"/>
                </a:ext>
              </a:extLst>
            </xdr:cNvPr>
            <xdr:cNvSpPr txBox="1"/>
          </xdr:nvSpPr>
          <xdr:spPr>
            <a:xfrm>
              <a:off x="6972300" y="13442156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904872</xdr:colOff>
      <xdr:row>13</xdr:row>
      <xdr:rowOff>47625</xdr:rowOff>
    </xdr:from>
    <xdr:ext cx="964407" cy="5000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157369F7-8E88-4B01-8A4C-CE0F070FFEA1}"/>
                </a:ext>
              </a:extLst>
            </xdr:cNvPr>
            <xdr:cNvSpPr txBox="1"/>
          </xdr:nvSpPr>
          <xdr:spPr>
            <a:xfrm>
              <a:off x="6810372" y="13877925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157369F7-8E88-4B01-8A4C-CE0F070FFEA1}"/>
                </a:ext>
              </a:extLst>
            </xdr:cNvPr>
            <xdr:cNvSpPr txBox="1"/>
          </xdr:nvSpPr>
          <xdr:spPr>
            <a:xfrm>
              <a:off x="6810372" y="13877925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821530</xdr:colOff>
      <xdr:row>15</xdr:row>
      <xdr:rowOff>95251</xdr:rowOff>
    </xdr:from>
    <xdr:ext cx="857250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ACC09CB3-EBB7-4D45-9CE1-A8A4AD289DD5}"/>
                </a:ext>
              </a:extLst>
            </xdr:cNvPr>
            <xdr:cNvSpPr txBox="1"/>
          </xdr:nvSpPr>
          <xdr:spPr>
            <a:xfrm>
              <a:off x="6727030" y="14420851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ACC09CB3-EBB7-4D45-9CE1-A8A4AD289DD5}"/>
                </a:ext>
              </a:extLst>
            </xdr:cNvPr>
            <xdr:cNvSpPr txBox="1"/>
          </xdr:nvSpPr>
          <xdr:spPr>
            <a:xfrm>
              <a:off x="6727030" y="14420851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9</xdr:col>
      <xdr:colOff>119062</xdr:colOff>
      <xdr:row>17</xdr:row>
      <xdr:rowOff>107156</xdr:rowOff>
    </xdr:from>
    <xdr:ext cx="3085717" cy="32149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D933673E-E141-4649-9F6B-41BEB7F6B55A}"/>
                </a:ext>
              </a:extLst>
            </xdr:cNvPr>
            <xdr:cNvSpPr txBox="1"/>
          </xdr:nvSpPr>
          <xdr:spPr>
            <a:xfrm>
              <a:off x="6948487" y="14928056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D933673E-E141-4649-9F6B-41BEB7F6B55A}"/>
                </a:ext>
              </a:extLst>
            </xdr:cNvPr>
            <xdr:cNvSpPr txBox="1"/>
          </xdr:nvSpPr>
          <xdr:spPr>
            <a:xfrm>
              <a:off x="6948487" y="14928056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11906</xdr:colOff>
      <xdr:row>19</xdr:row>
      <xdr:rowOff>47625</xdr:rowOff>
    </xdr:from>
    <xdr:ext cx="1571626" cy="22621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E8FC54C5-ED5C-42BC-84B2-DCD1D4970D44}"/>
                </a:ext>
              </a:extLst>
            </xdr:cNvPr>
            <xdr:cNvSpPr txBox="1"/>
          </xdr:nvSpPr>
          <xdr:spPr>
            <a:xfrm>
              <a:off x="6841331" y="15363825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E8FC54C5-ED5C-42BC-84B2-DCD1D4970D44}"/>
                </a:ext>
              </a:extLst>
            </xdr:cNvPr>
            <xdr:cNvSpPr txBox="1"/>
          </xdr:nvSpPr>
          <xdr:spPr>
            <a:xfrm>
              <a:off x="6841331" y="15363825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130968</xdr:colOff>
      <xdr:row>20</xdr:row>
      <xdr:rowOff>83343</xdr:rowOff>
    </xdr:from>
    <xdr:ext cx="1296316" cy="34657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8C6401AA-6329-48FE-B268-15A5ED4D8DA4}"/>
                </a:ext>
              </a:extLst>
            </xdr:cNvPr>
            <xdr:cNvSpPr txBox="1"/>
          </xdr:nvSpPr>
          <xdr:spPr>
            <a:xfrm>
              <a:off x="6960393" y="15647193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8C6401AA-6329-48FE-B268-15A5ED4D8DA4}"/>
                </a:ext>
              </a:extLst>
            </xdr:cNvPr>
            <xdr:cNvSpPr txBox="1"/>
          </xdr:nvSpPr>
          <xdr:spPr>
            <a:xfrm>
              <a:off x="6960393" y="15647193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142875</xdr:colOff>
      <xdr:row>22</xdr:row>
      <xdr:rowOff>119062</xdr:rowOff>
    </xdr:from>
    <xdr:ext cx="647613" cy="28995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FF4914FB-3D2F-4381-889B-DADABCFD38F6}"/>
                </a:ext>
              </a:extLst>
            </xdr:cNvPr>
            <xdr:cNvSpPr txBox="1"/>
          </xdr:nvSpPr>
          <xdr:spPr>
            <a:xfrm>
              <a:off x="6972300" y="16178212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FF4914FB-3D2F-4381-889B-DADABCFD38F6}"/>
                </a:ext>
              </a:extLst>
            </xdr:cNvPr>
            <xdr:cNvSpPr txBox="1"/>
          </xdr:nvSpPr>
          <xdr:spPr>
            <a:xfrm>
              <a:off x="6972300" y="16178212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24</xdr:row>
      <xdr:rowOff>71437</xdr:rowOff>
    </xdr:from>
    <xdr:ext cx="590550" cy="35009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7ACEAEE9-5AE7-471E-9FF8-9093DD3BD9AE}"/>
                </a:ext>
              </a:extLst>
            </xdr:cNvPr>
            <xdr:cNvSpPr txBox="1"/>
          </xdr:nvSpPr>
          <xdr:spPr>
            <a:xfrm>
              <a:off x="6924675" y="16625887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7ACEAEE9-5AE7-471E-9FF8-9093DD3BD9AE}"/>
                </a:ext>
              </a:extLst>
            </xdr:cNvPr>
            <xdr:cNvSpPr txBox="1"/>
          </xdr:nvSpPr>
          <xdr:spPr>
            <a:xfrm>
              <a:off x="6924675" y="16625887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8A4C4A-1807-458F-A274-6DEC3FC259A4}" name="Tiempo_flocu" displayName="Tiempo_flocu" ref="AF1:AF24" totalsRowShown="0" headerRowDxfId="46" dataDxfId="44" headerRowBorderDxfId="45" tableBorderDxfId="43">
  <autoFilter ref="AF1:AF24" xr:uid="{0F1DBF49-F510-4DC5-8883-EF64B6045AAC}"/>
  <tableColumns count="1">
    <tableColumn id="1" xr3:uid="{59DD47F7-4462-4205-9F3C-E9372DE7ED1A}" name="Columna1" dataDxfId="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4EC5C4-9ECA-48CD-9B4D-F821D556BD30}" name="Diametro_Interconex" displayName="Diametro_Interconex" ref="AH1:AH14" totalsRowShown="0" headerRowDxfId="41" dataDxfId="40">
  <autoFilter ref="AH1:AH14" xr:uid="{F6479503-94E1-43DE-88D0-FAD468A1C8E7}"/>
  <tableColumns count="1">
    <tableColumn id="1" xr3:uid="{B3C1CF73-ECF0-4C41-A297-2D5FEFE22EBE}" name="Columna1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7633-142D-44EA-A934-D2394107C7BF}">
  <sheetPr codeName="Hoja2">
    <tabColor rgb="FF00B0F0"/>
  </sheetPr>
  <dimension ref="B1:AN197"/>
  <sheetViews>
    <sheetView topLeftCell="C25" zoomScaleNormal="100" zoomScaleSheetLayoutView="100" workbookViewId="0">
      <selection activeCell="AL12" sqref="AL12"/>
    </sheetView>
  </sheetViews>
  <sheetFormatPr baseColWidth="10" defaultColWidth="11.42578125" defaultRowHeight="15" x14ac:dyDescent="0.25"/>
  <cols>
    <col min="1" max="1" width="11.42578125" style="606"/>
    <col min="2" max="2" width="36.5703125" style="606" customWidth="1"/>
    <col min="3" max="3" width="25" style="606" bestFit="1" customWidth="1"/>
    <col min="4" max="4" width="11.42578125" style="606"/>
    <col min="5" max="5" width="13.28515625" style="606" bestFit="1" customWidth="1"/>
    <col min="6" max="10" width="11.42578125" style="606"/>
    <col min="11" max="11" width="0" style="606" hidden="1" customWidth="1"/>
    <col min="12" max="26" width="11.42578125" style="606" hidden="1" customWidth="1"/>
    <col min="27" max="27" width="13.85546875" style="606" hidden="1" customWidth="1"/>
    <col min="28" max="28" width="10.85546875" style="606" hidden="1" customWidth="1"/>
    <col min="29" max="29" width="20.85546875" style="606" hidden="1" customWidth="1"/>
    <col min="30" max="30" width="22.5703125" style="606" hidden="1" customWidth="1"/>
    <col min="31" max="31" width="11.42578125" style="606" hidden="1" customWidth="1"/>
    <col min="32" max="32" width="23" style="610" hidden="1" customWidth="1"/>
    <col min="33" max="33" width="11.42578125" style="606" hidden="1" customWidth="1"/>
    <col min="34" max="34" width="26.7109375" style="606" hidden="1" customWidth="1"/>
    <col min="35" max="35" width="11.42578125" style="606" customWidth="1"/>
    <col min="36" max="36" width="12.85546875" style="606" bestFit="1" customWidth="1"/>
    <col min="37" max="37" width="19.7109375" style="606" bestFit="1" customWidth="1"/>
    <col min="38" max="38" width="19.140625" style="606" bestFit="1" customWidth="1"/>
    <col min="39" max="16384" width="11.42578125" style="606"/>
  </cols>
  <sheetData>
    <row r="1" spans="2:38" x14ac:dyDescent="0.25">
      <c r="AA1" s="653" t="s">
        <v>746</v>
      </c>
      <c r="AB1" s="653" t="s">
        <v>747</v>
      </c>
      <c r="AC1" s="653" t="s">
        <v>129</v>
      </c>
      <c r="AD1" s="653" t="s">
        <v>127</v>
      </c>
      <c r="AF1" s="607" t="s">
        <v>748</v>
      </c>
      <c r="AH1" s="608" t="s">
        <v>748</v>
      </c>
      <c r="AJ1" s="655" t="s">
        <v>755</v>
      </c>
      <c r="AK1" s="655"/>
      <c r="AL1" s="655"/>
    </row>
    <row r="2" spans="2:38" x14ac:dyDescent="0.25">
      <c r="C2" s="97" t="s">
        <v>54</v>
      </c>
      <c r="AA2" s="654"/>
      <c r="AB2" s="654"/>
      <c r="AC2" s="654"/>
      <c r="AD2" s="654"/>
      <c r="AF2" s="609" t="s">
        <v>545</v>
      </c>
      <c r="AH2" s="608" t="s">
        <v>749</v>
      </c>
      <c r="AJ2" s="483" t="s">
        <v>756</v>
      </c>
      <c r="AK2" s="483" t="s">
        <v>757</v>
      </c>
      <c r="AL2" s="483" t="s">
        <v>758</v>
      </c>
    </row>
    <row r="3" spans="2:38" ht="17.25" x14ac:dyDescent="0.25">
      <c r="C3" s="97" t="s">
        <v>55</v>
      </c>
      <c r="AA3" s="344" t="s">
        <v>128</v>
      </c>
      <c r="AB3" s="344" t="s">
        <v>133</v>
      </c>
      <c r="AC3" s="345" t="s">
        <v>130</v>
      </c>
      <c r="AD3" s="344" t="s">
        <v>134</v>
      </c>
      <c r="AH3" s="608"/>
      <c r="AJ3" s="632">
        <v>2</v>
      </c>
      <c r="AK3" s="633">
        <v>6.0319999999999999E-2</v>
      </c>
      <c r="AL3" s="633">
        <v>5.4579999999999997E-2</v>
      </c>
    </row>
    <row r="4" spans="2:38" x14ac:dyDescent="0.25">
      <c r="C4" s="97" t="s">
        <v>620</v>
      </c>
      <c r="AA4" s="346">
        <v>0</v>
      </c>
      <c r="AB4" s="347">
        <v>999.82</v>
      </c>
      <c r="AC4" s="350">
        <v>1.792E-3</v>
      </c>
      <c r="AD4" s="349">
        <f t="shared" ref="AD4:AD39" si="0">AC4/AB4</f>
        <v>1.7923226180712527E-6</v>
      </c>
      <c r="AF4" s="610">
        <v>20</v>
      </c>
      <c r="AH4" s="611"/>
      <c r="AJ4" s="632">
        <v>2.5</v>
      </c>
      <c r="AK4" s="633">
        <v>7.3029999999999998E-2</v>
      </c>
      <c r="AL4" s="633">
        <v>6.606999999999999E-2</v>
      </c>
    </row>
    <row r="5" spans="2:38" x14ac:dyDescent="0.25">
      <c r="C5" s="97" t="s">
        <v>619</v>
      </c>
      <c r="AA5" s="599">
        <v>1</v>
      </c>
      <c r="AB5" s="352">
        <v>999.89</v>
      </c>
      <c r="AC5" s="353">
        <v>1.7310000000000001E-3</v>
      </c>
      <c r="AD5" s="349">
        <f t="shared" si="0"/>
        <v>1.7311904309474043E-6</v>
      </c>
      <c r="AF5" s="610">
        <v>21</v>
      </c>
      <c r="AH5" s="631">
        <v>0.15</v>
      </c>
      <c r="AJ5" s="632">
        <v>3</v>
      </c>
      <c r="AK5" s="633">
        <v>8.8900000000000007E-2</v>
      </c>
      <c r="AL5" s="633">
        <v>8.0420000000000005E-2</v>
      </c>
    </row>
    <row r="6" spans="2:38" x14ac:dyDescent="0.25">
      <c r="AA6" s="599">
        <v>2</v>
      </c>
      <c r="AB6" s="352">
        <v>999.94</v>
      </c>
      <c r="AC6" s="353">
        <v>1.673E-3</v>
      </c>
      <c r="AD6" s="349">
        <f t="shared" si="0"/>
        <v>1.6731003860231613E-6</v>
      </c>
      <c r="AF6" s="610">
        <v>22</v>
      </c>
      <c r="AH6" s="631">
        <v>0.25</v>
      </c>
      <c r="AJ6" s="632">
        <v>4</v>
      </c>
      <c r="AK6" s="633">
        <v>0.1143</v>
      </c>
      <c r="AL6" s="633">
        <v>0.10342</v>
      </c>
    </row>
    <row r="7" spans="2:38" x14ac:dyDescent="0.25">
      <c r="AA7" s="599">
        <v>3</v>
      </c>
      <c r="AB7" s="352">
        <v>999.98</v>
      </c>
      <c r="AC7" s="353">
        <v>1.619E-3</v>
      </c>
      <c r="AD7" s="349">
        <f t="shared" si="0"/>
        <v>1.6190323806476128E-6</v>
      </c>
      <c r="AF7" s="610">
        <v>23</v>
      </c>
      <c r="AH7" s="631">
        <v>0.3</v>
      </c>
      <c r="AJ7" s="632">
        <v>6</v>
      </c>
      <c r="AK7" s="633">
        <v>0.16828000000000001</v>
      </c>
      <c r="AL7" s="633">
        <v>0.15221999999999999</v>
      </c>
    </row>
    <row r="8" spans="2:38" x14ac:dyDescent="0.25">
      <c r="AA8" s="599">
        <v>4</v>
      </c>
      <c r="AB8" s="352">
        <v>1000</v>
      </c>
      <c r="AC8" s="353">
        <v>1.567E-3</v>
      </c>
      <c r="AD8" s="349">
        <f t="shared" si="0"/>
        <v>1.567E-6</v>
      </c>
      <c r="AF8" s="610">
        <v>24</v>
      </c>
      <c r="AH8" s="631">
        <v>0.35</v>
      </c>
      <c r="AJ8" s="632">
        <v>8</v>
      </c>
      <c r="AK8" s="633">
        <v>0.21908000000000002</v>
      </c>
      <c r="AL8" s="633">
        <v>0.19821</v>
      </c>
    </row>
    <row r="9" spans="2:38" x14ac:dyDescent="0.25">
      <c r="AA9" s="599">
        <v>5</v>
      </c>
      <c r="AB9" s="352">
        <v>1000</v>
      </c>
      <c r="AC9" s="353">
        <v>1.519E-3</v>
      </c>
      <c r="AD9" s="349">
        <f t="shared" si="0"/>
        <v>1.519E-6</v>
      </c>
      <c r="AF9" s="610">
        <v>25</v>
      </c>
      <c r="AH9" s="631">
        <v>0.35</v>
      </c>
      <c r="AJ9" s="632">
        <v>10</v>
      </c>
      <c r="AK9" s="633">
        <v>0.27305000000000001</v>
      </c>
      <c r="AL9" s="633">
        <v>0.24709</v>
      </c>
    </row>
    <row r="10" spans="2:38" x14ac:dyDescent="0.25">
      <c r="B10" s="651" t="s">
        <v>539</v>
      </c>
      <c r="C10" s="651"/>
      <c r="D10" s="651"/>
      <c r="E10" s="651"/>
      <c r="F10" s="651"/>
      <c r="AA10" s="599">
        <v>6</v>
      </c>
      <c r="AB10" s="352">
        <v>999.99</v>
      </c>
      <c r="AC10" s="353">
        <v>1.4730000000000001E-3</v>
      </c>
      <c r="AD10" s="349">
        <f t="shared" si="0"/>
        <v>1.4730147301473016E-6</v>
      </c>
      <c r="AF10" s="610">
        <v>26</v>
      </c>
      <c r="AH10" s="631">
        <v>0.4</v>
      </c>
      <c r="AJ10" s="632">
        <v>12</v>
      </c>
      <c r="AK10" s="633">
        <v>0.32305</v>
      </c>
      <c r="AL10" s="633">
        <v>0.29307</v>
      </c>
    </row>
    <row r="11" spans="2:38" x14ac:dyDescent="0.25">
      <c r="B11" s="656" t="s">
        <v>540</v>
      </c>
      <c r="C11" s="656"/>
      <c r="D11" s="656"/>
      <c r="E11" s="656"/>
      <c r="F11" s="612"/>
      <c r="G11" s="650"/>
      <c r="H11" s="650"/>
      <c r="I11" s="650"/>
      <c r="J11" s="650"/>
      <c r="AA11" s="599">
        <v>7</v>
      </c>
      <c r="AB11" s="352">
        <v>999.96</v>
      </c>
      <c r="AC11" s="353">
        <v>1.428E-3</v>
      </c>
      <c r="AD11" s="349">
        <f t="shared" si="0"/>
        <v>1.4280571222848913E-6</v>
      </c>
      <c r="AF11" s="610">
        <v>27</v>
      </c>
      <c r="AH11" s="631">
        <v>0.45</v>
      </c>
      <c r="AJ11" s="632">
        <v>14</v>
      </c>
      <c r="AK11" s="633">
        <v>0.35560000000000003</v>
      </c>
      <c r="AL11" s="633">
        <v>0.32175999999999999</v>
      </c>
    </row>
    <row r="12" spans="2:38" x14ac:dyDescent="0.25">
      <c r="B12" s="652" t="s">
        <v>541</v>
      </c>
      <c r="C12" s="652"/>
      <c r="D12" s="652"/>
      <c r="E12" s="652"/>
      <c r="F12" s="612"/>
      <c r="G12" s="650"/>
      <c r="H12" s="650"/>
      <c r="I12" s="650"/>
      <c r="J12" s="650"/>
      <c r="AA12" s="599">
        <v>8</v>
      </c>
      <c r="AB12" s="352">
        <v>999.91</v>
      </c>
      <c r="AC12" s="353">
        <v>1.3859999999999999E-3</v>
      </c>
      <c r="AD12" s="349">
        <f t="shared" si="0"/>
        <v>1.3861247512276103E-6</v>
      </c>
      <c r="AF12" s="610">
        <v>28</v>
      </c>
      <c r="AH12" s="631">
        <v>0.45</v>
      </c>
      <c r="AJ12" s="632">
        <v>16</v>
      </c>
      <c r="AK12" s="633">
        <v>0.40639999999999998</v>
      </c>
      <c r="AL12" s="633">
        <v>0.36769999999999997</v>
      </c>
    </row>
    <row r="13" spans="2:38" x14ac:dyDescent="0.25">
      <c r="B13" s="467" t="s">
        <v>542</v>
      </c>
      <c r="C13" s="613">
        <v>30</v>
      </c>
      <c r="D13" s="492" t="s">
        <v>543</v>
      </c>
      <c r="G13" s="650"/>
      <c r="H13" s="650"/>
      <c r="I13" s="650"/>
      <c r="J13" s="650"/>
      <c r="AA13" s="599">
        <v>9</v>
      </c>
      <c r="AB13" s="352">
        <v>999.85</v>
      </c>
      <c r="AC13" s="353">
        <v>1.3460000000000002E-3</v>
      </c>
      <c r="AD13" s="349">
        <f t="shared" si="0"/>
        <v>1.3462019302895435E-6</v>
      </c>
      <c r="AF13" s="610">
        <v>29</v>
      </c>
      <c r="AH13" s="631">
        <v>0.5</v>
      </c>
      <c r="AJ13" s="632">
        <v>18</v>
      </c>
      <c r="AK13" s="633">
        <v>0.4572</v>
      </c>
      <c r="AL13" s="633">
        <v>0.41366000000000003</v>
      </c>
    </row>
    <row r="14" spans="2:38" x14ac:dyDescent="0.25">
      <c r="B14" s="467" t="s">
        <v>542</v>
      </c>
      <c r="C14" s="468">
        <f>C13/1000</f>
        <v>0.03</v>
      </c>
      <c r="D14" s="492" t="s">
        <v>544</v>
      </c>
      <c r="G14" s="650"/>
      <c r="H14" s="650"/>
      <c r="I14" s="650"/>
      <c r="J14" s="650"/>
      <c r="AA14" s="599">
        <v>10</v>
      </c>
      <c r="AB14" s="352">
        <v>999.77</v>
      </c>
      <c r="AC14" s="353">
        <v>1.3080000000000001E-3</v>
      </c>
      <c r="AD14" s="349">
        <f t="shared" si="0"/>
        <v>1.3083009092091183E-6</v>
      </c>
      <c r="AF14" s="610">
        <v>30</v>
      </c>
      <c r="AH14" s="631">
        <v>0.5</v>
      </c>
      <c r="AJ14" s="632">
        <v>20</v>
      </c>
      <c r="AK14" s="633">
        <v>0.50800000000000001</v>
      </c>
      <c r="AL14" s="633">
        <v>0.45963999999999999</v>
      </c>
    </row>
    <row r="15" spans="2:38" x14ac:dyDescent="0.25">
      <c r="B15" s="467" t="s">
        <v>545</v>
      </c>
      <c r="C15" s="614">
        <v>27</v>
      </c>
      <c r="D15" s="486" t="s">
        <v>38</v>
      </c>
      <c r="G15" s="650"/>
      <c r="H15" s="650"/>
      <c r="I15" s="650"/>
      <c r="J15" s="650"/>
      <c r="AA15" s="599">
        <v>11</v>
      </c>
      <c r="AB15" s="352">
        <v>999.68</v>
      </c>
      <c r="AC15" s="353">
        <v>1.271E-3</v>
      </c>
      <c r="AD15" s="349">
        <f t="shared" si="0"/>
        <v>1.2714068501920614E-6</v>
      </c>
      <c r="AF15" s="610">
        <v>31</v>
      </c>
      <c r="AJ15" s="632">
        <v>24</v>
      </c>
      <c r="AK15" s="633">
        <v>0.60960000000000003</v>
      </c>
      <c r="AL15" s="633">
        <v>0.55153999999999992</v>
      </c>
    </row>
    <row r="16" spans="2:38" x14ac:dyDescent="0.25">
      <c r="B16" s="467" t="s">
        <v>545</v>
      </c>
      <c r="C16" s="468">
        <f>C15*60</f>
        <v>1620</v>
      </c>
      <c r="D16" s="486" t="s">
        <v>6</v>
      </c>
      <c r="G16" s="650"/>
      <c r="H16" s="650"/>
      <c r="I16" s="650"/>
      <c r="J16" s="650"/>
      <c r="AA16" s="599">
        <v>12</v>
      </c>
      <c r="AB16" s="352">
        <v>999.58</v>
      </c>
      <c r="AC16" s="353">
        <v>1.2359999999999999E-3</v>
      </c>
      <c r="AD16" s="349">
        <f t="shared" si="0"/>
        <v>1.2365193381220111E-6</v>
      </c>
      <c r="AF16" s="610">
        <v>32</v>
      </c>
      <c r="AJ16" s="636"/>
      <c r="AK16" s="636"/>
      <c r="AL16" s="636"/>
    </row>
    <row r="17" spans="2:40" x14ac:dyDescent="0.25">
      <c r="B17" s="467" t="s">
        <v>546</v>
      </c>
      <c r="C17" s="468">
        <f>+C16/C36</f>
        <v>135</v>
      </c>
      <c r="D17" s="486" t="s">
        <v>6</v>
      </c>
      <c r="G17" s="650"/>
      <c r="H17" s="650"/>
      <c r="I17" s="650"/>
      <c r="J17" s="650"/>
      <c r="AA17" s="599">
        <v>13</v>
      </c>
      <c r="AB17" s="352">
        <v>999.46</v>
      </c>
      <c r="AC17" s="353">
        <v>1.2030000000000001E-3</v>
      </c>
      <c r="AD17" s="349">
        <f t="shared" si="0"/>
        <v>1.2036499709843315E-6</v>
      </c>
      <c r="AF17" s="610">
        <v>33</v>
      </c>
    </row>
    <row r="18" spans="2:40" x14ac:dyDescent="0.25">
      <c r="B18" s="467" t="s">
        <v>547</v>
      </c>
      <c r="C18" s="469">
        <f>+C17*C14</f>
        <v>4.05</v>
      </c>
      <c r="D18" s="486" t="s">
        <v>548</v>
      </c>
      <c r="G18" s="650"/>
      <c r="H18" s="650"/>
      <c r="I18" s="650"/>
      <c r="J18" s="650"/>
      <c r="AA18" s="599">
        <v>14</v>
      </c>
      <c r="AB18" s="352">
        <v>999.33</v>
      </c>
      <c r="AC18" s="353">
        <v>1.1709999999999999E-3</v>
      </c>
      <c r="AD18" s="349">
        <f t="shared" si="0"/>
        <v>1.1717850960143296E-6</v>
      </c>
      <c r="AF18" s="610">
        <v>34</v>
      </c>
    </row>
    <row r="19" spans="2:40" x14ac:dyDescent="0.25">
      <c r="B19" s="467" t="s">
        <v>549</v>
      </c>
      <c r="C19" s="615">
        <f>IF(C13&lt;15,AH5,IF(C13&lt;25,AH6,IF(C13&lt;35,AH7,IF(C13&lt;55,AH9,IF(C13&lt;65,AH10,IF(C13&lt;85,AH12,IF(C13&lt;101,AH14,)))))))</f>
        <v>0.3</v>
      </c>
      <c r="D19" s="486" t="s">
        <v>3</v>
      </c>
      <c r="G19" s="650"/>
      <c r="H19" s="650"/>
      <c r="I19" s="650"/>
      <c r="J19" s="650"/>
      <c r="AA19" s="599">
        <v>15</v>
      </c>
      <c r="AB19" s="352">
        <v>999.19</v>
      </c>
      <c r="AC19" s="353">
        <v>1.14E-3</v>
      </c>
      <c r="AD19" s="349">
        <f t="shared" si="0"/>
        <v>1.1409241485603338E-6</v>
      </c>
      <c r="AF19" s="610">
        <v>35</v>
      </c>
    </row>
    <row r="20" spans="2:40" x14ac:dyDescent="0.25">
      <c r="B20" s="467" t="str">
        <f>"Diametro de interno "&amp;_xlfn.XLOOKUP(C19,$AL$3:$AL$15,AJ3:AJ15,,1)&amp;""" (Di)"</f>
        <v>Diametro de interno 14" (Di)</v>
      </c>
      <c r="C20" s="637">
        <f>_xlfn.XLOOKUP(C19,$AL$3:$AL$15,$AL$3:$AL$15,,1,1)</f>
        <v>0.32175999999999999</v>
      </c>
      <c r="D20" s="486" t="s">
        <v>3</v>
      </c>
      <c r="G20" s="650"/>
      <c r="H20" s="650"/>
      <c r="I20" s="650"/>
      <c r="J20" s="650"/>
      <c r="AA20" s="599">
        <v>16</v>
      </c>
      <c r="AB20" s="352">
        <v>999.03</v>
      </c>
      <c r="AC20" s="353">
        <v>1.111E-3</v>
      </c>
      <c r="AD20" s="349">
        <f t="shared" si="0"/>
        <v>1.1120787163548642E-6</v>
      </c>
      <c r="AF20" s="610">
        <v>36</v>
      </c>
      <c r="AK20" s="634"/>
      <c r="AL20" s="634"/>
      <c r="AM20" s="635"/>
      <c r="AN20" s="635"/>
    </row>
    <row r="21" spans="2:40" x14ac:dyDescent="0.25">
      <c r="B21" s="467" t="str">
        <f>"Area de la tuberia "&amp;_xlfn.XLOOKUP(C19,$AL$3:$AL$15,AJ3:AJ15,,1)&amp;""" (N)"</f>
        <v>Area de la tuberia 14" (N)</v>
      </c>
      <c r="C21" s="468">
        <f>(PI()*(C20^2))/4</f>
        <v>8.1311877272500527E-2</v>
      </c>
      <c r="D21" s="486" t="s">
        <v>550</v>
      </c>
      <c r="G21" s="650"/>
      <c r="H21" s="650"/>
      <c r="I21" s="650"/>
      <c r="J21" s="650"/>
      <c r="AA21" s="599">
        <v>17</v>
      </c>
      <c r="AB21" s="352">
        <v>998.86</v>
      </c>
      <c r="AC21" s="353">
        <v>1.083E-3</v>
      </c>
      <c r="AD21" s="349">
        <f t="shared" si="0"/>
        <v>1.0842360290731433E-6</v>
      </c>
      <c r="AF21" s="610">
        <v>37</v>
      </c>
      <c r="AK21" s="634"/>
      <c r="AL21" s="634"/>
      <c r="AM21" s="635"/>
      <c r="AN21" s="635"/>
    </row>
    <row r="22" spans="2:40" x14ac:dyDescent="0.25">
      <c r="B22" s="467" t="str">
        <f>"Diametro de externo "&amp;_xlfn.XLOOKUP(C19,$AL$3:$AL$15,AJ3:AJ15,,1)&amp;""" (Di)"</f>
        <v>Diametro de externo 14" (Di)</v>
      </c>
      <c r="C22" s="637">
        <f>_xlfn.XLOOKUP(C19,AL3:AL15,AK3:AK15,,1,1)</f>
        <v>0.35560000000000003</v>
      </c>
      <c r="D22" s="486" t="s">
        <v>3</v>
      </c>
      <c r="G22" s="606" t="s">
        <v>551</v>
      </c>
      <c r="AA22" s="599">
        <v>18</v>
      </c>
      <c r="AB22" s="352">
        <v>998.68</v>
      </c>
      <c r="AC22" s="353">
        <v>1.0560000000000001E-3</v>
      </c>
      <c r="AD22" s="349">
        <f t="shared" si="0"/>
        <v>1.0573957624063765E-6</v>
      </c>
      <c r="AF22" s="610">
        <v>38</v>
      </c>
      <c r="AK22" s="634"/>
      <c r="AL22" s="634"/>
      <c r="AM22" s="635"/>
      <c r="AN22" s="635"/>
    </row>
    <row r="23" spans="2:40" x14ac:dyDescent="0.25">
      <c r="B23" s="467" t="str">
        <f>" Area del orificio "&amp;_xlfn.XLOOKUP(C19,$AL$3:$AL$15,AJ3:AJ15,,1)&amp;""" (A)"</f>
        <v xml:space="preserve"> Area del orificio 14" (A)</v>
      </c>
      <c r="C23" s="468">
        <f>(PI()*(C22^2))/4</f>
        <v>9.931466590310957E-2</v>
      </c>
      <c r="D23" s="486" t="s">
        <v>550</v>
      </c>
      <c r="AA23" s="599">
        <v>19</v>
      </c>
      <c r="AB23" s="352">
        <v>998.49</v>
      </c>
      <c r="AC23" s="353">
        <v>1.0300000000000001E-3</v>
      </c>
      <c r="AD23" s="349">
        <f t="shared" si="0"/>
        <v>1.0315576520546026E-6</v>
      </c>
      <c r="AF23" s="610">
        <v>39</v>
      </c>
      <c r="AK23" s="634"/>
      <c r="AL23" s="634"/>
      <c r="AM23" s="635"/>
      <c r="AN23" s="635"/>
    </row>
    <row r="24" spans="2:40" x14ac:dyDescent="0.25">
      <c r="B24" s="467" t="s">
        <v>552</v>
      </c>
      <c r="C24" s="469">
        <v>1.3</v>
      </c>
      <c r="D24" s="486" t="s">
        <v>3</v>
      </c>
      <c r="G24" s="650"/>
      <c r="H24" s="650"/>
      <c r="I24" s="650"/>
      <c r="J24" s="650"/>
      <c r="AA24" s="599">
        <v>20</v>
      </c>
      <c r="AB24" s="352">
        <v>998.29</v>
      </c>
      <c r="AC24" s="353">
        <v>1.005E-3</v>
      </c>
      <c r="AD24" s="349">
        <f t="shared" si="0"/>
        <v>1.0067214937543199E-6</v>
      </c>
      <c r="AF24" s="610">
        <v>40</v>
      </c>
      <c r="AK24" s="634"/>
      <c r="AL24" s="634"/>
      <c r="AM24" s="635"/>
      <c r="AN24" s="635"/>
    </row>
    <row r="25" spans="2:40" x14ac:dyDescent="0.25">
      <c r="B25" s="467" t="s">
        <v>553</v>
      </c>
      <c r="C25" s="469">
        <v>1.6</v>
      </c>
      <c r="D25" s="486" t="s">
        <v>3</v>
      </c>
      <c r="F25" s="612"/>
      <c r="G25" s="650"/>
      <c r="H25" s="650"/>
      <c r="I25" s="650"/>
      <c r="J25" s="650"/>
      <c r="AA25" s="599">
        <v>21</v>
      </c>
      <c r="AB25" s="352">
        <v>998.08</v>
      </c>
      <c r="AC25" s="353">
        <v>9.810000000000001E-4</v>
      </c>
      <c r="AD25" s="349">
        <f t="shared" si="0"/>
        <v>9.8288714331516507E-7</v>
      </c>
      <c r="AK25" s="634"/>
      <c r="AL25" s="634"/>
      <c r="AM25" s="635"/>
      <c r="AN25" s="635"/>
    </row>
    <row r="26" spans="2:40" x14ac:dyDescent="0.25">
      <c r="B26" s="467" t="s">
        <v>554</v>
      </c>
      <c r="C26" s="469">
        <v>2.75</v>
      </c>
      <c r="D26" s="486" t="s">
        <v>3</v>
      </c>
      <c r="G26" s="650"/>
      <c r="H26" s="650"/>
      <c r="I26" s="650"/>
      <c r="J26" s="650"/>
      <c r="AA26" s="599">
        <v>22</v>
      </c>
      <c r="AB26" s="352">
        <v>997.86</v>
      </c>
      <c r="AC26" s="353">
        <v>9.5790000000000003E-4</v>
      </c>
      <c r="AD26" s="349">
        <f t="shared" si="0"/>
        <v>9.5995430220672237E-7</v>
      </c>
      <c r="AK26" s="634"/>
      <c r="AL26" s="634"/>
      <c r="AM26" s="635"/>
      <c r="AN26" s="635"/>
    </row>
    <row r="27" spans="2:40" x14ac:dyDescent="0.25">
      <c r="B27" s="467" t="s">
        <v>555</v>
      </c>
      <c r="C27" s="469">
        <f>IF(C31="…","",ROUND(VLOOKUP(C31,AA$1:AD$39,2,FALSE),9))</f>
        <v>998.29</v>
      </c>
      <c r="D27" s="486" t="s">
        <v>556</v>
      </c>
      <c r="G27" s="650"/>
      <c r="H27" s="650"/>
      <c r="I27" s="650"/>
      <c r="J27" s="650"/>
      <c r="AA27" s="599">
        <v>23</v>
      </c>
      <c r="AB27" s="352">
        <v>997.62</v>
      </c>
      <c r="AC27" s="353">
        <v>9.3579999999999998E-4</v>
      </c>
      <c r="AD27" s="349">
        <f t="shared" si="0"/>
        <v>9.3803251739139144E-7</v>
      </c>
      <c r="AK27" s="634"/>
      <c r="AL27" s="634"/>
      <c r="AM27" s="635"/>
      <c r="AN27" s="635"/>
    </row>
    <row r="28" spans="2:40" x14ac:dyDescent="0.25">
      <c r="B28" s="467" t="s">
        <v>750</v>
      </c>
      <c r="C28" s="616">
        <f>IF(C31="…","",ROUND(VLOOKUP(C31,AA$1:AD$39,3,FALSE),9))</f>
        <v>1.005E-3</v>
      </c>
      <c r="D28" s="486" t="s">
        <v>751</v>
      </c>
      <c r="G28" s="650"/>
      <c r="H28" s="650"/>
      <c r="I28" s="650"/>
      <c r="J28" s="650"/>
      <c r="AA28" s="599">
        <v>24</v>
      </c>
      <c r="AB28" s="352">
        <v>997.38</v>
      </c>
      <c r="AC28" s="353">
        <v>9.142E-4</v>
      </c>
      <c r="AD28" s="349">
        <f t="shared" si="0"/>
        <v>9.1660149591930864E-7</v>
      </c>
      <c r="AK28" s="634"/>
      <c r="AL28" s="634"/>
      <c r="AM28" s="635"/>
      <c r="AN28" s="635"/>
    </row>
    <row r="29" spans="2:40" x14ac:dyDescent="0.25">
      <c r="B29" s="467" t="s">
        <v>752</v>
      </c>
      <c r="C29" s="616">
        <f>IF(C31="…","",ROUND(VLOOKUP(C31,AA$1:AD$39,4,FALSE),9))</f>
        <v>1.0070000000000001E-6</v>
      </c>
      <c r="D29" s="486" t="s">
        <v>557</v>
      </c>
      <c r="G29" s="650"/>
      <c r="H29" s="650"/>
      <c r="I29" s="650"/>
      <c r="J29" s="650"/>
      <c r="AA29" s="599">
        <v>25</v>
      </c>
      <c r="AB29" s="352">
        <v>997.13</v>
      </c>
      <c r="AC29" s="353">
        <v>8.9370000000000009E-4</v>
      </c>
      <c r="AD29" s="349">
        <f t="shared" si="0"/>
        <v>8.9627230150532037E-7</v>
      </c>
      <c r="AK29" s="634"/>
      <c r="AL29" s="634"/>
      <c r="AM29" s="635"/>
      <c r="AN29" s="635"/>
    </row>
    <row r="30" spans="2:40" ht="18" x14ac:dyDescent="0.25">
      <c r="B30" s="467" t="s">
        <v>558</v>
      </c>
      <c r="C30" s="469">
        <v>9.81</v>
      </c>
      <c r="D30" s="486" t="s">
        <v>559</v>
      </c>
      <c r="G30" s="650"/>
      <c r="H30" s="650"/>
      <c r="I30" s="650"/>
      <c r="J30" s="650"/>
      <c r="AA30" s="599">
        <v>26</v>
      </c>
      <c r="AB30" s="352">
        <v>996.86</v>
      </c>
      <c r="AC30" s="353">
        <v>8.7370000000000004E-4</v>
      </c>
      <c r="AD30" s="349">
        <f t="shared" si="0"/>
        <v>8.7645205946672558E-7</v>
      </c>
      <c r="AK30" s="634"/>
      <c r="AL30" s="634"/>
      <c r="AM30" s="635"/>
      <c r="AN30" s="635"/>
    </row>
    <row r="31" spans="2:40" x14ac:dyDescent="0.25">
      <c r="B31" s="470" t="s">
        <v>560</v>
      </c>
      <c r="C31" s="617">
        <v>20</v>
      </c>
      <c r="D31" s="486" t="s">
        <v>136</v>
      </c>
      <c r="G31" s="650"/>
      <c r="H31" s="650"/>
      <c r="I31" s="650"/>
      <c r="J31" s="650"/>
      <c r="AA31" s="599">
        <v>27</v>
      </c>
      <c r="AB31" s="352">
        <v>996.59</v>
      </c>
      <c r="AC31" s="353">
        <v>8.5450000000000001E-4</v>
      </c>
      <c r="AD31" s="349">
        <f t="shared" si="0"/>
        <v>8.5742381520986557E-7</v>
      </c>
      <c r="AK31" s="634"/>
      <c r="AL31" s="634"/>
      <c r="AM31" s="635"/>
      <c r="AN31" s="635"/>
    </row>
    <row r="32" spans="2:40" x14ac:dyDescent="0.25">
      <c r="B32" s="470" t="s">
        <v>561</v>
      </c>
      <c r="C32" s="471">
        <v>0.76</v>
      </c>
      <c r="D32" s="488" t="s">
        <v>562</v>
      </c>
      <c r="G32" s="650"/>
      <c r="H32" s="650"/>
      <c r="I32" s="650"/>
      <c r="J32" s="650"/>
      <c r="AA32" s="599">
        <v>28</v>
      </c>
      <c r="AB32" s="352">
        <v>996.31</v>
      </c>
      <c r="AC32" s="353">
        <v>8.3599999999999994E-4</v>
      </c>
      <c r="AD32" s="349">
        <f t="shared" si="0"/>
        <v>8.3909626521865684E-7</v>
      </c>
      <c r="AK32" s="634"/>
      <c r="AL32" s="634"/>
      <c r="AM32" s="635"/>
      <c r="AN32" s="635"/>
    </row>
    <row r="33" spans="2:30" x14ac:dyDescent="0.25">
      <c r="B33" s="470" t="s">
        <v>563</v>
      </c>
      <c r="C33" s="471">
        <v>0.8</v>
      </c>
      <c r="D33" s="488" t="s">
        <v>562</v>
      </c>
      <c r="G33" s="606" t="s">
        <v>564</v>
      </c>
      <c r="AA33" s="599">
        <v>29</v>
      </c>
      <c r="AB33" s="352">
        <v>996.02</v>
      </c>
      <c r="AC33" s="353">
        <v>8.1799999999999993E-4</v>
      </c>
      <c r="AD33" s="349">
        <f t="shared" si="0"/>
        <v>8.2126864922391111E-7</v>
      </c>
    </row>
    <row r="34" spans="2:30" x14ac:dyDescent="0.25">
      <c r="B34" s="651" t="s">
        <v>565</v>
      </c>
      <c r="C34" s="651"/>
      <c r="D34" s="651"/>
      <c r="E34" s="651"/>
      <c r="AA34" s="599">
        <v>30</v>
      </c>
      <c r="AB34" s="352">
        <v>995.71</v>
      </c>
      <c r="AC34" s="353">
        <v>8.007E-4</v>
      </c>
      <c r="AD34" s="349">
        <f t="shared" si="0"/>
        <v>8.0414980265338299E-7</v>
      </c>
    </row>
    <row r="35" spans="2:30" x14ac:dyDescent="0.25">
      <c r="B35" s="472" t="s">
        <v>566</v>
      </c>
      <c r="C35" s="473">
        <f>+C24*C25*C26*C36</f>
        <v>68.640000000000015</v>
      </c>
      <c r="D35" s="487" t="s">
        <v>548</v>
      </c>
      <c r="G35" s="650"/>
      <c r="H35" s="650"/>
      <c r="I35" s="650"/>
      <c r="J35" s="650"/>
      <c r="AA35" s="599">
        <v>31</v>
      </c>
      <c r="AB35" s="352">
        <v>995.41</v>
      </c>
      <c r="AC35" s="353">
        <v>7.8400000000000008E-4</v>
      </c>
      <c r="AD35" s="349">
        <f t="shared" si="0"/>
        <v>7.8761515355481675E-7</v>
      </c>
    </row>
    <row r="36" spans="2:30" x14ac:dyDescent="0.25">
      <c r="B36" s="472" t="s">
        <v>567</v>
      </c>
      <c r="C36" s="470">
        <v>12</v>
      </c>
      <c r="D36" s="487" t="s">
        <v>568</v>
      </c>
      <c r="G36" s="650"/>
      <c r="H36" s="650"/>
      <c r="I36" s="650"/>
      <c r="J36" s="650"/>
      <c r="AA36" s="599">
        <v>32</v>
      </c>
      <c r="AB36" s="352">
        <v>995.09</v>
      </c>
      <c r="AC36" s="353">
        <v>7.6790000000000007E-4</v>
      </c>
      <c r="AD36" s="349">
        <f t="shared" si="0"/>
        <v>7.7168899295541107E-7</v>
      </c>
    </row>
    <row r="37" spans="2:30" x14ac:dyDescent="0.25">
      <c r="B37" s="472" t="s">
        <v>569</v>
      </c>
      <c r="C37" s="474">
        <f>C14/C21</f>
        <v>0.36894978945647738</v>
      </c>
      <c r="D37" s="487" t="s">
        <v>5</v>
      </c>
      <c r="G37" s="650"/>
      <c r="H37" s="650"/>
      <c r="I37" s="650"/>
      <c r="J37" s="650"/>
      <c r="AA37" s="599">
        <v>33</v>
      </c>
      <c r="AB37" s="352">
        <v>994.76</v>
      </c>
      <c r="AC37" s="353">
        <v>7.5230000000000002E-4</v>
      </c>
      <c r="AD37" s="349">
        <f t="shared" si="0"/>
        <v>7.5626281716192853E-7</v>
      </c>
    </row>
    <row r="38" spans="2:30" x14ac:dyDescent="0.25">
      <c r="B38" s="618" t="s">
        <v>570</v>
      </c>
      <c r="C38" s="475" t="str">
        <f>IF(C37&lt;0.25,"No cumple",IF(C37&gt;0.65,"No cumple","Cumple"))</f>
        <v>Cumple</v>
      </c>
      <c r="D38" s="490"/>
      <c r="G38" s="650"/>
      <c r="H38" s="650"/>
      <c r="I38" s="650"/>
      <c r="J38" s="650"/>
      <c r="AA38" s="599">
        <v>34</v>
      </c>
      <c r="AB38" s="352">
        <v>994.43</v>
      </c>
      <c r="AC38" s="353">
        <v>7.3709999999999997E-4</v>
      </c>
      <c r="AD38" s="349">
        <f t="shared" si="0"/>
        <v>7.4122864354454311E-7</v>
      </c>
    </row>
    <row r="39" spans="2:30" x14ac:dyDescent="0.25">
      <c r="B39" s="476" t="s">
        <v>571</v>
      </c>
      <c r="C39" s="477">
        <f>+($C$14^2/((2*$C$30)*($C$32^2)*($C$21^2)))</f>
        <v>1.2011807015071239E-2</v>
      </c>
      <c r="D39" s="487" t="s">
        <v>3</v>
      </c>
      <c r="F39" s="612"/>
      <c r="G39" s="650"/>
      <c r="H39" s="650"/>
      <c r="I39" s="650"/>
      <c r="J39" s="650"/>
      <c r="AA39" s="599">
        <v>35</v>
      </c>
      <c r="AB39" s="352">
        <v>994.08</v>
      </c>
      <c r="AC39" s="353">
        <v>7.2250000000000005E-4</v>
      </c>
      <c r="AD39" s="349">
        <f t="shared" si="0"/>
        <v>7.2680267181715759E-7</v>
      </c>
    </row>
    <row r="40" spans="2:30" x14ac:dyDescent="0.25">
      <c r="B40" s="476" t="s">
        <v>572</v>
      </c>
      <c r="C40" s="477">
        <f>+(0.4)*(($C$37^2)/(2*$C$30))</f>
        <v>2.7752078927620587E-3</v>
      </c>
      <c r="D40" s="487" t="s">
        <v>3</v>
      </c>
      <c r="G40" s="650"/>
      <c r="H40" s="650"/>
      <c r="I40" s="650"/>
      <c r="J40" s="650"/>
    </row>
    <row r="41" spans="2:30" x14ac:dyDescent="0.25">
      <c r="B41" s="476" t="s">
        <v>573</v>
      </c>
      <c r="C41" s="478">
        <f>+($C$14^2/((2*$C$30)*($C$33^2)*($C$23^2)))</f>
        <v>7.2666921263279385E-3</v>
      </c>
      <c r="D41" s="487" t="s">
        <v>3</v>
      </c>
      <c r="G41" s="650"/>
      <c r="H41" s="650"/>
      <c r="I41" s="650"/>
      <c r="J41" s="650"/>
    </row>
    <row r="42" spans="2:30" x14ac:dyDescent="0.25">
      <c r="B42" s="472" t="s">
        <v>574</v>
      </c>
      <c r="C42" s="477">
        <f>+$C$39+$C$40+$C$41</f>
        <v>2.2053707034161235E-2</v>
      </c>
      <c r="D42" s="487" t="s">
        <v>3</v>
      </c>
      <c r="G42" s="650"/>
      <c r="H42" s="650"/>
      <c r="I42" s="650"/>
      <c r="J42" s="650"/>
    </row>
    <row r="43" spans="2:30" x14ac:dyDescent="0.25">
      <c r="B43" s="472" t="s">
        <v>575</v>
      </c>
      <c r="C43" s="477">
        <f>+$C$42*$C$36</f>
        <v>0.26464448440993482</v>
      </c>
      <c r="D43" s="487" t="s">
        <v>3</v>
      </c>
      <c r="G43" s="606" t="s">
        <v>576</v>
      </c>
    </row>
    <row r="44" spans="2:30" ht="18" x14ac:dyDescent="0.25">
      <c r="B44" s="472" t="s">
        <v>577</v>
      </c>
      <c r="C44" s="477">
        <f>(SQRT(($C$30*$C$42)/($C$29*$C$17)))</f>
        <v>39.892723298995833</v>
      </c>
      <c r="D44" s="487" t="s">
        <v>578</v>
      </c>
    </row>
    <row r="45" spans="2:30" x14ac:dyDescent="0.25">
      <c r="B45" s="619" t="str">
        <f>+B44</f>
        <v>Gradiente de Mezcla (G)</v>
      </c>
      <c r="C45" s="479" t="str">
        <f>IF(C44&lt;35,"No cumple",IF(C44&gt;55,"No cumple","Cumple"))</f>
        <v>Cumple</v>
      </c>
      <c r="D45" s="491"/>
      <c r="G45" s="650"/>
      <c r="H45" s="650"/>
      <c r="I45" s="650"/>
      <c r="J45" s="650"/>
    </row>
    <row r="46" spans="2:30" x14ac:dyDescent="0.25">
      <c r="B46" s="472" t="s">
        <v>579</v>
      </c>
      <c r="C46" s="480">
        <f>+$C$44*$C$17</f>
        <v>5385.5176453644372</v>
      </c>
      <c r="D46" s="487"/>
      <c r="G46" s="650"/>
      <c r="H46" s="650"/>
      <c r="I46" s="650"/>
      <c r="J46" s="650"/>
    </row>
    <row r="47" spans="2:30" x14ac:dyDescent="0.25">
      <c r="B47" s="481" t="s">
        <v>580</v>
      </c>
      <c r="C47" s="475">
        <f>+C42/$C$25</f>
        <v>1.3783566896350772E-2</v>
      </c>
      <c r="D47" s="492" t="s">
        <v>201</v>
      </c>
      <c r="G47" s="650"/>
      <c r="H47" s="650"/>
      <c r="I47" s="650"/>
      <c r="J47" s="650"/>
    </row>
    <row r="48" spans="2:30" x14ac:dyDescent="0.25">
      <c r="B48" s="481" t="s">
        <v>53</v>
      </c>
      <c r="C48" s="475">
        <f>C27*C20*C37/C28</f>
        <v>117920.68113377037</v>
      </c>
      <c r="D48" s="492"/>
      <c r="G48" s="650"/>
      <c r="H48" s="650"/>
      <c r="I48" s="650"/>
      <c r="J48" s="650"/>
    </row>
    <row r="49" spans="2:10" x14ac:dyDescent="0.25">
      <c r="B49" s="481" t="s">
        <v>753</v>
      </c>
      <c r="C49" s="475">
        <f>(C44/(SQRT(C48)))</f>
        <v>0.11617125875993416</v>
      </c>
      <c r="D49" s="492"/>
      <c r="G49" s="650"/>
      <c r="H49" s="650"/>
      <c r="I49" s="650"/>
      <c r="J49" s="650"/>
    </row>
    <row r="50" spans="2:10" x14ac:dyDescent="0.25">
      <c r="B50" s="470" t="s">
        <v>754</v>
      </c>
      <c r="C50" s="479" t="str">
        <f>IF(C49&lt;0.3,"Cumple",IF(C48&lt;0.3,"No cumple"))</f>
        <v>Cumple</v>
      </c>
      <c r="D50" s="488"/>
      <c r="E50" s="620"/>
      <c r="G50" s="650"/>
      <c r="H50" s="650"/>
      <c r="I50" s="650"/>
      <c r="J50" s="650"/>
    </row>
    <row r="51" spans="2:10" x14ac:dyDescent="0.25">
      <c r="B51" s="620"/>
      <c r="C51" s="620"/>
      <c r="D51" s="620"/>
      <c r="E51" s="620"/>
      <c r="G51" s="650"/>
      <c r="H51" s="650"/>
      <c r="I51" s="650"/>
      <c r="J51" s="650"/>
    </row>
    <row r="52" spans="2:10" x14ac:dyDescent="0.25">
      <c r="B52" s="612" t="s">
        <v>581</v>
      </c>
      <c r="C52" s="612"/>
      <c r="D52" s="612"/>
      <c r="E52" s="612"/>
      <c r="G52" s="650"/>
      <c r="H52" s="650"/>
      <c r="I52" s="650"/>
      <c r="J52" s="650"/>
    </row>
    <row r="53" spans="2:10" x14ac:dyDescent="0.25">
      <c r="B53" s="467" t="s">
        <v>582</v>
      </c>
      <c r="C53" s="469">
        <f>C20</f>
        <v>0.32175999999999999</v>
      </c>
      <c r="D53" s="486" t="s">
        <v>3</v>
      </c>
      <c r="G53" s="650"/>
      <c r="H53" s="650"/>
      <c r="I53" s="650"/>
      <c r="J53" s="650"/>
    </row>
    <row r="54" spans="2:10" x14ac:dyDescent="0.25">
      <c r="B54" s="467" t="s">
        <v>583</v>
      </c>
      <c r="C54" s="468">
        <f>(PI()*(C53^2))/4</f>
        <v>8.1311877272500527E-2</v>
      </c>
      <c r="D54" s="486" t="s">
        <v>550</v>
      </c>
      <c r="G54" s="650"/>
      <c r="H54" s="650"/>
      <c r="I54" s="650"/>
      <c r="J54" s="650"/>
    </row>
    <row r="55" spans="2:10" x14ac:dyDescent="0.25">
      <c r="B55" s="467" t="s">
        <v>584</v>
      </c>
      <c r="C55" s="468">
        <f>+$C$33</f>
        <v>0.8</v>
      </c>
      <c r="D55" s="486"/>
    </row>
    <row r="56" spans="2:10" x14ac:dyDescent="0.25">
      <c r="B56" s="470" t="s">
        <v>585</v>
      </c>
      <c r="C56" s="471">
        <f>+($C$14^2/((2*$C$30)*(C55^2)*($C$21^2)))</f>
        <v>1.0840655831101791E-2</v>
      </c>
      <c r="D56" s="488" t="s">
        <v>3</v>
      </c>
      <c r="G56" s="650"/>
      <c r="H56" s="650"/>
      <c r="I56" s="650"/>
      <c r="J56" s="650"/>
    </row>
    <row r="57" spans="2:10" x14ac:dyDescent="0.25">
      <c r="B57" s="470" t="s">
        <v>572</v>
      </c>
      <c r="C57" s="471">
        <f>+(0.4)*(($C$37^2)/(2*$C$30))</f>
        <v>2.7752078927620587E-3</v>
      </c>
      <c r="D57" s="488" t="s">
        <v>3</v>
      </c>
      <c r="G57" s="650"/>
      <c r="H57" s="650"/>
      <c r="I57" s="650"/>
      <c r="J57" s="650"/>
    </row>
    <row r="58" spans="2:10" x14ac:dyDescent="0.25">
      <c r="B58" s="470" t="s">
        <v>573</v>
      </c>
      <c r="C58" s="471">
        <f>+($C$14^2/((2*$C$30)*($C$33^2)*(C54^2)))</f>
        <v>1.0840655831101791E-2</v>
      </c>
      <c r="D58" s="488" t="s">
        <v>3</v>
      </c>
      <c r="G58" s="650"/>
      <c r="H58" s="650"/>
      <c r="I58" s="650"/>
      <c r="J58" s="650"/>
    </row>
    <row r="59" spans="2:10" x14ac:dyDescent="0.25">
      <c r="B59" s="470" t="s">
        <v>574</v>
      </c>
      <c r="C59" s="471">
        <f>+C56+C57+C58</f>
        <v>2.4456519554965639E-2</v>
      </c>
      <c r="D59" s="488" t="s">
        <v>3</v>
      </c>
      <c r="F59" s="650"/>
      <c r="G59" s="650"/>
      <c r="H59" s="650"/>
      <c r="I59" s="650"/>
      <c r="J59" s="650"/>
    </row>
    <row r="60" spans="2:10" ht="21.75" customHeight="1" x14ac:dyDescent="0.25">
      <c r="B60" s="470" t="s">
        <v>586</v>
      </c>
      <c r="C60" s="471">
        <f>(SQRT(($C$30*C59)/($C$29*$C$17)))</f>
        <v>42.009760939904282</v>
      </c>
      <c r="D60" s="488" t="s">
        <v>587</v>
      </c>
      <c r="E60" s="621" t="str">
        <f>IF(C60&lt;35,"No cumple",IF(C60&gt;55,"No cumple","Cumple"))</f>
        <v>Cumple</v>
      </c>
      <c r="F60" s="650"/>
      <c r="G60" s="650"/>
      <c r="H60" s="650"/>
      <c r="I60" s="650"/>
      <c r="J60" s="650"/>
    </row>
    <row r="61" spans="2:10" x14ac:dyDescent="0.25">
      <c r="B61" s="472" t="s">
        <v>579</v>
      </c>
      <c r="C61" s="480">
        <f>+C60*$C$17</f>
        <v>5671.3177268870777</v>
      </c>
      <c r="D61" s="489"/>
      <c r="F61" s="650"/>
      <c r="G61" s="606" t="s">
        <v>588</v>
      </c>
    </row>
    <row r="62" spans="2:10" x14ac:dyDescent="0.25">
      <c r="B62" s="472" t="s">
        <v>580</v>
      </c>
      <c r="C62" s="482">
        <f>+C59/$C$25</f>
        <v>1.5285324721853524E-2</v>
      </c>
      <c r="D62" s="489" t="s">
        <v>201</v>
      </c>
    </row>
    <row r="63" spans="2:10" x14ac:dyDescent="0.25">
      <c r="G63" s="650"/>
      <c r="H63" s="650"/>
      <c r="I63" s="650"/>
      <c r="J63" s="650"/>
    </row>
    <row r="64" spans="2:10" x14ac:dyDescent="0.25">
      <c r="B64" s="612" t="s">
        <v>589</v>
      </c>
      <c r="C64" s="612"/>
      <c r="D64" s="612"/>
      <c r="E64" s="612"/>
      <c r="G64" s="650"/>
      <c r="H64" s="650"/>
      <c r="I64" s="650"/>
      <c r="J64" s="650"/>
    </row>
    <row r="65" spans="2:10" x14ac:dyDescent="0.25">
      <c r="B65" s="467" t="s">
        <v>582</v>
      </c>
      <c r="C65" s="469">
        <f>_xlfn.XLOOKUP($C$20+0.01,$AL$3:$AL$15,AL3:AL15,,1,1)</f>
        <v>0.36769999999999997</v>
      </c>
      <c r="D65" s="486" t="s">
        <v>3</v>
      </c>
      <c r="G65" s="650"/>
      <c r="H65" s="650"/>
      <c r="I65" s="650"/>
      <c r="J65" s="650"/>
    </row>
    <row r="66" spans="2:10" x14ac:dyDescent="0.25">
      <c r="B66" s="467" t="s">
        <v>590</v>
      </c>
      <c r="C66" s="468">
        <f>(PI()*(C65^2))/4</f>
        <v>0.10618841565129257</v>
      </c>
      <c r="D66" s="486" t="s">
        <v>550</v>
      </c>
      <c r="G66" s="650"/>
      <c r="H66" s="650"/>
      <c r="I66" s="650"/>
      <c r="J66" s="650"/>
    </row>
    <row r="67" spans="2:10" x14ac:dyDescent="0.25">
      <c r="B67" s="467" t="s">
        <v>584</v>
      </c>
      <c r="C67" s="468">
        <f>+$C$33</f>
        <v>0.8</v>
      </c>
      <c r="D67" s="486"/>
      <c r="G67" s="650"/>
      <c r="H67" s="650"/>
      <c r="I67" s="650"/>
      <c r="J67" s="650"/>
    </row>
    <row r="68" spans="2:10" x14ac:dyDescent="0.25">
      <c r="B68" s="470" t="s">
        <v>585</v>
      </c>
      <c r="C68" s="471">
        <f>+($C$14^2/((2*$C$30)*(C67^2)*($C$21^2)))</f>
        <v>1.0840655831101791E-2</v>
      </c>
      <c r="D68" s="488" t="s">
        <v>3</v>
      </c>
      <c r="G68" s="622" t="s">
        <v>591</v>
      </c>
    </row>
    <row r="69" spans="2:10" x14ac:dyDescent="0.25">
      <c r="B69" s="470" t="s">
        <v>572</v>
      </c>
      <c r="C69" s="471">
        <f>+(0.4)*(($C$37^2)/(2*$C$30))</f>
        <v>2.7752078927620587E-3</v>
      </c>
      <c r="D69" s="488" t="s">
        <v>3</v>
      </c>
    </row>
    <row r="70" spans="2:10" x14ac:dyDescent="0.25">
      <c r="B70" s="470" t="s">
        <v>573</v>
      </c>
      <c r="C70" s="471">
        <f>+($C$14^2/((2*$C$30)*($C$33^2)*(C66^2)))</f>
        <v>6.3563711847094209E-3</v>
      </c>
      <c r="D70" s="488" t="s">
        <v>3</v>
      </c>
      <c r="G70" s="650"/>
      <c r="H70" s="650"/>
      <c r="I70" s="650"/>
      <c r="J70" s="650"/>
    </row>
    <row r="71" spans="2:10" x14ac:dyDescent="0.25">
      <c r="B71" s="470" t="s">
        <v>574</v>
      </c>
      <c r="C71" s="471">
        <f>+C68+C69+C70</f>
        <v>1.9972234908573271E-2</v>
      </c>
      <c r="D71" s="488" t="s">
        <v>3</v>
      </c>
      <c r="G71" s="650"/>
      <c r="H71" s="650"/>
      <c r="I71" s="650"/>
      <c r="J71" s="650"/>
    </row>
    <row r="72" spans="2:10" ht="18" x14ac:dyDescent="0.25">
      <c r="B72" s="470" t="s">
        <v>586</v>
      </c>
      <c r="C72" s="471">
        <f>(SQRT(($C$30*C71)/($C$29*$C$17)))</f>
        <v>37.963497555718135</v>
      </c>
      <c r="D72" s="488" t="s">
        <v>587</v>
      </c>
      <c r="E72" s="621" t="str">
        <f>IF(C72&lt;35,"No cumple",IF(C72&gt;55,"No cumple","Cumple"))</f>
        <v>Cumple</v>
      </c>
      <c r="G72" s="650"/>
      <c r="H72" s="650"/>
      <c r="I72" s="650"/>
      <c r="J72" s="650"/>
    </row>
    <row r="73" spans="2:10" x14ac:dyDescent="0.25">
      <c r="B73" s="472" t="s">
        <v>579</v>
      </c>
      <c r="C73" s="480">
        <f>+C72*$C$17</f>
        <v>5125.0721700219483</v>
      </c>
      <c r="D73" s="489"/>
      <c r="F73" s="623"/>
      <c r="G73" s="650"/>
      <c r="H73" s="650"/>
      <c r="I73" s="650"/>
      <c r="J73" s="650"/>
    </row>
    <row r="74" spans="2:10" x14ac:dyDescent="0.25">
      <c r="B74" s="472" t="s">
        <v>580</v>
      </c>
      <c r="C74" s="482">
        <f>+C71/$C$25</f>
        <v>1.2482646817858293E-2</v>
      </c>
      <c r="D74" s="489" t="s">
        <v>201</v>
      </c>
      <c r="G74" s="622" t="s">
        <v>592</v>
      </c>
    </row>
    <row r="76" spans="2:10" x14ac:dyDescent="0.25">
      <c r="B76" s="624" t="s">
        <v>593</v>
      </c>
      <c r="C76" s="624"/>
      <c r="D76" s="624"/>
      <c r="E76" s="624"/>
      <c r="G76" s="650"/>
      <c r="H76" s="650"/>
      <c r="I76" s="650"/>
      <c r="J76" s="650"/>
    </row>
    <row r="77" spans="2:10" x14ac:dyDescent="0.25">
      <c r="B77" s="467" t="s">
        <v>582</v>
      </c>
      <c r="C77" s="469">
        <f>C20</f>
        <v>0.32175999999999999</v>
      </c>
      <c r="D77" s="486" t="s">
        <v>3</v>
      </c>
      <c r="G77" s="650"/>
      <c r="H77" s="650"/>
      <c r="I77" s="650"/>
      <c r="J77" s="650"/>
    </row>
    <row r="78" spans="2:10" x14ac:dyDescent="0.25">
      <c r="B78" s="467" t="s">
        <v>594</v>
      </c>
      <c r="C78" s="468">
        <f>(PI()*(C77^2))/4</f>
        <v>8.1311877272500527E-2</v>
      </c>
      <c r="D78" s="486" t="s">
        <v>550</v>
      </c>
      <c r="G78" s="650"/>
      <c r="H78" s="650"/>
      <c r="I78" s="650"/>
      <c r="J78" s="650"/>
    </row>
    <row r="79" spans="2:10" x14ac:dyDescent="0.25">
      <c r="B79" s="467" t="s">
        <v>584</v>
      </c>
      <c r="C79" s="468">
        <f>+$C$33</f>
        <v>0.8</v>
      </c>
      <c r="D79" s="486"/>
      <c r="G79" s="650"/>
      <c r="H79" s="650"/>
      <c r="I79" s="650"/>
      <c r="J79" s="650"/>
    </row>
    <row r="80" spans="2:10" x14ac:dyDescent="0.25">
      <c r="B80" s="470" t="s">
        <v>585</v>
      </c>
      <c r="C80" s="471">
        <f>+($C$14^2/((2*$C$30)*(C79^2)*($C$21^2)))</f>
        <v>1.0840655831101791E-2</v>
      </c>
      <c r="D80" s="488" t="s">
        <v>3</v>
      </c>
      <c r="G80" s="650"/>
      <c r="H80" s="650"/>
      <c r="I80" s="650"/>
      <c r="J80" s="650"/>
    </row>
    <row r="81" spans="2:7" x14ac:dyDescent="0.25">
      <c r="B81" s="470" t="s">
        <v>572</v>
      </c>
      <c r="C81" s="471">
        <f>+(0.4)*(($C$37^2)/(2*$C$30))</f>
        <v>2.7752078927620587E-3</v>
      </c>
      <c r="D81" s="488" t="s">
        <v>3</v>
      </c>
      <c r="G81" s="622" t="s">
        <v>595</v>
      </c>
    </row>
    <row r="82" spans="2:7" x14ac:dyDescent="0.25">
      <c r="B82" s="470" t="s">
        <v>573</v>
      </c>
      <c r="C82" s="471">
        <f>+($C$14^2/((2*$C$30)*($C$33^2)*(C78^2)))</f>
        <v>1.0840655831101791E-2</v>
      </c>
      <c r="D82" s="488" t="s">
        <v>3</v>
      </c>
    </row>
    <row r="83" spans="2:7" x14ac:dyDescent="0.25">
      <c r="B83" s="470" t="s">
        <v>574</v>
      </c>
      <c r="C83" s="471">
        <f>+C80+C81+C82</f>
        <v>2.4456519554965639E-2</v>
      </c>
      <c r="D83" s="488" t="s">
        <v>3</v>
      </c>
    </row>
    <row r="84" spans="2:7" ht="18" x14ac:dyDescent="0.25">
      <c r="B84" s="470" t="s">
        <v>586</v>
      </c>
      <c r="C84" s="471">
        <f>(SQRT(($C$30*C83)/($C$29*$C$17)))</f>
        <v>42.009760939904282</v>
      </c>
      <c r="D84" s="488" t="s">
        <v>587</v>
      </c>
      <c r="E84" s="621" t="str">
        <f>IF(C84&lt;35,"No cumple",IF(C84&gt;55,"No cumple","Cumple"))</f>
        <v>Cumple</v>
      </c>
    </row>
    <row r="85" spans="2:7" x14ac:dyDescent="0.25">
      <c r="B85" s="472" t="s">
        <v>579</v>
      </c>
      <c r="C85" s="480">
        <f>+C84*$C$17</f>
        <v>5671.3177268870777</v>
      </c>
      <c r="D85" s="489"/>
      <c r="F85" s="623"/>
    </row>
    <row r="86" spans="2:7" x14ac:dyDescent="0.25">
      <c r="B86" s="472" t="s">
        <v>580</v>
      </c>
      <c r="C86" s="482">
        <f>+C83/$C$25</f>
        <v>1.5285324721853524E-2</v>
      </c>
      <c r="D86" s="489" t="s">
        <v>201</v>
      </c>
    </row>
    <row r="88" spans="2:7" x14ac:dyDescent="0.25">
      <c r="B88" s="612" t="s">
        <v>596</v>
      </c>
      <c r="C88" s="612"/>
      <c r="D88" s="612"/>
      <c r="E88" s="612"/>
    </row>
    <row r="89" spans="2:7" x14ac:dyDescent="0.25">
      <c r="B89" s="467" t="s">
        <v>582</v>
      </c>
      <c r="C89" s="469">
        <f>_xlfn.XLOOKUP($C$20+0.01,$AL$3:$AL$15,AL3:AL15,,1,1)</f>
        <v>0.36769999999999997</v>
      </c>
      <c r="D89" s="486" t="s">
        <v>3</v>
      </c>
    </row>
    <row r="90" spans="2:7" x14ac:dyDescent="0.25">
      <c r="B90" s="467" t="s">
        <v>597</v>
      </c>
      <c r="C90" s="468">
        <f>(PI()*(C89^2))/4</f>
        <v>0.10618841565129257</v>
      </c>
      <c r="D90" s="486" t="s">
        <v>550</v>
      </c>
    </row>
    <row r="91" spans="2:7" x14ac:dyDescent="0.25">
      <c r="B91" s="467" t="s">
        <v>584</v>
      </c>
      <c r="C91" s="468">
        <f>+$C$33</f>
        <v>0.8</v>
      </c>
      <c r="D91" s="486"/>
    </row>
    <row r="92" spans="2:7" x14ac:dyDescent="0.25">
      <c r="B92" s="470" t="s">
        <v>585</v>
      </c>
      <c r="C92" s="471">
        <f>+($C$14^2/((2*$C$30)*(C91^2)*($C$21^2)))</f>
        <v>1.0840655831101791E-2</v>
      </c>
      <c r="D92" s="488" t="s">
        <v>3</v>
      </c>
    </row>
    <row r="93" spans="2:7" x14ac:dyDescent="0.25">
      <c r="B93" s="470" t="s">
        <v>572</v>
      </c>
      <c r="C93" s="471">
        <f>+(0.4)*(($C$37^2)/(2*$C$30))</f>
        <v>2.7752078927620587E-3</v>
      </c>
      <c r="D93" s="488" t="s">
        <v>3</v>
      </c>
    </row>
    <row r="94" spans="2:7" x14ac:dyDescent="0.25">
      <c r="B94" s="470" t="s">
        <v>573</v>
      </c>
      <c r="C94" s="471">
        <f>+($C$14^2/((2*$C$30)*($C$33^2)*(C90^2)))</f>
        <v>6.3563711847094209E-3</v>
      </c>
      <c r="D94" s="488" t="s">
        <v>3</v>
      </c>
    </row>
    <row r="95" spans="2:7" x14ac:dyDescent="0.25">
      <c r="B95" s="470" t="s">
        <v>574</v>
      </c>
      <c r="C95" s="471">
        <f>+C92+C93+C94</f>
        <v>1.9972234908573271E-2</v>
      </c>
      <c r="D95" s="488" t="s">
        <v>3</v>
      </c>
    </row>
    <row r="96" spans="2:7" ht="18" x14ac:dyDescent="0.25">
      <c r="B96" s="470" t="s">
        <v>586</v>
      </c>
      <c r="C96" s="471">
        <f>(SQRT(($C$30*C95)/($C$29*$C$17)))</f>
        <v>37.963497555718135</v>
      </c>
      <c r="D96" s="488" t="s">
        <v>587</v>
      </c>
      <c r="E96" s="621" t="str">
        <f>IF(C96&lt;35,"No cumple",IF(C96&gt;55,"No cumple","Cumple"))</f>
        <v>Cumple</v>
      </c>
    </row>
    <row r="97" spans="2:6" x14ac:dyDescent="0.25">
      <c r="B97" s="472" t="s">
        <v>579</v>
      </c>
      <c r="C97" s="480">
        <f>+C96*$C$17</f>
        <v>5125.0721700219483</v>
      </c>
      <c r="D97" s="489"/>
      <c r="F97" s="623"/>
    </row>
    <row r="98" spans="2:6" x14ac:dyDescent="0.25">
      <c r="B98" s="472" t="s">
        <v>580</v>
      </c>
      <c r="C98" s="482">
        <f>+C95/$C$25</f>
        <v>1.2482646817858293E-2</v>
      </c>
      <c r="D98" s="489" t="s">
        <v>201</v>
      </c>
    </row>
    <row r="100" spans="2:6" x14ac:dyDescent="0.25">
      <c r="B100" s="624" t="s">
        <v>598</v>
      </c>
      <c r="C100" s="624"/>
      <c r="D100" s="624"/>
      <c r="E100" s="624"/>
    </row>
    <row r="101" spans="2:6" x14ac:dyDescent="0.25">
      <c r="B101" s="467" t="s">
        <v>582</v>
      </c>
      <c r="C101" s="469">
        <f>C20</f>
        <v>0.32175999999999999</v>
      </c>
      <c r="D101" s="486" t="s">
        <v>3</v>
      </c>
    </row>
    <row r="102" spans="2:6" x14ac:dyDescent="0.25">
      <c r="B102" s="467" t="s">
        <v>599</v>
      </c>
      <c r="C102" s="468">
        <f>(PI()*(C101^2))/4</f>
        <v>8.1311877272500527E-2</v>
      </c>
      <c r="D102" s="486" t="s">
        <v>550</v>
      </c>
    </row>
    <row r="103" spans="2:6" x14ac:dyDescent="0.25">
      <c r="B103" s="467" t="s">
        <v>584</v>
      </c>
      <c r="C103" s="468">
        <f>+$C$33</f>
        <v>0.8</v>
      </c>
      <c r="D103" s="486"/>
    </row>
    <row r="104" spans="2:6" x14ac:dyDescent="0.25">
      <c r="B104" s="470" t="s">
        <v>585</v>
      </c>
      <c r="C104" s="471">
        <f>+($C$14^2/((2*$C$30)*(C103^2)*($C$21^2)))</f>
        <v>1.0840655831101791E-2</v>
      </c>
      <c r="D104" s="488" t="s">
        <v>3</v>
      </c>
    </row>
    <row r="105" spans="2:6" x14ac:dyDescent="0.25">
      <c r="B105" s="470" t="s">
        <v>572</v>
      </c>
      <c r="C105" s="471">
        <f>+(0.4)*(($C$37^2)/(2*$C$30))</f>
        <v>2.7752078927620587E-3</v>
      </c>
      <c r="D105" s="488" t="s">
        <v>3</v>
      </c>
    </row>
    <row r="106" spans="2:6" x14ac:dyDescent="0.25">
      <c r="B106" s="470" t="s">
        <v>573</v>
      </c>
      <c r="C106" s="471">
        <f>+($C$14^2/((2*$C$30)*($C$33^2)*(C102^2)))</f>
        <v>1.0840655831101791E-2</v>
      </c>
      <c r="D106" s="488" t="s">
        <v>3</v>
      </c>
    </row>
    <row r="107" spans="2:6" x14ac:dyDescent="0.25">
      <c r="B107" s="470" t="s">
        <v>574</v>
      </c>
      <c r="C107" s="471">
        <f>+C104+C105+C106</f>
        <v>2.4456519554965639E-2</v>
      </c>
      <c r="D107" s="488" t="s">
        <v>3</v>
      </c>
    </row>
    <row r="108" spans="2:6" ht="18" x14ac:dyDescent="0.25">
      <c r="B108" s="470" t="s">
        <v>586</v>
      </c>
      <c r="C108" s="471">
        <f>(SQRT(($C$30*C107)/($C$29*$C$17)))</f>
        <v>42.009760939904282</v>
      </c>
      <c r="D108" s="488" t="s">
        <v>587</v>
      </c>
      <c r="E108" s="621" t="str">
        <f>IF(C108&lt;35,"No cumple",IF(C108&gt;55,"No cumple","Cumple"))</f>
        <v>Cumple</v>
      </c>
    </row>
    <row r="109" spans="2:6" x14ac:dyDescent="0.25">
      <c r="B109" s="472" t="s">
        <v>579</v>
      </c>
      <c r="C109" s="480">
        <f>+C108*$C$17</f>
        <v>5671.3177268870777</v>
      </c>
      <c r="D109" s="489"/>
      <c r="F109" s="623"/>
    </row>
    <row r="110" spans="2:6" x14ac:dyDescent="0.25">
      <c r="B110" s="472" t="s">
        <v>580</v>
      </c>
      <c r="C110" s="482">
        <f>+C107/$C$25</f>
        <v>1.5285324721853524E-2</v>
      </c>
      <c r="D110" s="489" t="s">
        <v>201</v>
      </c>
    </row>
    <row r="112" spans="2:6" x14ac:dyDescent="0.25">
      <c r="B112" s="612" t="s">
        <v>600</v>
      </c>
      <c r="C112" s="612"/>
      <c r="D112" s="612"/>
      <c r="E112" s="612"/>
    </row>
    <row r="113" spans="2:6" x14ac:dyDescent="0.25">
      <c r="B113" s="467" t="s">
        <v>582</v>
      </c>
      <c r="C113" s="469">
        <f>_xlfn.XLOOKUP($C$20+0.01,$AL$3:$AL$15,AL3:AL15,,1,1)</f>
        <v>0.36769999999999997</v>
      </c>
      <c r="D113" s="486" t="s">
        <v>3</v>
      </c>
    </row>
    <row r="114" spans="2:6" x14ac:dyDescent="0.25">
      <c r="B114" s="467" t="s">
        <v>601</v>
      </c>
      <c r="C114" s="468">
        <f>(PI()*(C113^2))/4</f>
        <v>0.10618841565129257</v>
      </c>
      <c r="D114" s="486" t="s">
        <v>550</v>
      </c>
    </row>
    <row r="115" spans="2:6" x14ac:dyDescent="0.25">
      <c r="B115" s="467" t="s">
        <v>584</v>
      </c>
      <c r="C115" s="468">
        <f>+$C$33</f>
        <v>0.8</v>
      </c>
      <c r="D115" s="486"/>
    </row>
    <row r="116" spans="2:6" x14ac:dyDescent="0.25">
      <c r="B116" s="470" t="s">
        <v>585</v>
      </c>
      <c r="C116" s="471">
        <f>+($C$14^2/((2*$C$30)*(C115^2)*($C$21^2)))</f>
        <v>1.0840655831101791E-2</v>
      </c>
      <c r="D116" s="488" t="s">
        <v>3</v>
      </c>
    </row>
    <row r="117" spans="2:6" x14ac:dyDescent="0.25">
      <c r="B117" s="470" t="s">
        <v>572</v>
      </c>
      <c r="C117" s="471">
        <f>+(0.4)*(($C$37^2)/(2*$C$30))</f>
        <v>2.7752078927620587E-3</v>
      </c>
      <c r="D117" s="488" t="s">
        <v>3</v>
      </c>
    </row>
    <row r="118" spans="2:6" x14ac:dyDescent="0.25">
      <c r="B118" s="470" t="s">
        <v>573</v>
      </c>
      <c r="C118" s="471">
        <f>+($C$14^2/((2*$C$30)*($C$33^2)*(C114^2)))</f>
        <v>6.3563711847094209E-3</v>
      </c>
      <c r="D118" s="488" t="s">
        <v>3</v>
      </c>
    </row>
    <row r="119" spans="2:6" x14ac:dyDescent="0.25">
      <c r="B119" s="470" t="s">
        <v>574</v>
      </c>
      <c r="C119" s="471">
        <f>+C116+C117+C118</f>
        <v>1.9972234908573271E-2</v>
      </c>
      <c r="D119" s="488" t="s">
        <v>3</v>
      </c>
    </row>
    <row r="120" spans="2:6" ht="18" x14ac:dyDescent="0.25">
      <c r="B120" s="470" t="s">
        <v>586</v>
      </c>
      <c r="C120" s="471">
        <f>(SQRT(($C$30*C119)/($C$29*$C$17)))</f>
        <v>37.963497555718135</v>
      </c>
      <c r="D120" s="488" t="s">
        <v>587</v>
      </c>
      <c r="E120" s="621" t="str">
        <f>IF(C120&lt;35,"No cumple",IF(C120&gt;55,"No cumple","Cumple"))</f>
        <v>Cumple</v>
      </c>
    </row>
    <row r="121" spans="2:6" x14ac:dyDescent="0.25">
      <c r="B121" s="472" t="s">
        <v>579</v>
      </c>
      <c r="C121" s="480">
        <f>+C120*$C$17</f>
        <v>5125.0721700219483</v>
      </c>
      <c r="D121" s="489"/>
      <c r="F121" s="623"/>
    </row>
    <row r="122" spans="2:6" x14ac:dyDescent="0.25">
      <c r="B122" s="472" t="s">
        <v>580</v>
      </c>
      <c r="C122" s="482">
        <f>+C119/$C$25</f>
        <v>1.2482646817858293E-2</v>
      </c>
      <c r="D122" s="489" t="s">
        <v>201</v>
      </c>
    </row>
    <row r="124" spans="2:6" x14ac:dyDescent="0.25">
      <c r="B124" s="624" t="s">
        <v>602</v>
      </c>
      <c r="C124" s="624"/>
      <c r="D124" s="624"/>
      <c r="E124" s="624"/>
    </row>
    <row r="125" spans="2:6" x14ac:dyDescent="0.25">
      <c r="B125" s="467" t="s">
        <v>582</v>
      </c>
      <c r="C125" s="469">
        <f>C20</f>
        <v>0.32175999999999999</v>
      </c>
      <c r="D125" s="483"/>
    </row>
    <row r="126" spans="2:6" x14ac:dyDescent="0.25">
      <c r="B126" s="467" t="s">
        <v>603</v>
      </c>
      <c r="C126" s="468">
        <f>(PI()*(C125^2))/4</f>
        <v>8.1311877272500527E-2</v>
      </c>
      <c r="D126" s="483"/>
    </row>
    <row r="127" spans="2:6" x14ac:dyDescent="0.25">
      <c r="B127" s="467" t="s">
        <v>584</v>
      </c>
      <c r="C127" s="468">
        <f>+$C$33</f>
        <v>0.8</v>
      </c>
      <c r="D127" s="483"/>
    </row>
    <row r="128" spans="2:6" x14ac:dyDescent="0.25">
      <c r="B128" s="470" t="s">
        <v>585</v>
      </c>
      <c r="C128" s="471">
        <f>+($C$14^2/((2*$C$30)*(C127^2)*($C$21^2)))</f>
        <v>1.0840655831101791E-2</v>
      </c>
      <c r="D128" s="483"/>
    </row>
    <row r="129" spans="2:6" x14ac:dyDescent="0.25">
      <c r="B129" s="470" t="s">
        <v>572</v>
      </c>
      <c r="C129" s="471">
        <f>+(0.4)*(($C$37^2)/(2*$C$30))</f>
        <v>2.7752078927620587E-3</v>
      </c>
      <c r="D129" s="483"/>
    </row>
    <row r="130" spans="2:6" x14ac:dyDescent="0.25">
      <c r="B130" s="470" t="s">
        <v>573</v>
      </c>
      <c r="C130" s="471">
        <f>+($C$14^2/((2*$C$30)*($C$33^2)*(C126^2)))</f>
        <v>1.0840655831101791E-2</v>
      </c>
      <c r="D130" s="483"/>
    </row>
    <row r="131" spans="2:6" x14ac:dyDescent="0.25">
      <c r="B131" s="470" t="s">
        <v>574</v>
      </c>
      <c r="C131" s="471">
        <f>+C128+C129+C130</f>
        <v>2.4456519554965639E-2</v>
      </c>
      <c r="D131" s="483"/>
    </row>
    <row r="132" spans="2:6" x14ac:dyDescent="0.25">
      <c r="B132" s="470" t="s">
        <v>586</v>
      </c>
      <c r="C132" s="471">
        <f>(SQRT(($C$30*C131)/($C$29*$C$17)))</f>
        <v>42.009760939904282</v>
      </c>
      <c r="D132" s="483"/>
      <c r="E132" s="621" t="str">
        <f>IF(C132&lt;35,"No cumple",IF(C132&gt;55,"No cumple","Cumple"))</f>
        <v>Cumple</v>
      </c>
    </row>
    <row r="133" spans="2:6" x14ac:dyDescent="0.25">
      <c r="B133" s="472" t="s">
        <v>579</v>
      </c>
      <c r="C133" s="480">
        <f>+C132*$C$17</f>
        <v>5671.3177268870777</v>
      </c>
      <c r="D133" s="483"/>
      <c r="F133" s="623"/>
    </row>
    <row r="134" spans="2:6" x14ac:dyDescent="0.25">
      <c r="B134" s="472" t="s">
        <v>580</v>
      </c>
      <c r="C134" s="482">
        <f>+C131/$C$25</f>
        <v>1.5285324721853524E-2</v>
      </c>
      <c r="D134" s="483"/>
    </row>
    <row r="136" spans="2:6" x14ac:dyDescent="0.25">
      <c r="B136" s="612" t="s">
        <v>604</v>
      </c>
      <c r="C136" s="612"/>
      <c r="D136" s="612"/>
      <c r="E136" s="612"/>
    </row>
    <row r="137" spans="2:6" x14ac:dyDescent="0.25">
      <c r="B137" s="467" t="s">
        <v>582</v>
      </c>
      <c r="C137" s="469">
        <f>_xlfn.XLOOKUP($C$20+0.01,$AL$3:$AL$15,AL3:AL15,,1,1)</f>
        <v>0.36769999999999997</v>
      </c>
      <c r="D137" s="486" t="s">
        <v>3</v>
      </c>
    </row>
    <row r="138" spans="2:6" x14ac:dyDescent="0.25">
      <c r="B138" s="467" t="s">
        <v>605</v>
      </c>
      <c r="C138" s="468">
        <f>(PI()*(C137^2))/4</f>
        <v>0.10618841565129257</v>
      </c>
      <c r="D138" s="486" t="s">
        <v>550</v>
      </c>
    </row>
    <row r="139" spans="2:6" x14ac:dyDescent="0.25">
      <c r="B139" s="467" t="s">
        <v>584</v>
      </c>
      <c r="C139" s="468">
        <f>+$C$33</f>
        <v>0.8</v>
      </c>
      <c r="D139" s="486"/>
    </row>
    <row r="140" spans="2:6" x14ac:dyDescent="0.25">
      <c r="B140" s="470" t="s">
        <v>585</v>
      </c>
      <c r="C140" s="471">
        <f>+($C$14^2/((2*$C$30)*(C139^2)*($C$21^2)))</f>
        <v>1.0840655831101791E-2</v>
      </c>
      <c r="D140" s="488" t="s">
        <v>3</v>
      </c>
    </row>
    <row r="141" spans="2:6" x14ac:dyDescent="0.25">
      <c r="B141" s="470" t="s">
        <v>572</v>
      </c>
      <c r="C141" s="471">
        <f>+(0.4)*(($C$37^2)/(2*$C$30))</f>
        <v>2.7752078927620587E-3</v>
      </c>
      <c r="D141" s="488" t="s">
        <v>3</v>
      </c>
    </row>
    <row r="142" spans="2:6" x14ac:dyDescent="0.25">
      <c r="B142" s="470" t="s">
        <v>573</v>
      </c>
      <c r="C142" s="471">
        <f>+($C$14^2/((2*$C$30)*($C$33^2)*(C138^2)))</f>
        <v>6.3563711847094209E-3</v>
      </c>
      <c r="D142" s="488" t="s">
        <v>3</v>
      </c>
    </row>
    <row r="143" spans="2:6" x14ac:dyDescent="0.25">
      <c r="B143" s="470" t="s">
        <v>574</v>
      </c>
      <c r="C143" s="471">
        <f>+C140+C141+C142</f>
        <v>1.9972234908573271E-2</v>
      </c>
      <c r="D143" s="488" t="s">
        <v>3</v>
      </c>
    </row>
    <row r="144" spans="2:6" ht="18" x14ac:dyDescent="0.25">
      <c r="B144" s="470" t="s">
        <v>586</v>
      </c>
      <c r="C144" s="471">
        <f>(SQRT(($C$30*C143)/($C$29*$C$17)))</f>
        <v>37.963497555718135</v>
      </c>
      <c r="D144" s="488" t="s">
        <v>587</v>
      </c>
      <c r="E144" s="621" t="str">
        <f>IF(C144&lt;35,"No cumple",IF(C144&gt;55,"No cumple","Cumple"))</f>
        <v>Cumple</v>
      </c>
    </row>
    <row r="145" spans="2:6" x14ac:dyDescent="0.25">
      <c r="B145" s="472" t="s">
        <v>579</v>
      </c>
      <c r="C145" s="480">
        <f>+C144*$C$17</f>
        <v>5125.0721700219483</v>
      </c>
      <c r="D145" s="489"/>
      <c r="F145" s="623"/>
    </row>
    <row r="146" spans="2:6" x14ac:dyDescent="0.25">
      <c r="B146" s="472" t="s">
        <v>580</v>
      </c>
      <c r="C146" s="482">
        <f>+C143/$C$25</f>
        <v>1.2482646817858293E-2</v>
      </c>
      <c r="D146" s="489" t="s">
        <v>201</v>
      </c>
    </row>
    <row r="148" spans="2:6" x14ac:dyDescent="0.25">
      <c r="B148" s="624" t="s">
        <v>606</v>
      </c>
      <c r="C148" s="624"/>
      <c r="D148" s="624"/>
      <c r="E148" s="624"/>
    </row>
    <row r="149" spans="2:6" x14ac:dyDescent="0.25">
      <c r="B149" s="467" t="s">
        <v>582</v>
      </c>
      <c r="C149" s="469">
        <f>C20</f>
        <v>0.32175999999999999</v>
      </c>
      <c r="D149" s="486" t="s">
        <v>3</v>
      </c>
    </row>
    <row r="150" spans="2:6" x14ac:dyDescent="0.25">
      <c r="B150" s="467" t="s">
        <v>607</v>
      </c>
      <c r="C150" s="468">
        <f>(PI()*(C149^2))/4</f>
        <v>8.1311877272500527E-2</v>
      </c>
      <c r="D150" s="486" t="s">
        <v>550</v>
      </c>
    </row>
    <row r="151" spans="2:6" x14ac:dyDescent="0.25">
      <c r="B151" s="467" t="s">
        <v>584</v>
      </c>
      <c r="C151" s="468">
        <f>+$C$33</f>
        <v>0.8</v>
      </c>
      <c r="D151" s="486"/>
    </row>
    <row r="152" spans="2:6" x14ac:dyDescent="0.25">
      <c r="B152" s="470" t="s">
        <v>585</v>
      </c>
      <c r="C152" s="471">
        <f>+($C$14^2/((2*$C$30)*(C151^2)*($C$21^2)))</f>
        <v>1.0840655831101791E-2</v>
      </c>
      <c r="D152" s="488" t="s">
        <v>3</v>
      </c>
    </row>
    <row r="153" spans="2:6" x14ac:dyDescent="0.25">
      <c r="B153" s="470" t="s">
        <v>572</v>
      </c>
      <c r="C153" s="471">
        <f>+(0.4)*(($C$37^2)/(2*$C$30))</f>
        <v>2.7752078927620587E-3</v>
      </c>
      <c r="D153" s="488" t="s">
        <v>3</v>
      </c>
    </row>
    <row r="154" spans="2:6" x14ac:dyDescent="0.25">
      <c r="B154" s="470" t="s">
        <v>573</v>
      </c>
      <c r="C154" s="471">
        <f>+($C$14^2/((2*$C$30)*($C$33^2)*(C150^2)))</f>
        <v>1.0840655831101791E-2</v>
      </c>
      <c r="D154" s="488" t="s">
        <v>3</v>
      </c>
    </row>
    <row r="155" spans="2:6" x14ac:dyDescent="0.25">
      <c r="B155" s="470" t="s">
        <v>574</v>
      </c>
      <c r="C155" s="471">
        <f>+C152+C153+C154</f>
        <v>2.4456519554965639E-2</v>
      </c>
      <c r="D155" s="488" t="s">
        <v>3</v>
      </c>
    </row>
    <row r="156" spans="2:6" ht="18" x14ac:dyDescent="0.25">
      <c r="B156" s="470" t="s">
        <v>586</v>
      </c>
      <c r="C156" s="471">
        <f>(SQRT(($C$30*C155)/($C$29*$C$17)))</f>
        <v>42.009760939904282</v>
      </c>
      <c r="D156" s="488" t="s">
        <v>587</v>
      </c>
      <c r="E156" s="621" t="str">
        <f>IF(C156&lt;35,"No cumple",IF(C156&gt;55,"No cumple","Cumple"))</f>
        <v>Cumple</v>
      </c>
    </row>
    <row r="157" spans="2:6" x14ac:dyDescent="0.25">
      <c r="B157" s="472" t="s">
        <v>579</v>
      </c>
      <c r="C157" s="480">
        <f>+C156*$C$17</f>
        <v>5671.3177268870777</v>
      </c>
      <c r="D157" s="489"/>
      <c r="F157" s="623"/>
    </row>
    <row r="158" spans="2:6" x14ac:dyDescent="0.25">
      <c r="B158" s="472" t="s">
        <v>580</v>
      </c>
      <c r="C158" s="482">
        <f>+C155/$C$25</f>
        <v>1.5285324721853524E-2</v>
      </c>
      <c r="D158" s="489" t="s">
        <v>201</v>
      </c>
    </row>
    <row r="160" spans="2:6" x14ac:dyDescent="0.25">
      <c r="B160" s="612" t="s">
        <v>608</v>
      </c>
      <c r="C160" s="612"/>
      <c r="D160" s="612"/>
      <c r="E160" s="612"/>
    </row>
    <row r="161" spans="2:6" x14ac:dyDescent="0.25">
      <c r="B161" s="467" t="s">
        <v>582</v>
      </c>
      <c r="C161" s="469">
        <f>_xlfn.XLOOKUP($C$20+0.01,$AL$3:$AL$15,AL3:AL15,,1,1)</f>
        <v>0.36769999999999997</v>
      </c>
      <c r="D161" s="488" t="s">
        <v>3</v>
      </c>
    </row>
    <row r="162" spans="2:6" x14ac:dyDescent="0.25">
      <c r="B162" s="467" t="s">
        <v>609</v>
      </c>
      <c r="C162" s="468">
        <f>(PI()*(C161^2))/4</f>
        <v>0.10618841565129257</v>
      </c>
      <c r="D162" s="488" t="s">
        <v>550</v>
      </c>
    </row>
    <row r="163" spans="2:6" x14ac:dyDescent="0.25">
      <c r="B163" s="467" t="s">
        <v>584</v>
      </c>
      <c r="C163" s="468">
        <f>+$C$33</f>
        <v>0.8</v>
      </c>
      <c r="D163" s="488"/>
    </row>
    <row r="164" spans="2:6" x14ac:dyDescent="0.25">
      <c r="B164" s="470" t="s">
        <v>585</v>
      </c>
      <c r="C164" s="471">
        <f>+($C$14^2/((2*$C$30)*(C163^2)*($C$21^2)))</f>
        <v>1.0840655831101791E-2</v>
      </c>
      <c r="D164" s="488" t="s">
        <v>3</v>
      </c>
    </row>
    <row r="165" spans="2:6" x14ac:dyDescent="0.25">
      <c r="B165" s="470" t="s">
        <v>572</v>
      </c>
      <c r="C165" s="471">
        <f>+(0.4)*(($C$37^2)/(2*$C$30))</f>
        <v>2.7752078927620587E-3</v>
      </c>
      <c r="D165" s="488" t="s">
        <v>3</v>
      </c>
    </row>
    <row r="166" spans="2:6" x14ac:dyDescent="0.25">
      <c r="B166" s="470" t="s">
        <v>573</v>
      </c>
      <c r="C166" s="471">
        <f>+($C$14^2/((2*$C$30)*($C$33^2)*(C162^2)))</f>
        <v>6.3563711847094209E-3</v>
      </c>
      <c r="D166" s="488" t="s">
        <v>3</v>
      </c>
    </row>
    <row r="167" spans="2:6" x14ac:dyDescent="0.25">
      <c r="B167" s="470" t="s">
        <v>574</v>
      </c>
      <c r="C167" s="471">
        <f>+C164+C165+C166</f>
        <v>1.9972234908573271E-2</v>
      </c>
      <c r="D167" s="488" t="s">
        <v>3</v>
      </c>
    </row>
    <row r="168" spans="2:6" ht="18" x14ac:dyDescent="0.25">
      <c r="B168" s="470" t="s">
        <v>586</v>
      </c>
      <c r="C168" s="471">
        <f>(SQRT(($C$30*C167)/($C$29*$C$17)))</f>
        <v>37.963497555718135</v>
      </c>
      <c r="D168" s="488" t="s">
        <v>587</v>
      </c>
      <c r="E168" s="621" t="str">
        <f>IF(C168&lt;35,"No cumple",IF(C168&gt;55,"No cumple","Cumple"))</f>
        <v>Cumple</v>
      </c>
    </row>
    <row r="169" spans="2:6" x14ac:dyDescent="0.25">
      <c r="B169" s="472" t="s">
        <v>579</v>
      </c>
      <c r="C169" s="480">
        <f>+C168*$C$17</f>
        <v>5125.0721700219483</v>
      </c>
      <c r="D169" s="489"/>
      <c r="F169" s="623"/>
    </row>
    <row r="170" spans="2:6" x14ac:dyDescent="0.25">
      <c r="B170" s="472" t="s">
        <v>580</v>
      </c>
      <c r="C170" s="482">
        <f>+C167/$C$25</f>
        <v>1.2482646817858293E-2</v>
      </c>
      <c r="D170" s="489" t="s">
        <v>201</v>
      </c>
    </row>
    <row r="172" spans="2:6" x14ac:dyDescent="0.25">
      <c r="B172" s="624" t="s">
        <v>610</v>
      </c>
      <c r="C172" s="624"/>
      <c r="D172" s="624"/>
      <c r="E172" s="624"/>
    </row>
    <row r="173" spans="2:6" x14ac:dyDescent="0.25">
      <c r="B173" s="467" t="s">
        <v>582</v>
      </c>
      <c r="C173" s="469">
        <f>C20</f>
        <v>0.32175999999999999</v>
      </c>
      <c r="D173" s="486" t="s">
        <v>3</v>
      </c>
    </row>
    <row r="174" spans="2:6" x14ac:dyDescent="0.25">
      <c r="B174" s="467" t="s">
        <v>611</v>
      </c>
      <c r="C174" s="468">
        <f>(PI()*(C173^2))/4</f>
        <v>8.1311877272500527E-2</v>
      </c>
      <c r="D174" s="486" t="s">
        <v>550</v>
      </c>
    </row>
    <row r="175" spans="2:6" x14ac:dyDescent="0.25">
      <c r="B175" s="467" t="s">
        <v>584</v>
      </c>
      <c r="C175" s="468">
        <f>+$C$33</f>
        <v>0.8</v>
      </c>
      <c r="D175" s="486"/>
    </row>
    <row r="176" spans="2:6" x14ac:dyDescent="0.25">
      <c r="B176" s="470" t="s">
        <v>585</v>
      </c>
      <c r="C176" s="471">
        <f>+($C$14^2/((2*$C$30)*(C175^2)*($C$21^2)))</f>
        <v>1.0840655831101791E-2</v>
      </c>
      <c r="D176" s="486" t="s">
        <v>3</v>
      </c>
    </row>
    <row r="177" spans="2:6" x14ac:dyDescent="0.25">
      <c r="B177" s="470" t="s">
        <v>572</v>
      </c>
      <c r="C177" s="471">
        <f>+(0.4)*(($C$37^2)/(2*$C$30))</f>
        <v>2.7752078927620587E-3</v>
      </c>
      <c r="D177" s="486" t="s">
        <v>3</v>
      </c>
    </row>
    <row r="178" spans="2:6" x14ac:dyDescent="0.25">
      <c r="B178" s="470" t="s">
        <v>573</v>
      </c>
      <c r="C178" s="471">
        <f>+($C$14^2/((2*$C$30)*($C$33^2)*(C174^2)))</f>
        <v>1.0840655831101791E-2</v>
      </c>
      <c r="D178" s="486" t="s">
        <v>3</v>
      </c>
    </row>
    <row r="179" spans="2:6" x14ac:dyDescent="0.25">
      <c r="B179" s="470" t="s">
        <v>574</v>
      </c>
      <c r="C179" s="471">
        <f>+C176+C177+C178</f>
        <v>2.4456519554965639E-2</v>
      </c>
      <c r="D179" s="486" t="s">
        <v>3</v>
      </c>
    </row>
    <row r="180" spans="2:6" ht="18" x14ac:dyDescent="0.25">
      <c r="B180" s="470" t="s">
        <v>586</v>
      </c>
      <c r="C180" s="471">
        <f>(SQRT(($C$30*C179)/($C$29*$C$17)))</f>
        <v>42.009760939904282</v>
      </c>
      <c r="D180" s="486" t="s">
        <v>587</v>
      </c>
      <c r="E180" s="621" t="str">
        <f>IF(C180&lt;35,"No cumple",IF(C180&gt;55,"No cumple","Cumple"))</f>
        <v>Cumple</v>
      </c>
    </row>
    <row r="181" spans="2:6" x14ac:dyDescent="0.25">
      <c r="B181" s="472" t="s">
        <v>579</v>
      </c>
      <c r="C181" s="480">
        <f>+C180*$C$17</f>
        <v>5671.3177268870777</v>
      </c>
      <c r="D181" s="487"/>
      <c r="F181" s="623"/>
    </row>
    <row r="182" spans="2:6" x14ac:dyDescent="0.25">
      <c r="B182" s="472" t="s">
        <v>580</v>
      </c>
      <c r="C182" s="482">
        <f>+C179/$C$25</f>
        <v>1.5285324721853524E-2</v>
      </c>
      <c r="D182" s="487" t="s">
        <v>201</v>
      </c>
    </row>
    <row r="183" spans="2:6" x14ac:dyDescent="0.25">
      <c r="C183" s="625"/>
      <c r="D183" s="625"/>
      <c r="E183" s="625"/>
      <c r="F183" s="625"/>
    </row>
    <row r="184" spans="2:6" x14ac:dyDescent="0.25">
      <c r="B184" s="626" t="s">
        <v>612</v>
      </c>
      <c r="C184" s="625"/>
      <c r="D184" s="625"/>
      <c r="E184" s="625"/>
      <c r="F184" s="625"/>
    </row>
    <row r="185" spans="2:6" x14ac:dyDescent="0.25">
      <c r="B185" s="484" t="s">
        <v>613</v>
      </c>
      <c r="C185" s="476" t="s">
        <v>614</v>
      </c>
      <c r="D185" s="485">
        <f>+(C17*C44)+(C17*C60)+(C17*C72)+(C17*C84)+(C17*C96)+(C17*C108)+(C17*C120)+(C17*C132)+(C17*C144)+(C17*C156)+(C17*C168)+(C17*C180)</f>
        <v>65038.784856796658</v>
      </c>
      <c r="E185" s="483"/>
      <c r="F185" s="621" t="str">
        <f>IF(D185&lt;25000,"No cumple",IF(D185&gt;150000,"No cumple","Cumple"))</f>
        <v>Cumple</v>
      </c>
    </row>
    <row r="186" spans="2:6" ht="18" x14ac:dyDescent="0.25">
      <c r="B186" s="484" t="s">
        <v>615</v>
      </c>
      <c r="C186" s="476" t="s">
        <v>616</v>
      </c>
      <c r="D186" s="475">
        <f>+(C180+C168+C156+C144+C132+C120+C108+C96+C84+C72+C60+C44)/12</f>
        <v>40.147398059751019</v>
      </c>
      <c r="E186" s="470" t="s">
        <v>587</v>
      </c>
      <c r="F186" s="621" t="str">
        <f>IF(D186&lt;35,"No cumple",IF(D186&gt;55,"No cumple","Cumple"))</f>
        <v>Cumple</v>
      </c>
    </row>
    <row r="187" spans="2:6" x14ac:dyDescent="0.25">
      <c r="B187" s="627"/>
      <c r="C187" s="628"/>
      <c r="D187" s="629"/>
      <c r="E187" s="630"/>
      <c r="F187" s="623"/>
    </row>
    <row r="188" spans="2:6" x14ac:dyDescent="0.25">
      <c r="B188" s="627"/>
      <c r="C188" s="628"/>
      <c r="D188" s="629"/>
      <c r="E188" s="630"/>
      <c r="F188" s="623"/>
    </row>
    <row r="189" spans="2:6" ht="34.5" customHeight="1" x14ac:dyDescent="0.25">
      <c r="B189" s="649" t="s">
        <v>617</v>
      </c>
      <c r="C189" s="649"/>
      <c r="D189" s="649"/>
      <c r="E189" s="649"/>
      <c r="F189" s="649"/>
    </row>
    <row r="190" spans="2:6" x14ac:dyDescent="0.25">
      <c r="B190" s="606" t="s">
        <v>618</v>
      </c>
    </row>
    <row r="192" spans="2:6" x14ac:dyDescent="0.25">
      <c r="B192" s="15" t="s">
        <v>57</v>
      </c>
    </row>
    <row r="193" spans="2:2" x14ac:dyDescent="0.25">
      <c r="B193" s="5" t="s">
        <v>58</v>
      </c>
    </row>
    <row r="194" spans="2:2" x14ac:dyDescent="0.25">
      <c r="B194" s="5" t="s">
        <v>59</v>
      </c>
    </row>
    <row r="195" spans="2:2" x14ac:dyDescent="0.25">
      <c r="B195" s="5"/>
    </row>
    <row r="196" spans="2:2" x14ac:dyDescent="0.25">
      <c r="B196" s="15" t="s">
        <v>60</v>
      </c>
    </row>
    <row r="197" spans="2:2" x14ac:dyDescent="0.25">
      <c r="B197" s="5" t="s">
        <v>621</v>
      </c>
    </row>
  </sheetData>
  <mergeCells count="19">
    <mergeCell ref="B12:E12"/>
    <mergeCell ref="AA1:AA2"/>
    <mergeCell ref="AB1:AB2"/>
    <mergeCell ref="AJ1:AL1"/>
    <mergeCell ref="G76:J80"/>
    <mergeCell ref="AC1:AC2"/>
    <mergeCell ref="AD1:AD2"/>
    <mergeCell ref="B10:F10"/>
    <mergeCell ref="B11:E11"/>
    <mergeCell ref="G11:J21"/>
    <mergeCell ref="B189:F189"/>
    <mergeCell ref="G24:J32"/>
    <mergeCell ref="B34:E34"/>
    <mergeCell ref="G35:J42"/>
    <mergeCell ref="G45:J54"/>
    <mergeCell ref="G56:J60"/>
    <mergeCell ref="F59:F61"/>
    <mergeCell ref="G63:J67"/>
    <mergeCell ref="G70:J73"/>
  </mergeCells>
  <conditionalFormatting sqref="C37:C38 C47:C49 E187:E188 D185:D186">
    <cfRule type="cellIs" dxfId="38" priority="37" operator="between">
      <formula>0.25</formula>
      <formula>0.65</formula>
    </cfRule>
  </conditionalFormatting>
  <conditionalFormatting sqref="C45">
    <cfRule type="cellIs" dxfId="37" priority="36" operator="between">
      <formula>0.25</formula>
      <formula>0.65</formula>
    </cfRule>
  </conditionalFormatting>
  <conditionalFormatting sqref="C62">
    <cfRule type="cellIs" dxfId="36" priority="35" operator="between">
      <formula>0.25</formula>
      <formula>0.65</formula>
    </cfRule>
  </conditionalFormatting>
  <conditionalFormatting sqref="C74">
    <cfRule type="cellIs" dxfId="35" priority="34" operator="between">
      <formula>0.25</formula>
      <formula>0.65</formula>
    </cfRule>
  </conditionalFormatting>
  <conditionalFormatting sqref="C86">
    <cfRule type="cellIs" dxfId="34" priority="33" operator="between">
      <formula>0.25</formula>
      <formula>0.65</formula>
    </cfRule>
  </conditionalFormatting>
  <conditionalFormatting sqref="C98">
    <cfRule type="cellIs" dxfId="33" priority="32" operator="between">
      <formula>0.25</formula>
      <formula>0.65</formula>
    </cfRule>
  </conditionalFormatting>
  <conditionalFormatting sqref="C110">
    <cfRule type="cellIs" dxfId="32" priority="31" operator="between">
      <formula>0.25</formula>
      <formula>0.65</formula>
    </cfRule>
  </conditionalFormatting>
  <conditionalFormatting sqref="C122">
    <cfRule type="cellIs" dxfId="31" priority="30" operator="between">
      <formula>0.25</formula>
      <formula>0.65</formula>
    </cfRule>
  </conditionalFormatting>
  <conditionalFormatting sqref="C134">
    <cfRule type="cellIs" dxfId="30" priority="29" operator="between">
      <formula>0.25</formula>
      <formula>0.65</formula>
    </cfRule>
  </conditionalFormatting>
  <conditionalFormatting sqref="C146">
    <cfRule type="cellIs" dxfId="29" priority="28" operator="between">
      <formula>0.25</formula>
      <formula>0.65</formula>
    </cfRule>
  </conditionalFormatting>
  <conditionalFormatting sqref="C158">
    <cfRule type="cellIs" dxfId="28" priority="27" operator="between">
      <formula>0.25</formula>
      <formula>0.65</formula>
    </cfRule>
  </conditionalFormatting>
  <conditionalFormatting sqref="C170">
    <cfRule type="cellIs" dxfId="27" priority="26" operator="between">
      <formula>0.25</formula>
      <formula>0.65</formula>
    </cfRule>
  </conditionalFormatting>
  <conditionalFormatting sqref="C182">
    <cfRule type="cellIs" dxfId="26" priority="25" operator="between">
      <formula>0.25</formula>
      <formula>0.65</formula>
    </cfRule>
  </conditionalFormatting>
  <conditionalFormatting sqref="E72">
    <cfRule type="cellIs" dxfId="25" priority="24" operator="between">
      <formula>0.25</formula>
      <formula>0.65</formula>
    </cfRule>
  </conditionalFormatting>
  <conditionalFormatting sqref="F73">
    <cfRule type="cellIs" dxfId="24" priority="23" operator="between">
      <formula>0.25</formula>
      <formula>0.65</formula>
    </cfRule>
  </conditionalFormatting>
  <conditionalFormatting sqref="E84">
    <cfRule type="cellIs" dxfId="23" priority="22" operator="between">
      <formula>0.25</formula>
      <formula>0.65</formula>
    </cfRule>
  </conditionalFormatting>
  <conditionalFormatting sqref="F85">
    <cfRule type="cellIs" dxfId="22" priority="21" operator="between">
      <formula>0.25</formula>
      <formula>0.65</formula>
    </cfRule>
  </conditionalFormatting>
  <conditionalFormatting sqref="E96">
    <cfRule type="cellIs" dxfId="21" priority="20" operator="between">
      <formula>0.25</formula>
      <formula>0.65</formula>
    </cfRule>
  </conditionalFormatting>
  <conditionalFormatting sqref="F97">
    <cfRule type="cellIs" dxfId="20" priority="19" operator="between">
      <formula>0.25</formula>
      <formula>0.65</formula>
    </cfRule>
  </conditionalFormatting>
  <conditionalFormatting sqref="E108">
    <cfRule type="cellIs" dxfId="19" priority="18" operator="between">
      <formula>0.25</formula>
      <formula>0.65</formula>
    </cfRule>
  </conditionalFormatting>
  <conditionalFormatting sqref="F109">
    <cfRule type="cellIs" dxfId="18" priority="17" operator="between">
      <formula>0.25</formula>
      <formula>0.65</formula>
    </cfRule>
  </conditionalFormatting>
  <conditionalFormatting sqref="E120">
    <cfRule type="cellIs" dxfId="17" priority="16" operator="between">
      <formula>0.25</formula>
      <formula>0.65</formula>
    </cfRule>
  </conditionalFormatting>
  <conditionalFormatting sqref="F121">
    <cfRule type="cellIs" dxfId="16" priority="15" operator="between">
      <formula>0.25</formula>
      <formula>0.65</formula>
    </cfRule>
  </conditionalFormatting>
  <conditionalFormatting sqref="E132">
    <cfRule type="cellIs" dxfId="15" priority="14" operator="between">
      <formula>0.25</formula>
      <formula>0.65</formula>
    </cfRule>
  </conditionalFormatting>
  <conditionalFormatting sqref="F133">
    <cfRule type="cellIs" dxfId="14" priority="13" operator="between">
      <formula>0.25</formula>
      <formula>0.65</formula>
    </cfRule>
  </conditionalFormatting>
  <conditionalFormatting sqref="E144">
    <cfRule type="cellIs" dxfId="13" priority="12" operator="between">
      <formula>0.25</formula>
      <formula>0.65</formula>
    </cfRule>
  </conditionalFormatting>
  <conditionalFormatting sqref="F145">
    <cfRule type="cellIs" dxfId="12" priority="11" operator="between">
      <formula>0.25</formula>
      <formula>0.65</formula>
    </cfRule>
  </conditionalFormatting>
  <conditionalFormatting sqref="E156">
    <cfRule type="cellIs" dxfId="11" priority="10" operator="between">
      <formula>0.25</formula>
      <formula>0.65</formula>
    </cfRule>
  </conditionalFormatting>
  <conditionalFormatting sqref="F157">
    <cfRule type="cellIs" dxfId="10" priority="9" operator="between">
      <formula>0.25</formula>
      <formula>0.65</formula>
    </cfRule>
  </conditionalFormatting>
  <conditionalFormatting sqref="E168">
    <cfRule type="cellIs" dxfId="9" priority="8" operator="between">
      <formula>0.25</formula>
      <formula>0.65</formula>
    </cfRule>
  </conditionalFormatting>
  <conditionalFormatting sqref="F169">
    <cfRule type="cellIs" dxfId="8" priority="7" operator="between">
      <formula>0.25</formula>
      <formula>0.65</formula>
    </cfRule>
  </conditionalFormatting>
  <conditionalFormatting sqref="E180">
    <cfRule type="cellIs" dxfId="7" priority="6" operator="between">
      <formula>0.25</formula>
      <formula>0.65</formula>
    </cfRule>
  </conditionalFormatting>
  <conditionalFormatting sqref="F181">
    <cfRule type="cellIs" dxfId="6" priority="5" operator="between">
      <formula>0.25</formula>
      <formula>0.65</formula>
    </cfRule>
  </conditionalFormatting>
  <conditionalFormatting sqref="F186:F188">
    <cfRule type="cellIs" dxfId="5" priority="4" operator="between">
      <formula>0.25</formula>
      <formula>0.65</formula>
    </cfRule>
  </conditionalFormatting>
  <conditionalFormatting sqref="F185">
    <cfRule type="cellIs" dxfId="4" priority="3" operator="between">
      <formula>0.25</formula>
      <formula>0.65</formula>
    </cfRule>
  </conditionalFormatting>
  <conditionalFormatting sqref="E60">
    <cfRule type="cellIs" dxfId="3" priority="2" operator="between">
      <formula>0.25</formula>
      <formula>0.65</formula>
    </cfRule>
  </conditionalFormatting>
  <conditionalFormatting sqref="C50">
    <cfRule type="cellIs" dxfId="2" priority="1" operator="between">
      <formula>0.25</formula>
      <formula>0.65</formula>
    </cfRule>
  </conditionalFormatting>
  <dataValidations count="3">
    <dataValidation type="list" allowBlank="1" showInputMessage="1" showErrorMessage="1" sqref="C15" xr:uid="{C36657CD-4973-4421-A2E4-18B8371FBF2E}">
      <formula1>$AF$4:$AF$24</formula1>
    </dataValidation>
    <dataValidation type="list" allowBlank="1" showInputMessage="1" showErrorMessage="1" sqref="C31" xr:uid="{16944D3A-ED18-468A-9260-94053F7F849F}">
      <formula1>$AA$4:$AA$39</formula1>
    </dataValidation>
    <dataValidation type="decimal" allowBlank="1" showInputMessage="1" showErrorMessage="1" error="Ingrese un valor valido entre 10 y 100" prompt="Ingrese un caudal entre 10 y 100" sqref="C13" xr:uid="{C6A90F2D-54E4-4E3C-BE50-A8C1E127CC19}">
      <formula1>10</formula1>
      <formula2>100</formula2>
    </dataValidation>
  </dataValidations>
  <pageMargins left="0.7" right="0.7" top="0.75" bottom="0.75" header="0.3" footer="0.3"/>
  <pageSetup paperSize="9" scale="61" orientation="portrait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B2:BI368"/>
  <sheetViews>
    <sheetView topLeftCell="A104" zoomScale="80" zoomScaleNormal="80" workbookViewId="0">
      <selection activeCell="B32" sqref="B32:E32"/>
    </sheetView>
  </sheetViews>
  <sheetFormatPr baseColWidth="10" defaultColWidth="11.42578125" defaultRowHeight="15" x14ac:dyDescent="0.25"/>
  <cols>
    <col min="1" max="1" width="5.42578125" style="5" customWidth="1"/>
    <col min="2" max="20" width="13.85546875" style="5" customWidth="1"/>
    <col min="21" max="21" width="18.85546875" style="5" customWidth="1"/>
    <col min="22" max="53" width="13.85546875" style="5" customWidth="1"/>
    <col min="54" max="57" width="11.42578125" style="5"/>
    <col min="58" max="58" width="20" style="5" customWidth="1"/>
    <col min="59" max="16384" width="11.42578125" style="5"/>
  </cols>
  <sheetData>
    <row r="2" spans="2:61" x14ac:dyDescent="0.2">
      <c r="B2" s="16"/>
      <c r="C2" s="16"/>
      <c r="D2" s="15" t="s">
        <v>54</v>
      </c>
      <c r="F2" s="15"/>
      <c r="U2" s="19"/>
    </row>
    <row r="3" spans="2:61" x14ac:dyDescent="0.25">
      <c r="B3" s="16"/>
      <c r="C3" s="16"/>
      <c r="D3" s="15" t="s">
        <v>55</v>
      </c>
      <c r="F3" s="15"/>
    </row>
    <row r="4" spans="2:61" x14ac:dyDescent="0.25">
      <c r="B4" s="16"/>
      <c r="C4" s="16"/>
      <c r="D4" s="466" t="s">
        <v>56</v>
      </c>
      <c r="F4" s="466"/>
      <c r="H4"/>
      <c r="I4" s="30"/>
      <c r="J4" s="30"/>
      <c r="K4" s="30"/>
      <c r="L4" s="30"/>
    </row>
    <row r="5" spans="2:61" ht="15" customHeight="1" x14ac:dyDescent="0.25">
      <c r="B5" s="16"/>
      <c r="C5" s="16"/>
      <c r="D5" s="15" t="s">
        <v>61</v>
      </c>
      <c r="F5" s="15"/>
    </row>
    <row r="6" spans="2:61" ht="20.100000000000001" customHeight="1" x14ac:dyDescent="0.25">
      <c r="S6" s="341" t="s">
        <v>126</v>
      </c>
      <c r="T6" s="500" t="s">
        <v>181</v>
      </c>
      <c r="U6" s="653" t="s">
        <v>129</v>
      </c>
      <c r="V6" s="653" t="s">
        <v>127</v>
      </c>
      <c r="X6" s="684" t="s">
        <v>646</v>
      </c>
      <c r="Y6" s="686"/>
      <c r="Z6" s="667" t="s">
        <v>622</v>
      </c>
      <c r="AA6" s="667" t="s">
        <v>686</v>
      </c>
      <c r="AB6" s="667"/>
      <c r="AC6" s="667"/>
      <c r="AD6" s="684" t="s">
        <v>685</v>
      </c>
      <c r="AE6" s="685"/>
      <c r="AF6" s="686"/>
      <c r="AG6" s="667" t="s">
        <v>687</v>
      </c>
      <c r="AI6" s="681" t="s">
        <v>680</v>
      </c>
      <c r="AJ6" s="683"/>
      <c r="AK6" s="683"/>
      <c r="AL6" s="683"/>
      <c r="AM6" s="683"/>
      <c r="AN6" s="683"/>
      <c r="AO6" s="683"/>
      <c r="AP6" s="683"/>
      <c r="AQ6" s="683"/>
      <c r="AR6" s="683"/>
      <c r="AS6" s="683"/>
      <c r="AT6" s="682"/>
      <c r="AV6" s="658" t="s">
        <v>649</v>
      </c>
      <c r="AW6" s="659"/>
      <c r="AX6" s="660"/>
      <c r="AZ6" s="667" t="s">
        <v>17</v>
      </c>
      <c r="BB6" s="684" t="s">
        <v>719</v>
      </c>
      <c r="BC6" s="686"/>
      <c r="BD6" s="667" t="s">
        <v>284</v>
      </c>
      <c r="BF6" s="684" t="s">
        <v>720</v>
      </c>
      <c r="BG6" s="754" t="s">
        <v>721</v>
      </c>
      <c r="BH6" s="754" t="s">
        <v>284</v>
      </c>
    </row>
    <row r="7" spans="2:61" ht="20.100000000000001" customHeight="1" x14ac:dyDescent="0.25">
      <c r="B7" s="22" t="s">
        <v>176</v>
      </c>
      <c r="C7" s="22"/>
      <c r="D7" s="22"/>
      <c r="E7" s="108"/>
      <c r="F7" s="108"/>
      <c r="G7" s="108"/>
      <c r="H7" s="108"/>
      <c r="I7" s="108"/>
      <c r="J7" s="108"/>
      <c r="K7" s="108"/>
      <c r="S7" s="501" t="s">
        <v>132</v>
      </c>
      <c r="T7" s="501" t="s">
        <v>131</v>
      </c>
      <c r="U7" s="654"/>
      <c r="V7" s="654"/>
      <c r="X7" s="687"/>
      <c r="Y7" s="689"/>
      <c r="Z7" s="667"/>
      <c r="AA7" s="667"/>
      <c r="AB7" s="667"/>
      <c r="AC7" s="667"/>
      <c r="AD7" s="687"/>
      <c r="AE7" s="688"/>
      <c r="AF7" s="689"/>
      <c r="AG7" s="667"/>
      <c r="AI7" s="681" t="str">
        <f>X10</f>
        <v>Placas planas paralelas</v>
      </c>
      <c r="AJ7" s="683"/>
      <c r="AK7" s="683"/>
      <c r="AL7" s="682"/>
      <c r="AM7" s="681" t="str">
        <f>X11</f>
        <v>Placas onduladas paralelas</v>
      </c>
      <c r="AN7" s="683"/>
      <c r="AO7" s="683"/>
      <c r="AP7" s="682"/>
      <c r="AQ7" s="681" t="str">
        <f>X12</f>
        <v>Conductos cuadrados</v>
      </c>
      <c r="AR7" s="683"/>
      <c r="AS7" s="683"/>
      <c r="AT7" s="682"/>
      <c r="AV7" s="661"/>
      <c r="AW7" s="662"/>
      <c r="AX7" s="663"/>
      <c r="AZ7" s="667"/>
      <c r="BB7" s="687"/>
      <c r="BC7" s="689"/>
      <c r="BD7" s="667"/>
      <c r="BF7" s="687"/>
      <c r="BG7" s="755"/>
      <c r="BH7" s="755"/>
    </row>
    <row r="8" spans="2:61" ht="20.100000000000001" customHeight="1" x14ac:dyDescent="0.25">
      <c r="B8" s="664" t="s">
        <v>177</v>
      </c>
      <c r="C8" s="665"/>
      <c r="D8" s="665"/>
      <c r="E8" s="666"/>
      <c r="F8" s="502" t="s">
        <v>179</v>
      </c>
      <c r="G8" s="255"/>
      <c r="H8" s="50"/>
      <c r="I8" s="50"/>
      <c r="J8" s="50"/>
      <c r="K8" s="50"/>
      <c r="S8" s="344" t="s">
        <v>128</v>
      </c>
      <c r="T8" s="344" t="s">
        <v>133</v>
      </c>
      <c r="U8" s="345" t="s">
        <v>130</v>
      </c>
      <c r="V8" s="344" t="s">
        <v>134</v>
      </c>
      <c r="X8" s="687"/>
      <c r="Y8" s="689"/>
      <c r="Z8" s="667"/>
      <c r="AA8" s="667"/>
      <c r="AB8" s="667"/>
      <c r="AC8" s="667"/>
      <c r="AD8" s="690"/>
      <c r="AE8" s="691"/>
      <c r="AF8" s="692"/>
      <c r="AG8" s="667"/>
      <c r="AI8" s="513" t="s">
        <v>679</v>
      </c>
      <c r="AJ8" s="514"/>
      <c r="AK8" s="504" t="s">
        <v>678</v>
      </c>
      <c r="AL8" s="504" t="s">
        <v>658</v>
      </c>
      <c r="AM8" s="681" t="s">
        <v>679</v>
      </c>
      <c r="AN8" s="682"/>
      <c r="AO8" s="504" t="s">
        <v>678</v>
      </c>
      <c r="AP8" s="504" t="s">
        <v>658</v>
      </c>
      <c r="AQ8" s="681" t="s">
        <v>679</v>
      </c>
      <c r="AR8" s="682"/>
      <c r="AS8" s="504" t="s">
        <v>678</v>
      </c>
      <c r="AT8" s="504" t="s">
        <v>658</v>
      </c>
      <c r="AV8" s="661"/>
      <c r="AW8" s="662"/>
      <c r="AX8" s="663"/>
      <c r="AZ8" s="667"/>
      <c r="BB8" s="690"/>
      <c r="BC8" s="692"/>
      <c r="BD8" s="667"/>
      <c r="BF8" s="690"/>
      <c r="BG8" s="756"/>
      <c r="BH8" s="756"/>
    </row>
    <row r="9" spans="2:61" ht="20.100000000000001" customHeight="1" x14ac:dyDescent="0.25">
      <c r="B9" s="664" t="s">
        <v>178</v>
      </c>
      <c r="C9" s="665"/>
      <c r="D9" s="665"/>
      <c r="E9" s="666"/>
      <c r="F9" s="502" t="s">
        <v>180</v>
      </c>
      <c r="G9" s="255"/>
      <c r="H9" s="50"/>
      <c r="I9" s="50"/>
      <c r="J9" s="50"/>
      <c r="K9" s="50"/>
      <c r="S9" s="346" t="s">
        <v>137</v>
      </c>
      <c r="T9" s="347"/>
      <c r="U9" s="348"/>
      <c r="V9" s="349"/>
      <c r="X9" s="327" t="s">
        <v>137</v>
      </c>
      <c r="Y9" s="328"/>
      <c r="Z9" s="328"/>
      <c r="AA9" s="304"/>
      <c r="AB9" s="304"/>
      <c r="AC9" s="304"/>
      <c r="AD9" s="304"/>
      <c r="AE9" s="304"/>
      <c r="AF9" s="304"/>
      <c r="AG9" s="304"/>
      <c r="AI9" s="524" t="s">
        <v>656</v>
      </c>
      <c r="AJ9" s="515"/>
      <c r="AK9" s="63" t="s">
        <v>659</v>
      </c>
      <c r="AL9" s="63">
        <v>4</v>
      </c>
      <c r="AM9" s="534" t="s">
        <v>657</v>
      </c>
      <c r="AN9" s="518"/>
      <c r="AO9" s="63" t="s">
        <v>665</v>
      </c>
      <c r="AP9" s="63">
        <v>1.5</v>
      </c>
      <c r="AQ9" s="534" t="s">
        <v>657</v>
      </c>
      <c r="AR9" s="518"/>
      <c r="AS9" s="63" t="s">
        <v>675</v>
      </c>
      <c r="AT9" s="63">
        <v>1.5</v>
      </c>
      <c r="AU9" s="499"/>
      <c r="AV9" s="327"/>
      <c r="AW9" s="511"/>
      <c r="AX9" s="328"/>
      <c r="AZ9" s="63"/>
      <c r="BB9" s="778" t="s">
        <v>740</v>
      </c>
      <c r="BC9" s="779"/>
      <c r="BD9" s="588">
        <v>9.7379999999999994E-2</v>
      </c>
      <c r="BF9" s="600"/>
      <c r="BG9" s="601"/>
      <c r="BH9" s="602"/>
      <c r="BI9" s="589"/>
    </row>
    <row r="10" spans="2:61" ht="20.100000000000001" customHeight="1" x14ac:dyDescent="0.25">
      <c r="B10" s="664" t="s">
        <v>173</v>
      </c>
      <c r="C10" s="665"/>
      <c r="D10" s="665"/>
      <c r="E10" s="666"/>
      <c r="F10" s="502" t="s">
        <v>174</v>
      </c>
      <c r="G10" s="502" t="s">
        <v>161</v>
      </c>
      <c r="H10" s="50"/>
      <c r="I10" s="50"/>
      <c r="J10" s="50"/>
      <c r="K10" s="50"/>
      <c r="S10" s="346">
        <v>0</v>
      </c>
      <c r="T10" s="347">
        <v>999.82</v>
      </c>
      <c r="U10" s="350">
        <v>1.792E-3</v>
      </c>
      <c r="V10" s="349">
        <f t="shared" ref="V10:V45" si="0">U10/T10</f>
        <v>1.7923226180712527E-6</v>
      </c>
      <c r="X10" s="304" t="s">
        <v>624</v>
      </c>
      <c r="Y10" s="304"/>
      <c r="Z10" s="298">
        <v>1</v>
      </c>
      <c r="AA10" s="541" t="s">
        <v>656</v>
      </c>
      <c r="AB10" s="541" t="s">
        <v>663</v>
      </c>
      <c r="AC10" s="541" t="s">
        <v>676</v>
      </c>
      <c r="AD10" s="540" t="str">
        <f>X10&amp;" - "&amp;AA10</f>
        <v>Placas planas paralelas - Acero inoxidable AISI 316</v>
      </c>
      <c r="AE10" s="540" t="str">
        <f>X10&amp;" - "&amp;AB10</f>
        <v>Placas planas paralelas - Polietileno alta densidad (HDPE)</v>
      </c>
      <c r="AF10" s="540" t="str">
        <f>X10&amp;" - "&amp;AC10</f>
        <v>Placas planas paralelas - Poliestireno de alto impacto(HIPS)</v>
      </c>
      <c r="AG10" s="670" t="str">
        <f>F38&amp;" - "&amp;F39</f>
        <v>Placas planas paralelas - Acero inoxidable AISI 316</v>
      </c>
      <c r="AI10" s="525"/>
      <c r="AJ10" s="516"/>
      <c r="AK10" s="63" t="s">
        <v>660</v>
      </c>
      <c r="AL10" s="63">
        <v>4</v>
      </c>
      <c r="AM10" s="532"/>
      <c r="AN10" s="519"/>
      <c r="AO10" s="63" t="s">
        <v>666</v>
      </c>
      <c r="AP10" s="63">
        <v>1.5</v>
      </c>
      <c r="AQ10" s="532"/>
      <c r="AR10" s="519"/>
      <c r="AS10" s="63" t="s">
        <v>669</v>
      </c>
      <c r="AT10" s="63">
        <v>1.5</v>
      </c>
      <c r="AV10" s="327" t="s">
        <v>650</v>
      </c>
      <c r="AW10" s="511"/>
      <c r="AX10" s="328"/>
      <c r="AZ10" s="63">
        <v>2</v>
      </c>
      <c r="BB10" s="778" t="s">
        <v>725</v>
      </c>
      <c r="BC10" s="779"/>
      <c r="BD10" s="588">
        <v>0.14334</v>
      </c>
      <c r="BF10" s="600" t="s">
        <v>727</v>
      </c>
      <c r="BG10" s="601">
        <v>9</v>
      </c>
      <c r="BH10" s="602">
        <v>1.66E-2</v>
      </c>
      <c r="BI10" s="589"/>
    </row>
    <row r="11" spans="2:61" ht="20.100000000000001" customHeight="1" x14ac:dyDescent="0.25">
      <c r="B11" s="664" t="s">
        <v>172</v>
      </c>
      <c r="C11" s="665"/>
      <c r="D11" s="665"/>
      <c r="E11" s="666"/>
      <c r="F11" s="502" t="s">
        <v>171</v>
      </c>
      <c r="G11" s="502" t="s">
        <v>161</v>
      </c>
      <c r="H11" s="50"/>
      <c r="I11" s="50"/>
      <c r="J11" s="50"/>
      <c r="K11" s="50"/>
      <c r="S11" s="351">
        <v>1</v>
      </c>
      <c r="T11" s="352">
        <v>999.89</v>
      </c>
      <c r="U11" s="353">
        <v>1.7310000000000001E-3</v>
      </c>
      <c r="V11" s="349">
        <f t="shared" si="0"/>
        <v>1.7311904309474043E-6</v>
      </c>
      <c r="X11" s="304" t="s">
        <v>625</v>
      </c>
      <c r="Y11" s="304"/>
      <c r="Z11" s="310">
        <v>1.3</v>
      </c>
      <c r="AA11" s="542" t="s">
        <v>657</v>
      </c>
      <c r="AB11" s="542" t="s">
        <v>664</v>
      </c>
      <c r="AC11" s="542"/>
      <c r="AD11" s="540" t="str">
        <f>X11&amp;" - "&amp;AA11</f>
        <v>Placas onduladas paralelas - Acrilonitrilo butadieno estireno (ABS)</v>
      </c>
      <c r="AE11" s="540" t="str">
        <f>X11&amp;" - "&amp;AB11</f>
        <v>Placas onduladas paralelas - Polipropileno (PP)</v>
      </c>
      <c r="AF11" s="540"/>
      <c r="AG11" s="671"/>
      <c r="AI11" s="525"/>
      <c r="AJ11" s="516"/>
      <c r="AK11" s="63" t="s">
        <v>661</v>
      </c>
      <c r="AL11" s="63">
        <v>4</v>
      </c>
      <c r="AM11" s="532"/>
      <c r="AN11" s="519"/>
      <c r="AO11" s="63" t="s">
        <v>667</v>
      </c>
      <c r="AP11" s="63">
        <v>1.5</v>
      </c>
      <c r="AQ11" s="532"/>
      <c r="AR11" s="519"/>
      <c r="AS11" s="63" t="s">
        <v>677</v>
      </c>
      <c r="AT11" s="63">
        <v>1.5</v>
      </c>
      <c r="AV11" s="327" t="s">
        <v>655</v>
      </c>
      <c r="AW11" s="511"/>
      <c r="AX11" s="328"/>
      <c r="AZ11" s="63">
        <v>3</v>
      </c>
      <c r="BB11" s="778" t="s">
        <v>726</v>
      </c>
      <c r="BC11" s="779"/>
      <c r="BD11" s="588">
        <v>0.18662000000000001</v>
      </c>
      <c r="BF11" s="600" t="s">
        <v>728</v>
      </c>
      <c r="BG11" s="601">
        <v>11</v>
      </c>
      <c r="BH11" s="602">
        <v>2.181E-2</v>
      </c>
      <c r="BI11" s="589"/>
    </row>
    <row r="12" spans="2:61" ht="20.100000000000001" customHeight="1" x14ac:dyDescent="0.25">
      <c r="B12" s="664" t="s">
        <v>175</v>
      </c>
      <c r="C12" s="665"/>
      <c r="D12" s="665"/>
      <c r="E12" s="666"/>
      <c r="F12" s="502" t="s">
        <v>215</v>
      </c>
      <c r="G12" s="502" t="s">
        <v>161</v>
      </c>
      <c r="H12" s="50"/>
      <c r="I12" s="50"/>
      <c r="J12" s="50"/>
      <c r="K12" s="50"/>
      <c r="S12" s="351">
        <v>2</v>
      </c>
      <c r="T12" s="352">
        <v>999.94</v>
      </c>
      <c r="U12" s="353">
        <v>1.673E-3</v>
      </c>
      <c r="V12" s="349">
        <f t="shared" si="0"/>
        <v>1.6731003860231613E-6</v>
      </c>
      <c r="X12" s="304" t="s">
        <v>623</v>
      </c>
      <c r="Y12" s="304"/>
      <c r="Z12" s="299">
        <f>11/8</f>
        <v>1.375</v>
      </c>
      <c r="AA12" s="542" t="s">
        <v>657</v>
      </c>
      <c r="AB12" s="542" t="s">
        <v>664</v>
      </c>
      <c r="AC12" s="543"/>
      <c r="AD12" s="540" t="str">
        <f>X12&amp;" - "&amp;AA12</f>
        <v>Conductos cuadrados - Acrilonitrilo butadieno estireno (ABS)</v>
      </c>
      <c r="AE12" s="540" t="str">
        <f>X12&amp;" - "&amp;AB12</f>
        <v>Conductos cuadrados - Polipropileno (PP)</v>
      </c>
      <c r="AF12" s="540"/>
      <c r="AG12" s="672"/>
      <c r="AI12" s="526"/>
      <c r="AJ12" s="517"/>
      <c r="AK12" s="63" t="s">
        <v>662</v>
      </c>
      <c r="AL12" s="63">
        <v>5</v>
      </c>
      <c r="AM12" s="532"/>
      <c r="AN12" s="519"/>
      <c r="AO12" s="63" t="s">
        <v>668</v>
      </c>
      <c r="AP12" s="63">
        <v>1.5</v>
      </c>
      <c r="AQ12" s="533"/>
      <c r="AR12" s="520"/>
      <c r="AS12" s="63" t="s">
        <v>674</v>
      </c>
      <c r="AT12" s="63">
        <v>1.5</v>
      </c>
      <c r="AZ12" s="63">
        <v>4</v>
      </c>
      <c r="BB12" s="598"/>
      <c r="BC12" s="598"/>
      <c r="BD12" s="605"/>
      <c r="BF12" s="600" t="s">
        <v>729</v>
      </c>
      <c r="BG12" s="603">
        <v>21</v>
      </c>
      <c r="BH12" s="602">
        <v>2.3630000000000002E-2</v>
      </c>
      <c r="BI12" s="589"/>
    </row>
    <row r="13" spans="2:61" ht="20.100000000000001" customHeight="1" x14ac:dyDescent="0.25">
      <c r="B13" s="503"/>
      <c r="C13" s="503"/>
      <c r="D13" s="503"/>
      <c r="E13" s="503"/>
      <c r="F13" s="74"/>
      <c r="G13" s="74"/>
      <c r="H13" s="50"/>
      <c r="I13" s="50"/>
      <c r="J13" s="50"/>
      <c r="K13" s="50"/>
      <c r="S13" s="351">
        <v>3</v>
      </c>
      <c r="T13" s="352">
        <v>999.98</v>
      </c>
      <c r="U13" s="353">
        <v>1.619E-3</v>
      </c>
      <c r="V13" s="349">
        <f t="shared" si="0"/>
        <v>1.6190323806476128E-6</v>
      </c>
      <c r="X13" s="21"/>
      <c r="Y13" s="21"/>
      <c r="Z13" s="35"/>
      <c r="AA13" s="35"/>
      <c r="AB13" s="35"/>
      <c r="AC13" s="35"/>
      <c r="AI13" s="527" t="s">
        <v>663</v>
      </c>
      <c r="AJ13" s="518"/>
      <c r="AK13" s="63" t="s">
        <v>665</v>
      </c>
      <c r="AL13" s="63">
        <v>8</v>
      </c>
      <c r="AM13" s="532"/>
      <c r="AN13" s="519"/>
      <c r="AO13" s="63" t="s">
        <v>669</v>
      </c>
      <c r="AP13" s="63">
        <v>1.5</v>
      </c>
      <c r="AQ13" s="534" t="s">
        <v>664</v>
      </c>
      <c r="AR13" s="518"/>
      <c r="AS13" s="63" t="s">
        <v>675</v>
      </c>
      <c r="AT13" s="63">
        <v>1.5</v>
      </c>
      <c r="AZ13" s="63">
        <v>5</v>
      </c>
      <c r="BF13" s="600" t="s">
        <v>730</v>
      </c>
      <c r="BG13" s="603">
        <v>13.5</v>
      </c>
      <c r="BH13" s="602">
        <v>2.8479999999999998E-2</v>
      </c>
      <c r="BI13" s="589"/>
    </row>
    <row r="14" spans="2:61" ht="20.100000000000001" customHeight="1" x14ac:dyDescent="0.25">
      <c r="B14" s="22" t="s">
        <v>626</v>
      </c>
      <c r="C14" s="503"/>
      <c r="D14" s="503"/>
      <c r="E14" s="503"/>
      <c r="F14" s="74"/>
      <c r="G14" s="74"/>
      <c r="H14" s="50"/>
      <c r="I14" s="50"/>
      <c r="J14" s="50"/>
      <c r="K14" s="50"/>
      <c r="S14" s="351">
        <v>4</v>
      </c>
      <c r="T14" s="352">
        <v>1000</v>
      </c>
      <c r="U14" s="353">
        <v>1.567E-3</v>
      </c>
      <c r="V14" s="349">
        <f t="shared" si="0"/>
        <v>1.567E-6</v>
      </c>
      <c r="X14" s="21"/>
      <c r="Y14" s="21"/>
      <c r="Z14" s="35"/>
      <c r="AA14" s="35"/>
      <c r="AB14" s="35"/>
      <c r="AC14" s="35"/>
      <c r="AI14" s="528"/>
      <c r="AJ14" s="519"/>
      <c r="AK14" s="63" t="s">
        <v>666</v>
      </c>
      <c r="AL14" s="63">
        <v>8</v>
      </c>
      <c r="AM14" s="532"/>
      <c r="AN14" s="519"/>
      <c r="AO14" s="63" t="s">
        <v>670</v>
      </c>
      <c r="AP14" s="63">
        <v>1.5</v>
      </c>
      <c r="AQ14" s="532"/>
      <c r="AR14" s="519"/>
      <c r="AS14" s="63" t="s">
        <v>669</v>
      </c>
      <c r="AT14" s="63">
        <v>1.5</v>
      </c>
      <c r="AZ14" s="63">
        <v>6</v>
      </c>
      <c r="BF14" s="600" t="s">
        <v>731</v>
      </c>
      <c r="BG14" s="601">
        <v>21</v>
      </c>
      <c r="BH14" s="602">
        <v>3.0200000000000001E-2</v>
      </c>
      <c r="BI14" s="589"/>
    </row>
    <row r="15" spans="2:61" ht="20.100000000000001" customHeight="1" x14ac:dyDescent="0.25">
      <c r="B15" s="664" t="s">
        <v>635</v>
      </c>
      <c r="C15" s="665"/>
      <c r="D15" s="665"/>
      <c r="E15" s="666"/>
      <c r="F15" s="502" t="s">
        <v>636</v>
      </c>
      <c r="G15" s="74"/>
      <c r="H15" s="50"/>
      <c r="I15" s="50"/>
      <c r="J15" s="50"/>
      <c r="K15" s="50"/>
      <c r="S15" s="351">
        <v>5</v>
      </c>
      <c r="T15" s="352">
        <v>1000</v>
      </c>
      <c r="U15" s="353">
        <v>1.519E-3</v>
      </c>
      <c r="V15" s="349">
        <f t="shared" si="0"/>
        <v>1.519E-6</v>
      </c>
      <c r="X15" s="21"/>
      <c r="Y15" s="21"/>
      <c r="Z15" s="21"/>
      <c r="AA15" s="21"/>
      <c r="AB15" s="21"/>
      <c r="AC15" s="21"/>
      <c r="AI15" s="528"/>
      <c r="AJ15" s="519"/>
      <c r="AK15" s="63" t="s">
        <v>667</v>
      </c>
      <c r="AL15" s="63">
        <v>8</v>
      </c>
      <c r="AM15" s="532"/>
      <c r="AN15" s="519"/>
      <c r="AO15" s="63" t="s">
        <v>671</v>
      </c>
      <c r="AP15" s="63">
        <v>1.5</v>
      </c>
      <c r="AQ15" s="532"/>
      <c r="AR15" s="519"/>
      <c r="AS15" s="63" t="s">
        <v>677</v>
      </c>
      <c r="AT15" s="63">
        <v>1.5</v>
      </c>
      <c r="AZ15" s="63">
        <v>7</v>
      </c>
      <c r="BF15" s="600" t="s">
        <v>732</v>
      </c>
      <c r="BG15" s="601">
        <v>21</v>
      </c>
      <c r="BH15" s="602">
        <v>3.814E-2</v>
      </c>
      <c r="BI15" s="589"/>
    </row>
    <row r="16" spans="2:61" ht="20.100000000000001" customHeight="1" x14ac:dyDescent="0.25">
      <c r="B16" s="664" t="s">
        <v>637</v>
      </c>
      <c r="C16" s="665"/>
      <c r="D16" s="665"/>
      <c r="E16" s="666"/>
      <c r="F16" s="509" t="s">
        <v>638</v>
      </c>
      <c r="G16" s="74"/>
      <c r="H16" s="50"/>
      <c r="I16" s="50"/>
      <c r="J16" s="50"/>
      <c r="K16" s="50"/>
      <c r="S16" s="351">
        <v>6</v>
      </c>
      <c r="T16" s="352">
        <v>999.99</v>
      </c>
      <c r="U16" s="353">
        <v>1.4730000000000001E-3</v>
      </c>
      <c r="V16" s="349">
        <f t="shared" si="0"/>
        <v>1.4730147301473016E-6</v>
      </c>
      <c r="X16" s="21" t="s">
        <v>684</v>
      </c>
      <c r="Y16" s="21">
        <v>3197150944</v>
      </c>
      <c r="Z16" s="35"/>
      <c r="AA16" s="35"/>
      <c r="AB16" s="35"/>
      <c r="AC16" s="35"/>
      <c r="AI16" s="528"/>
      <c r="AJ16" s="519"/>
      <c r="AK16" s="63" t="s">
        <v>668</v>
      </c>
      <c r="AL16" s="63">
        <v>8</v>
      </c>
      <c r="AM16" s="532"/>
      <c r="AN16" s="519"/>
      <c r="AO16" s="63" t="s">
        <v>672</v>
      </c>
      <c r="AP16" s="63">
        <v>1.5</v>
      </c>
      <c r="AQ16" s="533"/>
      <c r="AR16" s="520"/>
      <c r="AS16" s="63" t="s">
        <v>674</v>
      </c>
      <c r="AT16" s="63">
        <v>1.5</v>
      </c>
      <c r="AZ16" s="63">
        <v>8</v>
      </c>
      <c r="BF16" s="600" t="s">
        <v>733</v>
      </c>
      <c r="BG16" s="601">
        <v>21</v>
      </c>
      <c r="BH16" s="602">
        <v>4.3679999999999997E-2</v>
      </c>
      <c r="BI16" s="589"/>
    </row>
    <row r="17" spans="2:60" ht="20.100000000000001" customHeight="1" x14ac:dyDescent="0.25">
      <c r="B17" s="673" t="s">
        <v>651</v>
      </c>
      <c r="C17" s="674"/>
      <c r="D17" s="674"/>
      <c r="E17" s="675"/>
      <c r="F17" s="753" t="s">
        <v>652</v>
      </c>
      <c r="G17" s="74"/>
      <c r="H17" s="50"/>
      <c r="I17" s="50"/>
      <c r="J17" s="50"/>
      <c r="K17" s="50"/>
      <c r="S17" s="351">
        <v>7</v>
      </c>
      <c r="T17" s="352">
        <v>999.96</v>
      </c>
      <c r="U17" s="353">
        <v>1.428E-3</v>
      </c>
      <c r="V17" s="349">
        <f t="shared" si="0"/>
        <v>1.4280571222848913E-6</v>
      </c>
      <c r="X17" s="21"/>
      <c r="Y17" s="21"/>
      <c r="Z17" s="35"/>
      <c r="AA17" s="35"/>
      <c r="AB17" s="35"/>
      <c r="AC17" s="35"/>
      <c r="AI17" s="528"/>
      <c r="AJ17" s="519"/>
      <c r="AK17" s="63" t="s">
        <v>669</v>
      </c>
      <c r="AL17" s="63">
        <v>8</v>
      </c>
      <c r="AM17" s="532"/>
      <c r="AN17" s="519"/>
      <c r="AO17" s="63" t="s">
        <v>673</v>
      </c>
      <c r="AP17" s="63">
        <v>1.5</v>
      </c>
      <c r="AQ17" s="21"/>
      <c r="AR17" s="21"/>
      <c r="AS17" s="21"/>
      <c r="AZ17" s="21"/>
      <c r="BF17" s="600" t="s">
        <v>734</v>
      </c>
      <c r="BG17" s="601">
        <v>21</v>
      </c>
      <c r="BH17" s="602">
        <v>5.4579999999999997E-2</v>
      </c>
    </row>
    <row r="18" spans="2:60" ht="20.100000000000001" customHeight="1" x14ac:dyDescent="0.25">
      <c r="B18" s="676"/>
      <c r="C18" s="677"/>
      <c r="D18" s="677"/>
      <c r="E18" s="678"/>
      <c r="F18" s="753"/>
      <c r="G18" s="74"/>
      <c r="H18" s="50"/>
      <c r="I18" s="50"/>
      <c r="J18" s="50"/>
      <c r="K18" s="50"/>
      <c r="S18" s="351">
        <v>8</v>
      </c>
      <c r="T18" s="352">
        <v>999.91</v>
      </c>
      <c r="U18" s="353">
        <v>1.3859999999999999E-3</v>
      </c>
      <c r="V18" s="349">
        <f t="shared" si="0"/>
        <v>1.3861247512276103E-6</v>
      </c>
      <c r="X18" s="21"/>
      <c r="Y18" s="21"/>
      <c r="Z18" s="35"/>
      <c r="AA18" s="35"/>
      <c r="AB18" s="35"/>
      <c r="AC18" s="35"/>
      <c r="AI18" s="528"/>
      <c r="AJ18" s="519"/>
      <c r="AK18" s="63" t="s">
        <v>670</v>
      </c>
      <c r="AL18" s="63">
        <v>8</v>
      </c>
      <c r="AM18" s="533"/>
      <c r="AN18" s="520"/>
      <c r="AO18" s="63" t="s">
        <v>674</v>
      </c>
      <c r="AP18" s="63">
        <v>1.5</v>
      </c>
      <c r="AQ18" s="21"/>
      <c r="AR18" s="21"/>
      <c r="AS18" s="21"/>
      <c r="AZ18" s="21"/>
      <c r="BF18" s="600" t="s">
        <v>737</v>
      </c>
      <c r="BG18" s="601">
        <v>26</v>
      </c>
      <c r="BH18" s="602">
        <v>5.57E-2</v>
      </c>
    </row>
    <row r="19" spans="2:60" ht="20.100000000000001" customHeight="1" x14ac:dyDescent="0.25">
      <c r="B19" s="673" t="s">
        <v>654</v>
      </c>
      <c r="C19" s="674"/>
      <c r="D19" s="674"/>
      <c r="E19" s="675"/>
      <c r="F19" s="753" t="s">
        <v>653</v>
      </c>
      <c r="G19" s="74"/>
      <c r="H19" s="50"/>
      <c r="I19" s="50"/>
      <c r="J19" s="50"/>
      <c r="K19" s="50"/>
      <c r="S19" s="351">
        <v>9</v>
      </c>
      <c r="T19" s="352">
        <v>999.85</v>
      </c>
      <c r="U19" s="353">
        <v>1.3460000000000002E-3</v>
      </c>
      <c r="V19" s="349">
        <f t="shared" si="0"/>
        <v>1.3462019302895435E-6</v>
      </c>
      <c r="X19" s="21"/>
      <c r="Y19" s="21"/>
      <c r="Z19" s="35"/>
      <c r="AA19" s="35"/>
      <c r="AB19" s="35"/>
      <c r="AC19" s="35"/>
      <c r="AI19" s="528"/>
      <c r="AJ19" s="519"/>
      <c r="AK19" s="63" t="s">
        <v>671</v>
      </c>
      <c r="AL19" s="507">
        <v>8</v>
      </c>
      <c r="AM19" s="534" t="s">
        <v>664</v>
      </c>
      <c r="AN19" s="535"/>
      <c r="AO19" s="63" t="s">
        <v>665</v>
      </c>
      <c r="AP19" s="63">
        <v>1.5</v>
      </c>
      <c r="AQ19" s="21"/>
      <c r="AR19" s="21"/>
      <c r="AS19" s="21"/>
      <c r="AZ19" s="21"/>
      <c r="BF19" s="600" t="s">
        <v>736</v>
      </c>
      <c r="BG19" s="601">
        <v>21</v>
      </c>
      <c r="BH19" s="602">
        <v>6.6070000000000004E-2</v>
      </c>
    </row>
    <row r="20" spans="2:60" ht="20.100000000000001" customHeight="1" x14ac:dyDescent="0.25">
      <c r="B20" s="676"/>
      <c r="C20" s="677"/>
      <c r="D20" s="677"/>
      <c r="E20" s="678"/>
      <c r="F20" s="753"/>
      <c r="G20" s="74"/>
      <c r="H20" s="50"/>
      <c r="I20" s="50"/>
      <c r="J20" s="50"/>
      <c r="K20" s="50"/>
      <c r="S20" s="351">
        <v>10</v>
      </c>
      <c r="T20" s="352">
        <v>999.77</v>
      </c>
      <c r="U20" s="353">
        <v>1.3080000000000001E-3</v>
      </c>
      <c r="V20" s="349">
        <f t="shared" si="0"/>
        <v>1.3083009092091183E-6</v>
      </c>
      <c r="X20" s="21"/>
      <c r="Y20" s="21"/>
      <c r="Z20" s="35"/>
      <c r="AA20" s="35"/>
      <c r="AB20" s="35"/>
      <c r="AC20" s="35"/>
      <c r="AI20" s="528"/>
      <c r="AJ20" s="519"/>
      <c r="AK20" s="63" t="s">
        <v>672</v>
      </c>
      <c r="AL20" s="507">
        <v>8</v>
      </c>
      <c r="AM20" s="536"/>
      <c r="AN20" s="537"/>
      <c r="AO20" s="63" t="s">
        <v>666</v>
      </c>
      <c r="AP20" s="63">
        <v>1.5</v>
      </c>
      <c r="AQ20" s="21"/>
      <c r="AR20" s="21"/>
      <c r="AS20" s="21"/>
      <c r="AZ20" s="21"/>
      <c r="BF20" s="600" t="s">
        <v>738</v>
      </c>
      <c r="BG20" s="601">
        <v>26</v>
      </c>
      <c r="BH20" s="602">
        <v>6.7449999999999996E-2</v>
      </c>
    </row>
    <row r="21" spans="2:60" ht="20.100000000000001" customHeight="1" x14ac:dyDescent="0.25">
      <c r="B21" s="664" t="s">
        <v>628</v>
      </c>
      <c r="C21" s="665"/>
      <c r="D21" s="665"/>
      <c r="E21" s="666"/>
      <c r="F21" s="549" t="s">
        <v>640</v>
      </c>
      <c r="G21" s="74"/>
      <c r="H21" s="758"/>
      <c r="I21" s="758"/>
      <c r="J21" s="758"/>
      <c r="K21" s="758"/>
      <c r="L21" s="577"/>
      <c r="M21" s="493"/>
      <c r="S21" s="351">
        <v>11</v>
      </c>
      <c r="T21" s="352">
        <v>999.68</v>
      </c>
      <c r="U21" s="353">
        <v>1.271E-3</v>
      </c>
      <c r="V21" s="349">
        <f t="shared" si="0"/>
        <v>1.2714068501920614E-6</v>
      </c>
      <c r="X21" s="21"/>
      <c r="Y21" s="21"/>
      <c r="Z21" s="35"/>
      <c r="AA21" s="35"/>
      <c r="AB21" s="35"/>
      <c r="AC21" s="35"/>
      <c r="AI21" s="528"/>
      <c r="AJ21" s="519"/>
      <c r="AK21" s="63" t="s">
        <v>673</v>
      </c>
      <c r="AL21" s="507">
        <v>8</v>
      </c>
      <c r="AM21" s="536"/>
      <c r="AN21" s="537"/>
      <c r="AO21" s="63" t="s">
        <v>667</v>
      </c>
      <c r="AP21" s="63">
        <v>1.5</v>
      </c>
      <c r="AQ21" s="21"/>
      <c r="AR21" s="21"/>
      <c r="AS21" s="21"/>
      <c r="BF21" s="600" t="s">
        <v>735</v>
      </c>
      <c r="BG21" s="601">
        <v>21</v>
      </c>
      <c r="BH21" s="602">
        <v>8.0420000000000005E-2</v>
      </c>
    </row>
    <row r="22" spans="2:60" ht="20.100000000000001" customHeight="1" x14ac:dyDescent="0.25">
      <c r="B22" s="664" t="s">
        <v>627</v>
      </c>
      <c r="C22" s="665"/>
      <c r="D22" s="665"/>
      <c r="E22" s="666"/>
      <c r="F22" s="549" t="s">
        <v>639</v>
      </c>
      <c r="G22" s="74"/>
      <c r="H22" s="50"/>
      <c r="I22" s="50"/>
      <c r="J22" s="50"/>
      <c r="K22" s="50"/>
      <c r="S22" s="351">
        <v>12</v>
      </c>
      <c r="T22" s="352">
        <v>999.58</v>
      </c>
      <c r="U22" s="353">
        <v>1.2359999999999999E-3</v>
      </c>
      <c r="V22" s="349">
        <f t="shared" si="0"/>
        <v>1.2365193381220111E-6</v>
      </c>
      <c r="X22" s="21"/>
      <c r="Y22" s="21"/>
      <c r="Z22" s="117"/>
      <c r="AA22" s="117"/>
      <c r="AB22" s="117"/>
      <c r="AC22" s="117"/>
      <c r="AI22" s="529"/>
      <c r="AJ22" s="520"/>
      <c r="AK22" s="63" t="s">
        <v>674</v>
      </c>
      <c r="AL22" s="507">
        <v>8</v>
      </c>
      <c r="AM22" s="536"/>
      <c r="AN22" s="537"/>
      <c r="AO22" s="63" t="s">
        <v>668</v>
      </c>
      <c r="AP22" s="63">
        <v>1.5</v>
      </c>
      <c r="AQ22" s="21"/>
      <c r="AR22" s="21"/>
      <c r="AS22" s="21"/>
      <c r="BF22" s="600" t="s">
        <v>739</v>
      </c>
      <c r="BG22" s="601">
        <v>26</v>
      </c>
      <c r="BH22" s="602">
        <v>8.2040000000000002E-2</v>
      </c>
    </row>
    <row r="23" spans="2:60" ht="20.100000000000001" customHeight="1" x14ac:dyDescent="0.25">
      <c r="B23" s="664" t="s">
        <v>629</v>
      </c>
      <c r="C23" s="665"/>
      <c r="D23" s="665"/>
      <c r="E23" s="666"/>
      <c r="F23" s="502">
        <v>60</v>
      </c>
      <c r="G23" s="74"/>
      <c r="H23" s="50"/>
      <c r="I23" s="50"/>
      <c r="J23" s="50"/>
      <c r="K23" s="50"/>
      <c r="S23" s="351">
        <v>13</v>
      </c>
      <c r="T23" s="352">
        <v>999.46</v>
      </c>
      <c r="U23" s="353">
        <v>1.2030000000000001E-3</v>
      </c>
      <c r="V23" s="349">
        <f t="shared" si="0"/>
        <v>1.2036499709843315E-6</v>
      </c>
      <c r="X23" s="21"/>
      <c r="Y23" s="21"/>
      <c r="Z23" s="117"/>
      <c r="AA23" s="117"/>
      <c r="AB23" s="117"/>
      <c r="AC23" s="117"/>
      <c r="AI23" s="524" t="s">
        <v>676</v>
      </c>
      <c r="AJ23" s="521"/>
      <c r="AK23" s="329" t="s">
        <v>665</v>
      </c>
      <c r="AL23" s="507">
        <v>3</v>
      </c>
      <c r="AM23" s="536"/>
      <c r="AN23" s="537"/>
      <c r="AO23" s="63" t="s">
        <v>669</v>
      </c>
      <c r="AP23" s="63">
        <v>1.5</v>
      </c>
      <c r="AQ23" s="21"/>
      <c r="AR23" s="21"/>
      <c r="AS23" s="21"/>
    </row>
    <row r="24" spans="2:60" ht="20.100000000000001" customHeight="1" x14ac:dyDescent="0.25">
      <c r="B24" s="664" t="s">
        <v>53</v>
      </c>
      <c r="C24" s="665"/>
      <c r="D24" s="665"/>
      <c r="E24" s="666"/>
      <c r="F24" s="502" t="s">
        <v>641</v>
      </c>
      <c r="G24" s="74"/>
      <c r="H24" s="50"/>
      <c r="I24" s="50"/>
      <c r="J24" s="50"/>
      <c r="K24" s="50"/>
      <c r="S24" s="351">
        <v>14</v>
      </c>
      <c r="T24" s="352">
        <v>999.33</v>
      </c>
      <c r="U24" s="353">
        <v>1.1709999999999999E-3</v>
      </c>
      <c r="V24" s="349">
        <f t="shared" si="0"/>
        <v>1.1717850960143296E-6</v>
      </c>
      <c r="X24" s="21"/>
      <c r="Y24" s="21"/>
      <c r="Z24" s="43"/>
      <c r="AA24" s="43"/>
      <c r="AB24" s="43"/>
      <c r="AC24" s="43"/>
      <c r="AI24" s="530"/>
      <c r="AJ24" s="522"/>
      <c r="AK24" s="329" t="s">
        <v>675</v>
      </c>
      <c r="AL24" s="507">
        <v>5</v>
      </c>
      <c r="AM24" s="536"/>
      <c r="AN24" s="537"/>
      <c r="AO24" s="63" t="s">
        <v>670</v>
      </c>
      <c r="AP24" s="63">
        <v>1.5</v>
      </c>
      <c r="AQ24" s="21"/>
      <c r="AR24" s="21"/>
      <c r="AS24" s="21"/>
    </row>
    <row r="25" spans="2:60" ht="20.100000000000001" customHeight="1" x14ac:dyDescent="0.25">
      <c r="B25" s="664" t="s">
        <v>630</v>
      </c>
      <c r="C25" s="665"/>
      <c r="D25" s="665"/>
      <c r="E25" s="666"/>
      <c r="F25" s="502" t="s">
        <v>642</v>
      </c>
      <c r="G25" s="74"/>
      <c r="H25" s="50"/>
      <c r="I25" s="50"/>
      <c r="J25" s="50"/>
      <c r="K25" s="50"/>
      <c r="S25" s="351">
        <v>15</v>
      </c>
      <c r="T25" s="352">
        <v>999.19</v>
      </c>
      <c r="U25" s="353">
        <v>1.14E-3</v>
      </c>
      <c r="V25" s="349">
        <f t="shared" si="0"/>
        <v>1.1409241485603338E-6</v>
      </c>
      <c r="X25" s="21"/>
      <c r="Y25" s="21"/>
      <c r="Z25" s="21"/>
      <c r="AA25" s="21"/>
      <c r="AB25" s="21"/>
      <c r="AC25" s="21"/>
      <c r="AI25" s="530"/>
      <c r="AJ25" s="522"/>
      <c r="AK25" s="329" t="s">
        <v>671</v>
      </c>
      <c r="AL25" s="507">
        <v>3</v>
      </c>
      <c r="AM25" s="536"/>
      <c r="AN25" s="537"/>
      <c r="AO25" s="63" t="s">
        <v>671</v>
      </c>
      <c r="AP25" s="63">
        <v>1.5</v>
      </c>
      <c r="AQ25" s="21"/>
      <c r="AR25" s="21"/>
      <c r="AS25" s="21"/>
    </row>
    <row r="26" spans="2:60" ht="20.100000000000001" customHeight="1" x14ac:dyDescent="0.25">
      <c r="B26" s="664" t="s">
        <v>631</v>
      </c>
      <c r="C26" s="665"/>
      <c r="D26" s="665"/>
      <c r="E26" s="666"/>
      <c r="F26" s="508" t="s">
        <v>643</v>
      </c>
      <c r="S26" s="351">
        <v>16</v>
      </c>
      <c r="T26" s="352">
        <v>999.03</v>
      </c>
      <c r="U26" s="353">
        <v>1.111E-3</v>
      </c>
      <c r="V26" s="349">
        <f t="shared" si="0"/>
        <v>1.1120787163548642E-6</v>
      </c>
      <c r="X26" s="21"/>
      <c r="Y26" s="21"/>
      <c r="Z26" s="21"/>
      <c r="AA26" s="21"/>
      <c r="AB26" s="21"/>
      <c r="AC26" s="21"/>
      <c r="AI26" s="531"/>
      <c r="AJ26" s="523"/>
      <c r="AK26" s="329" t="s">
        <v>674</v>
      </c>
      <c r="AL26" s="507">
        <v>5</v>
      </c>
      <c r="AM26" s="536"/>
      <c r="AN26" s="537"/>
      <c r="AO26" s="63" t="s">
        <v>672</v>
      </c>
      <c r="AP26" s="63">
        <v>1.5</v>
      </c>
      <c r="AQ26" s="21"/>
      <c r="AR26" s="21"/>
      <c r="AS26" s="21"/>
    </row>
    <row r="27" spans="2:60" ht="20.100000000000001" customHeight="1" x14ac:dyDescent="0.25">
      <c r="B27" s="664" t="s">
        <v>632</v>
      </c>
      <c r="C27" s="665"/>
      <c r="D27" s="665"/>
      <c r="E27" s="666"/>
      <c r="F27" s="268" t="s">
        <v>644</v>
      </c>
      <c r="S27" s="351">
        <v>17</v>
      </c>
      <c r="T27" s="352">
        <v>998.86</v>
      </c>
      <c r="U27" s="353">
        <v>1.083E-3</v>
      </c>
      <c r="V27" s="349">
        <f t="shared" si="0"/>
        <v>1.0842360290731433E-6</v>
      </c>
      <c r="X27" s="7"/>
      <c r="Y27" s="7"/>
      <c r="Z27" s="7"/>
      <c r="AA27" s="7"/>
      <c r="AB27" s="7"/>
      <c r="AC27" s="7"/>
      <c r="AI27" s="23"/>
      <c r="AJ27" s="23"/>
      <c r="AK27" s="21"/>
      <c r="AL27" s="21"/>
      <c r="AM27" s="536"/>
      <c r="AN27" s="537"/>
      <c r="AO27" s="63" t="s">
        <v>673</v>
      </c>
      <c r="AP27" s="63">
        <v>1.5</v>
      </c>
      <c r="AQ27" s="21"/>
      <c r="AR27" s="21"/>
      <c r="AS27" s="21"/>
    </row>
    <row r="28" spans="2:60" ht="20.100000000000001" customHeight="1" x14ac:dyDescent="0.25">
      <c r="B28" s="664" t="s">
        <v>633</v>
      </c>
      <c r="C28" s="665"/>
      <c r="D28" s="665"/>
      <c r="E28" s="666"/>
      <c r="F28" s="510" t="s">
        <v>645</v>
      </c>
      <c r="S28" s="351">
        <v>18</v>
      </c>
      <c r="T28" s="352">
        <v>998.68</v>
      </c>
      <c r="U28" s="353">
        <v>1.0560000000000001E-3</v>
      </c>
      <c r="V28" s="349">
        <f t="shared" si="0"/>
        <v>1.0573957624063765E-6</v>
      </c>
      <c r="X28" s="7"/>
      <c r="Y28" s="7"/>
      <c r="Z28" s="7"/>
      <c r="AA28" s="7"/>
      <c r="AB28" s="7"/>
      <c r="AC28" s="7"/>
      <c r="AI28" s="23"/>
      <c r="AJ28" s="23"/>
      <c r="AK28" s="21"/>
      <c r="AL28" s="21"/>
      <c r="AM28" s="538"/>
      <c r="AN28" s="539"/>
      <c r="AO28" s="63" t="s">
        <v>674</v>
      </c>
      <c r="AP28" s="63">
        <v>1.5</v>
      </c>
      <c r="AQ28" s="21"/>
      <c r="AR28" s="21"/>
      <c r="AS28" s="21"/>
    </row>
    <row r="29" spans="2:60" ht="20.100000000000001" customHeight="1" x14ac:dyDescent="0.25">
      <c r="S29" s="351">
        <v>19</v>
      </c>
      <c r="T29" s="352">
        <v>998.49</v>
      </c>
      <c r="U29" s="353">
        <v>1.0300000000000001E-3</v>
      </c>
      <c r="V29" s="349">
        <f t="shared" si="0"/>
        <v>1.0315576520546026E-6</v>
      </c>
      <c r="X29" s="7"/>
      <c r="Y29" s="7"/>
      <c r="Z29" s="7"/>
      <c r="AA29" s="7"/>
      <c r="AB29" s="7"/>
      <c r="AC29" s="7"/>
      <c r="AI29" s="23"/>
      <c r="AJ29" s="23"/>
      <c r="AK29" s="21"/>
      <c r="AL29" s="21"/>
      <c r="AM29" s="512"/>
      <c r="AN29" s="512"/>
      <c r="AO29" s="21"/>
      <c r="AP29" s="21"/>
      <c r="AQ29" s="21"/>
      <c r="AR29" s="21"/>
      <c r="AS29" s="21"/>
    </row>
    <row r="30" spans="2:60" ht="20.100000000000001" customHeight="1" x14ac:dyDescent="0.25">
      <c r="B30" s="22" t="s">
        <v>154</v>
      </c>
      <c r="S30" s="351">
        <v>20</v>
      </c>
      <c r="T30" s="352">
        <v>998.29</v>
      </c>
      <c r="U30" s="353">
        <v>1.005E-3</v>
      </c>
      <c r="V30" s="349">
        <f t="shared" si="0"/>
        <v>1.0067214937543199E-6</v>
      </c>
      <c r="X30" s="7"/>
      <c r="Y30" s="7"/>
      <c r="Z30" s="7"/>
      <c r="AA30" s="7"/>
      <c r="AB30" s="7"/>
      <c r="AC30" s="7"/>
      <c r="AI30" s="23"/>
      <c r="AJ30" s="23"/>
      <c r="AK30" s="21"/>
      <c r="AL30" s="21"/>
    </row>
    <row r="31" spans="2:60" ht="20.100000000000001" customHeight="1" x14ac:dyDescent="0.25">
      <c r="B31" s="694" t="s">
        <v>135</v>
      </c>
      <c r="C31" s="695"/>
      <c r="D31" s="695"/>
      <c r="E31" s="696"/>
      <c r="F31" s="502" t="s">
        <v>132</v>
      </c>
      <c r="G31" s="502" t="s">
        <v>136</v>
      </c>
      <c r="S31" s="351">
        <v>21</v>
      </c>
      <c r="T31" s="352">
        <v>998.08</v>
      </c>
      <c r="U31" s="353">
        <v>9.810000000000001E-4</v>
      </c>
      <c r="V31" s="349">
        <f t="shared" si="0"/>
        <v>9.8288714331516507E-7</v>
      </c>
      <c r="X31" s="7"/>
      <c r="Y31" s="7"/>
      <c r="Z31" s="7"/>
      <c r="AA31" s="7"/>
      <c r="AB31" s="7"/>
      <c r="AC31" s="7"/>
      <c r="AI31" s="23"/>
      <c r="AJ31" s="23"/>
      <c r="AK31" s="21"/>
      <c r="AL31" s="21"/>
    </row>
    <row r="32" spans="2:60" ht="20.100000000000001" customHeight="1" x14ac:dyDescent="0.25">
      <c r="B32" s="694" t="e">
        <f>"Densidad del agua a "&amp;#REF!&amp;" °C"</f>
        <v>#REF!</v>
      </c>
      <c r="C32" s="695"/>
      <c r="D32" s="695"/>
      <c r="E32" s="696"/>
      <c r="F32" s="502" t="s">
        <v>131</v>
      </c>
      <c r="G32" s="502" t="s">
        <v>162</v>
      </c>
      <c r="S32" s="351">
        <v>22</v>
      </c>
      <c r="T32" s="352">
        <v>997.86</v>
      </c>
      <c r="U32" s="353">
        <v>9.5790000000000003E-4</v>
      </c>
      <c r="V32" s="349">
        <f t="shared" si="0"/>
        <v>9.5995430220672237E-7</v>
      </c>
      <c r="X32" s="7"/>
      <c r="Y32" s="7"/>
      <c r="Z32" s="7"/>
      <c r="AA32" s="7"/>
      <c r="AB32" s="7"/>
      <c r="AC32" s="7"/>
      <c r="AI32" s="23"/>
      <c r="AJ32" s="23"/>
      <c r="AK32" s="21"/>
      <c r="AL32" s="21"/>
    </row>
    <row r="33" spans="2:38" ht="20.100000000000001" customHeight="1" x14ac:dyDescent="0.25">
      <c r="B33" s="694" t="e">
        <f>"Viscocidad dinámica del agua a "&amp;#REF!&amp;" °C"</f>
        <v>#REF!</v>
      </c>
      <c r="C33" s="695"/>
      <c r="D33" s="695"/>
      <c r="E33" s="696"/>
      <c r="F33" s="502" t="s">
        <v>101</v>
      </c>
      <c r="G33" s="78" t="s">
        <v>163</v>
      </c>
      <c r="S33" s="351">
        <v>23</v>
      </c>
      <c r="T33" s="352">
        <v>997.62</v>
      </c>
      <c r="U33" s="353">
        <v>9.3579999999999998E-4</v>
      </c>
      <c r="V33" s="349">
        <f t="shared" si="0"/>
        <v>9.3803251739139144E-7</v>
      </c>
      <c r="X33" s="7"/>
      <c r="Y33" s="7"/>
      <c r="Z33" s="7"/>
      <c r="AA33" s="7"/>
      <c r="AB33" s="7"/>
      <c r="AC33" s="7"/>
      <c r="AI33" s="23"/>
      <c r="AJ33" s="23"/>
      <c r="AK33" s="21"/>
      <c r="AL33" s="21"/>
    </row>
    <row r="34" spans="2:38" ht="20.100000000000001" customHeight="1" x14ac:dyDescent="0.25">
      <c r="B34" s="694" t="e">
        <f>"Viscocidad cinemática del agua a "&amp;#REF!&amp;" °C"</f>
        <v>#REF!</v>
      </c>
      <c r="C34" s="695"/>
      <c r="D34" s="695"/>
      <c r="E34" s="696"/>
      <c r="F34" s="17" t="s">
        <v>2</v>
      </c>
      <c r="G34" s="78" t="s">
        <v>164</v>
      </c>
      <c r="S34" s="351">
        <v>24</v>
      </c>
      <c r="T34" s="352">
        <v>997.38</v>
      </c>
      <c r="U34" s="353">
        <v>9.142E-4</v>
      </c>
      <c r="V34" s="349">
        <f t="shared" si="0"/>
        <v>9.1660149591930864E-7</v>
      </c>
      <c r="X34" s="7"/>
      <c r="Y34" s="7"/>
      <c r="Z34" s="7"/>
      <c r="AA34" s="7"/>
      <c r="AB34" s="7"/>
      <c r="AC34" s="7"/>
      <c r="AI34" s="23"/>
      <c r="AJ34" s="23"/>
      <c r="AK34" s="21"/>
      <c r="AL34" s="21"/>
    </row>
    <row r="35" spans="2:38" ht="20.100000000000001" customHeight="1" x14ac:dyDescent="0.25">
      <c r="B35" s="396"/>
      <c r="C35" s="7"/>
      <c r="D35" s="7"/>
      <c r="E35" s="7"/>
      <c r="F35" s="7"/>
      <c r="G35" s="7"/>
      <c r="S35" s="351">
        <v>25</v>
      </c>
      <c r="T35" s="352">
        <v>997.13</v>
      </c>
      <c r="U35" s="353">
        <v>8.9370000000000009E-4</v>
      </c>
      <c r="V35" s="349">
        <f t="shared" si="0"/>
        <v>8.9627230150532037E-7</v>
      </c>
      <c r="X35" s="7"/>
      <c r="Y35" s="7"/>
      <c r="Z35" s="7"/>
      <c r="AA35" s="7"/>
      <c r="AB35" s="7"/>
      <c r="AC35" s="7"/>
      <c r="AI35" s="23"/>
      <c r="AJ35" s="23"/>
      <c r="AK35" s="21"/>
      <c r="AL35" s="21"/>
    </row>
    <row r="36" spans="2:38" ht="20.100000000000001" customHeight="1" x14ac:dyDescent="0.25">
      <c r="B36" s="679" t="s">
        <v>63</v>
      </c>
      <c r="C36" s="679"/>
      <c r="D36" s="679"/>
      <c r="E36" s="679"/>
      <c r="F36" s="679"/>
      <c r="G36" s="679"/>
      <c r="H36" s="680"/>
      <c r="I36" s="14"/>
      <c r="J36" s="14"/>
      <c r="K36" s="14"/>
      <c r="L36" s="14"/>
      <c r="N36" s="693"/>
      <c r="O36" s="693"/>
      <c r="P36" s="693"/>
      <c r="Q36" s="693"/>
      <c r="S36" s="351">
        <v>26</v>
      </c>
      <c r="T36" s="352">
        <v>996.86</v>
      </c>
      <c r="U36" s="353">
        <v>8.7370000000000004E-4</v>
      </c>
      <c r="V36" s="349">
        <f t="shared" si="0"/>
        <v>8.7645205946672558E-7</v>
      </c>
      <c r="AI36" s="23"/>
      <c r="AJ36" s="23"/>
      <c r="AK36" s="21"/>
      <c r="AL36" s="21"/>
    </row>
    <row r="37" spans="2:38" ht="20.100000000000001" customHeight="1" x14ac:dyDescent="0.25">
      <c r="B37" s="717" t="s">
        <v>649</v>
      </c>
      <c r="C37" s="717"/>
      <c r="D37" s="717"/>
      <c r="E37" s="717"/>
      <c r="F37" s="736" t="s">
        <v>650</v>
      </c>
      <c r="G37" s="737"/>
      <c r="H37" s="14"/>
      <c r="I37" s="14"/>
      <c r="J37" s="14"/>
      <c r="K37" s="14"/>
      <c r="L37" s="14"/>
      <c r="N37" s="547"/>
      <c r="O37" s="547"/>
      <c r="P37" s="547"/>
      <c r="Q37" s="547"/>
      <c r="S37" s="351">
        <v>27</v>
      </c>
      <c r="T37" s="352">
        <v>996.59</v>
      </c>
      <c r="U37" s="353">
        <v>8.5450000000000001E-4</v>
      </c>
      <c r="V37" s="349">
        <f t="shared" si="0"/>
        <v>8.5742381520986557E-7</v>
      </c>
      <c r="AI37" s="23"/>
      <c r="AJ37" s="23"/>
      <c r="AK37" s="21"/>
      <c r="AL37" s="21"/>
    </row>
    <row r="38" spans="2:38" ht="20.100000000000001" customHeight="1" x14ac:dyDescent="0.25">
      <c r="B38" s="717" t="s">
        <v>691</v>
      </c>
      <c r="C38" s="717"/>
      <c r="D38" s="717"/>
      <c r="E38" s="717"/>
      <c r="F38" s="736" t="s">
        <v>624</v>
      </c>
      <c r="G38" s="737"/>
      <c r="H38" s="14"/>
      <c r="I38" s="14"/>
      <c r="J38" s="14"/>
      <c r="K38" s="14"/>
      <c r="L38" s="14"/>
      <c r="N38" s="547"/>
      <c r="O38" s="547"/>
      <c r="P38" s="547"/>
      <c r="Q38" s="547"/>
      <c r="S38" s="351">
        <v>28</v>
      </c>
      <c r="T38" s="352">
        <v>996.31</v>
      </c>
      <c r="U38" s="353">
        <v>8.3599999999999994E-4</v>
      </c>
      <c r="V38" s="349">
        <f t="shared" si="0"/>
        <v>8.3909626521865684E-7</v>
      </c>
      <c r="AI38" s="23"/>
      <c r="AJ38" s="23"/>
      <c r="AK38" s="21"/>
      <c r="AL38" s="21"/>
    </row>
    <row r="39" spans="2:38" ht="20.100000000000001" customHeight="1" x14ac:dyDescent="0.25">
      <c r="B39" s="718" t="str">
        <f>IF(F38=X9,"",IF(F38=X10,"Material de "&amp;X10,IF(F38=X11,"Material de "&amp;X11,IF(F38=X12,"Material de módulos de "&amp;X12))))</f>
        <v>Material de Placas planas paralelas</v>
      </c>
      <c r="C39" s="719"/>
      <c r="D39" s="719"/>
      <c r="E39" s="720"/>
      <c r="F39" s="736" t="s">
        <v>656</v>
      </c>
      <c r="G39" s="737"/>
      <c r="H39" s="14"/>
      <c r="I39" s="14"/>
      <c r="J39" s="14"/>
      <c r="K39" s="14"/>
      <c r="L39" s="14"/>
      <c r="N39" s="547"/>
      <c r="O39" s="547"/>
      <c r="P39" s="547"/>
      <c r="Q39" s="547"/>
      <c r="S39" s="351">
        <v>29</v>
      </c>
      <c r="T39" s="352">
        <v>996.02</v>
      </c>
      <c r="U39" s="353">
        <v>8.1799999999999993E-4</v>
      </c>
      <c r="V39" s="349">
        <f t="shared" si="0"/>
        <v>8.2126864922391111E-7</v>
      </c>
      <c r="AI39" s="512"/>
      <c r="AJ39" s="512"/>
      <c r="AK39" s="21"/>
      <c r="AL39" s="21"/>
    </row>
    <row r="40" spans="2:38" ht="20.100000000000001" customHeight="1" x14ac:dyDescent="0.25">
      <c r="B40" s="718" t="str">
        <f>IF(F38=X9,"",IF(F38=X10,"Dimensiones de "&amp;X10,IF(F38=X11,"Dimensiones de "&amp;X11,IF(F38=X12,"Sección tranversal inclinada de módulos de "&amp;X12))))</f>
        <v>Dimensiones de Placas planas paralelas</v>
      </c>
      <c r="C40" s="719"/>
      <c r="D40" s="719"/>
      <c r="E40" s="720"/>
      <c r="F40" s="545" t="s">
        <v>688</v>
      </c>
      <c r="G40" s="12" t="s">
        <v>689</v>
      </c>
      <c r="H40" s="14"/>
      <c r="I40" s="14"/>
      <c r="J40" s="14"/>
      <c r="K40" s="14"/>
      <c r="L40" s="14"/>
      <c r="N40" s="547"/>
      <c r="O40" s="547"/>
      <c r="P40" s="547"/>
      <c r="Q40" s="547"/>
      <c r="S40" s="351">
        <v>30</v>
      </c>
      <c r="T40" s="352">
        <v>995.71</v>
      </c>
      <c r="U40" s="353">
        <v>8.007E-4</v>
      </c>
      <c r="V40" s="349">
        <f t="shared" si="0"/>
        <v>8.0414980265338299E-7</v>
      </c>
      <c r="AI40" s="512"/>
      <c r="AJ40" s="512"/>
      <c r="AK40" s="21"/>
      <c r="AL40" s="21"/>
    </row>
    <row r="41" spans="2:38" ht="20.100000000000001" customHeight="1" x14ac:dyDescent="0.25">
      <c r="B41" s="718" t="str">
        <f>IF(F38=X9,"",IF(F38=X10,"Espesor de "&amp;X10,IF(F38=X11,"Espesor de "&amp;X11,IF(F38=X12,"Espesor de pared de "&amp;X12))))</f>
        <v>Espesor de Placas planas paralelas</v>
      </c>
      <c r="C41" s="719"/>
      <c r="D41" s="719"/>
      <c r="E41" s="720"/>
      <c r="F41" s="552" t="s">
        <v>10</v>
      </c>
      <c r="G41" s="552" t="s">
        <v>125</v>
      </c>
      <c r="H41" s="14"/>
      <c r="I41" s="14"/>
      <c r="J41" s="14"/>
      <c r="K41" s="14"/>
      <c r="L41" s="14"/>
      <c r="N41" s="547"/>
      <c r="O41" s="547"/>
      <c r="P41" s="547"/>
      <c r="Q41" s="547"/>
      <c r="S41" s="351">
        <v>31</v>
      </c>
      <c r="T41" s="352">
        <v>995.41</v>
      </c>
      <c r="U41" s="353">
        <v>7.8400000000000008E-4</v>
      </c>
      <c r="V41" s="349">
        <f t="shared" si="0"/>
        <v>7.8761515355481675E-7</v>
      </c>
      <c r="AI41" s="512" t="s">
        <v>11</v>
      </c>
      <c r="AJ41" s="512"/>
      <c r="AK41" s="21"/>
      <c r="AL41" s="21"/>
    </row>
    <row r="42" spans="2:38" ht="20.100000000000001" customHeight="1" x14ac:dyDescent="0.25">
      <c r="B42" s="718" t="str">
        <f>IF(F38=X9,"",IF(F38=X10,"Ángulo de inclinación de "&amp;X10,IF(F38=X11,"Ángulo de inclinación de "&amp;X11,IF(F38=X12,"Ángulo de inclinación de "&amp;X12))))</f>
        <v>Ángulo de inclinación de Placas planas paralelas</v>
      </c>
      <c r="C42" s="719"/>
      <c r="D42" s="719"/>
      <c r="E42" s="720"/>
      <c r="F42" s="68" t="s">
        <v>13</v>
      </c>
      <c r="G42" s="550" t="s">
        <v>12</v>
      </c>
      <c r="H42" s="14"/>
      <c r="I42" s="14"/>
      <c r="J42" s="14"/>
      <c r="K42" s="14"/>
      <c r="L42" s="14"/>
      <c r="N42" s="547"/>
      <c r="O42" s="547"/>
      <c r="P42" s="547"/>
      <c r="Q42" s="547"/>
      <c r="S42" s="351">
        <v>32</v>
      </c>
      <c r="T42" s="352">
        <v>995.09</v>
      </c>
      <c r="U42" s="353">
        <v>7.6790000000000007E-4</v>
      </c>
      <c r="V42" s="349">
        <f t="shared" si="0"/>
        <v>7.7168899295541107E-7</v>
      </c>
      <c r="AI42" s="512"/>
      <c r="AJ42" s="512"/>
      <c r="AK42" s="21"/>
      <c r="AL42" s="21"/>
    </row>
    <row r="43" spans="2:38" ht="20.100000000000001" customHeight="1" x14ac:dyDescent="0.25">
      <c r="B43" s="718" t="str">
        <f>"Eficiencia crítica para "&amp;F38</f>
        <v>Eficiencia crítica para Placas planas paralelas</v>
      </c>
      <c r="C43" s="719"/>
      <c r="D43" s="719"/>
      <c r="E43" s="720"/>
      <c r="F43" s="555" t="s">
        <v>647</v>
      </c>
      <c r="G43" s="495"/>
      <c r="H43" s="14"/>
      <c r="I43" s="14"/>
      <c r="J43" s="14"/>
      <c r="K43" s="14"/>
      <c r="L43" s="14"/>
      <c r="N43" s="547"/>
      <c r="O43" s="547"/>
      <c r="P43" s="547"/>
      <c r="Q43" s="547"/>
      <c r="S43" s="351">
        <v>33</v>
      </c>
      <c r="T43" s="352">
        <v>994.76</v>
      </c>
      <c r="U43" s="353">
        <v>7.5230000000000002E-4</v>
      </c>
      <c r="V43" s="349">
        <f t="shared" si="0"/>
        <v>7.5626281716192853E-7</v>
      </c>
      <c r="AI43" s="512" t="s">
        <v>681</v>
      </c>
      <c r="AJ43" s="512"/>
      <c r="AK43" s="21"/>
      <c r="AL43" s="21"/>
    </row>
    <row r="44" spans="2:38" ht="20.100000000000001" customHeight="1" x14ac:dyDescent="0.25">
      <c r="B44" s="717" t="s">
        <v>18</v>
      </c>
      <c r="C44" s="717"/>
      <c r="D44" s="717"/>
      <c r="E44" s="717"/>
      <c r="F44" s="552" t="s">
        <v>0</v>
      </c>
      <c r="G44" s="552" t="s">
        <v>310</v>
      </c>
      <c r="H44" s="7"/>
      <c r="I44" s="7"/>
      <c r="J44" s="7"/>
      <c r="K44" s="7"/>
      <c r="L44" s="7"/>
      <c r="N44" s="556"/>
      <c r="O44" s="547"/>
      <c r="P44" s="556"/>
      <c r="Q44" s="547"/>
      <c r="S44" s="351">
        <v>34</v>
      </c>
      <c r="T44" s="352">
        <v>994.43</v>
      </c>
      <c r="U44" s="353">
        <v>7.3709999999999997E-4</v>
      </c>
      <c r="V44" s="349">
        <f t="shared" si="0"/>
        <v>7.4122864354454311E-7</v>
      </c>
      <c r="AI44" s="512"/>
      <c r="AJ44" s="512"/>
      <c r="AK44" s="21"/>
      <c r="AL44" s="21"/>
    </row>
    <row r="45" spans="2:38" ht="20.100000000000001" customHeight="1" x14ac:dyDescent="0.25">
      <c r="B45" s="717" t="s">
        <v>693</v>
      </c>
      <c r="C45" s="717"/>
      <c r="D45" s="717"/>
      <c r="E45" s="717"/>
      <c r="F45" s="552" t="s">
        <v>3</v>
      </c>
      <c r="G45" s="552" t="s">
        <v>15</v>
      </c>
      <c r="H45" s="7"/>
      <c r="I45" s="7"/>
      <c r="J45" s="7"/>
      <c r="K45" s="7"/>
      <c r="L45" s="7"/>
      <c r="N45" s="8"/>
      <c r="O45" s="7"/>
      <c r="P45" s="7"/>
      <c r="Q45" s="8"/>
      <c r="S45" s="351">
        <v>35</v>
      </c>
      <c r="T45" s="352">
        <v>994.08</v>
      </c>
      <c r="U45" s="353">
        <v>7.2250000000000005E-4</v>
      </c>
      <c r="V45" s="494">
        <f t="shared" si="0"/>
        <v>7.2680267181715759E-7</v>
      </c>
      <c r="AI45" s="512" t="s">
        <v>682</v>
      </c>
      <c r="AJ45" s="512"/>
      <c r="AK45" s="21"/>
      <c r="AL45" s="21"/>
    </row>
    <row r="46" spans="2:38" ht="20.100000000000001" customHeight="1" x14ac:dyDescent="0.25">
      <c r="B46" s="717" t="s">
        <v>694</v>
      </c>
      <c r="C46" s="717"/>
      <c r="D46" s="717"/>
      <c r="E46" s="717"/>
      <c r="F46" s="552" t="s">
        <v>695</v>
      </c>
      <c r="G46" s="552" t="s">
        <v>310</v>
      </c>
      <c r="H46" s="7"/>
      <c r="I46" s="7"/>
      <c r="J46" s="7"/>
      <c r="K46" s="7"/>
      <c r="L46" s="7"/>
      <c r="N46" s="8"/>
      <c r="O46" s="7"/>
      <c r="P46" s="7"/>
      <c r="Q46" s="8"/>
      <c r="S46" s="21"/>
      <c r="T46" s="544"/>
      <c r="U46" s="140"/>
      <c r="V46" s="139"/>
      <c r="AI46" s="512" t="s">
        <v>683</v>
      </c>
      <c r="AJ46" s="512"/>
      <c r="AK46" s="21"/>
      <c r="AL46" s="21"/>
    </row>
    <row r="47" spans="2:38" ht="20.100000000000001" customHeight="1" x14ac:dyDescent="0.25">
      <c r="B47" s="717" t="s">
        <v>7</v>
      </c>
      <c r="C47" s="717"/>
      <c r="D47" s="717"/>
      <c r="E47" s="717"/>
      <c r="F47" s="3" t="s">
        <v>2</v>
      </c>
      <c r="G47" s="552" t="s">
        <v>648</v>
      </c>
      <c r="H47" s="7"/>
      <c r="I47" s="7"/>
      <c r="J47" s="7"/>
      <c r="K47" s="7"/>
      <c r="L47" s="7"/>
      <c r="N47" s="8"/>
      <c r="O47" s="7"/>
      <c r="P47" s="7"/>
      <c r="Q47" s="8"/>
      <c r="S47" s="21"/>
      <c r="T47" s="544"/>
      <c r="U47" s="140"/>
      <c r="V47" s="139"/>
      <c r="AI47" s="512"/>
      <c r="AJ47" s="512"/>
      <c r="AK47" s="21"/>
      <c r="AL47" s="21"/>
    </row>
    <row r="48" spans="2:38" ht="20.100000000000001" customHeight="1" x14ac:dyDescent="0.25">
      <c r="B48" s="717" t="str">
        <f>IF(F38=X9,"",IF(F38=X10,"Distancia entre placas",IF(F38=X11,"Distancia entre placas",IF(F38=X12,"Lado interno de "&amp;X12))))</f>
        <v>Distancia entre placas</v>
      </c>
      <c r="C48" s="717"/>
      <c r="D48" s="717"/>
      <c r="E48" s="717"/>
      <c r="F48" s="552" t="s">
        <v>8</v>
      </c>
      <c r="G48" s="552" t="s">
        <v>634</v>
      </c>
      <c r="H48" s="23"/>
      <c r="I48" s="23"/>
      <c r="J48" s="23"/>
      <c r="K48" s="23"/>
      <c r="L48" s="23"/>
      <c r="N48" s="8"/>
      <c r="O48" s="7"/>
      <c r="P48" s="7"/>
      <c r="Q48" s="8"/>
      <c r="S48" s="21"/>
      <c r="T48" s="544"/>
      <c r="U48" s="140"/>
      <c r="V48" s="139"/>
      <c r="AI48" s="512" t="s">
        <v>319</v>
      </c>
      <c r="AJ48" s="512"/>
      <c r="AK48" s="21"/>
      <c r="AL48" s="21"/>
    </row>
    <row r="49" spans="2:22" ht="20.100000000000001" customHeight="1" x14ac:dyDescent="0.25">
      <c r="B49" s="10"/>
      <c r="C49" s="10"/>
      <c r="D49" s="10"/>
      <c r="E49" s="10"/>
      <c r="F49" s="13"/>
      <c r="G49" s="11"/>
      <c r="H49" s="7"/>
      <c r="I49" s="7"/>
      <c r="J49" s="7"/>
      <c r="K49" s="7"/>
      <c r="L49" s="7"/>
      <c r="N49" s="8"/>
      <c r="O49" s="7"/>
      <c r="P49" s="7"/>
      <c r="Q49" s="8"/>
      <c r="S49" s="21"/>
      <c r="T49" s="506"/>
      <c r="U49" s="140"/>
      <c r="V49" s="139"/>
    </row>
    <row r="50" spans="2:22" ht="20.100000000000001" customHeight="1" x14ac:dyDescent="0.25">
      <c r="B50" s="679" t="s">
        <v>690</v>
      </c>
      <c r="C50" s="679"/>
      <c r="D50" s="679"/>
      <c r="E50" s="679"/>
      <c r="F50" s="679"/>
      <c r="G50" s="679"/>
      <c r="H50" s="680"/>
      <c r="I50" s="7"/>
      <c r="J50" s="7"/>
      <c r="K50" s="7"/>
      <c r="L50" s="7"/>
      <c r="N50" s="8"/>
      <c r="O50" s="7"/>
      <c r="P50" s="7"/>
      <c r="Q50" s="8"/>
      <c r="S50" s="21"/>
      <c r="T50" s="548"/>
      <c r="U50" s="140"/>
      <c r="V50" s="139"/>
    </row>
    <row r="51" spans="2:22" ht="20.100000000000001" customHeight="1" x14ac:dyDescent="0.25">
      <c r="B51" s="718" t="s">
        <v>759</v>
      </c>
      <c r="C51" s="719"/>
      <c r="D51" s="719"/>
      <c r="E51" s="720"/>
      <c r="F51" s="546" t="s">
        <v>138</v>
      </c>
      <c r="G51" s="270" t="s">
        <v>3</v>
      </c>
      <c r="H51" s="764"/>
      <c r="I51" s="764"/>
      <c r="J51" s="764"/>
      <c r="K51" s="764"/>
      <c r="L51" s="7"/>
      <c r="N51" s="8"/>
      <c r="O51" s="7"/>
      <c r="P51" s="7"/>
      <c r="Q51" s="8"/>
      <c r="S51" s="21"/>
      <c r="T51" s="548"/>
      <c r="U51" s="140"/>
      <c r="V51" s="139"/>
    </row>
    <row r="52" spans="2:22" ht="20.100000000000001" customHeight="1" x14ac:dyDescent="0.25">
      <c r="B52" s="718" t="s">
        <v>760</v>
      </c>
      <c r="C52" s="719"/>
      <c r="D52" s="719"/>
      <c r="E52" s="720"/>
      <c r="F52" s="68" t="s">
        <v>11</v>
      </c>
      <c r="G52" s="270" t="s">
        <v>3</v>
      </c>
      <c r="H52" s="764"/>
      <c r="I52" s="764"/>
      <c r="J52" s="764"/>
      <c r="K52" s="764"/>
      <c r="L52" s="7"/>
      <c r="N52" s="8"/>
      <c r="O52" s="7"/>
      <c r="P52" s="7"/>
      <c r="Q52" s="8"/>
      <c r="S52" s="21"/>
      <c r="T52" s="548"/>
      <c r="U52" s="140"/>
      <c r="V52" s="139"/>
    </row>
    <row r="53" spans="2:22" ht="20.100000000000001" customHeight="1" x14ac:dyDescent="0.25">
      <c r="B53" s="718" t="s">
        <v>697</v>
      </c>
      <c r="C53" s="719"/>
      <c r="D53" s="719"/>
      <c r="E53" s="720"/>
      <c r="F53" s="570" t="s">
        <v>9</v>
      </c>
      <c r="G53" s="553" t="s">
        <v>3</v>
      </c>
      <c r="H53" s="571"/>
      <c r="I53" s="572"/>
      <c r="J53" s="572"/>
      <c r="K53" s="573"/>
      <c r="L53" s="7"/>
      <c r="N53" s="8"/>
      <c r="O53" s="7"/>
      <c r="P53" s="7"/>
      <c r="Q53" s="8"/>
      <c r="S53" s="21"/>
      <c r="T53" s="551"/>
      <c r="U53" s="140"/>
      <c r="V53" s="139"/>
    </row>
    <row r="54" spans="2:22" ht="20.100000000000001" customHeight="1" x14ac:dyDescent="0.25">
      <c r="B54" s="738" t="s">
        <v>48</v>
      </c>
      <c r="C54" s="739"/>
      <c r="D54" s="739"/>
      <c r="E54" s="740"/>
      <c r="F54" s="744" t="s">
        <v>49</v>
      </c>
      <c r="G54" s="746" t="s">
        <v>692</v>
      </c>
      <c r="H54" s="729"/>
      <c r="I54" s="730"/>
      <c r="J54" s="730"/>
      <c r="K54" s="731"/>
      <c r="L54" s="576"/>
      <c r="N54" s="8"/>
      <c r="O54" s="7"/>
      <c r="P54" s="7"/>
      <c r="Q54" s="8"/>
      <c r="S54" s="21"/>
      <c r="T54" s="551"/>
      <c r="U54" s="140"/>
      <c r="V54" s="139"/>
    </row>
    <row r="55" spans="2:22" ht="20.100000000000001" customHeight="1" x14ac:dyDescent="0.25">
      <c r="B55" s="741"/>
      <c r="C55" s="742"/>
      <c r="D55" s="742"/>
      <c r="E55" s="743"/>
      <c r="F55" s="745"/>
      <c r="G55" s="747"/>
      <c r="H55" s="732"/>
      <c r="I55" s="733"/>
      <c r="J55" s="733"/>
      <c r="K55" s="734"/>
      <c r="L55" s="576"/>
      <c r="N55" s="8"/>
      <c r="O55" s="7"/>
      <c r="P55" s="7"/>
      <c r="Q55" s="8"/>
      <c r="S55" s="21"/>
      <c r="T55" s="551"/>
      <c r="U55" s="140"/>
      <c r="V55" s="139"/>
    </row>
    <row r="56" spans="2:22" ht="20.100000000000001" customHeight="1" x14ac:dyDescent="0.25">
      <c r="B56" s="738" t="s">
        <v>761</v>
      </c>
      <c r="C56" s="739"/>
      <c r="D56" s="739"/>
      <c r="E56" s="740"/>
      <c r="F56" s="744" t="s">
        <v>14</v>
      </c>
      <c r="G56" s="746" t="s">
        <v>15</v>
      </c>
      <c r="H56" s="729"/>
      <c r="I56" s="730"/>
      <c r="J56" s="730"/>
      <c r="K56" s="731"/>
      <c r="L56" s="7"/>
      <c r="M56" s="557"/>
      <c r="N56" s="35"/>
      <c r="O56" s="21"/>
      <c r="P56" s="21"/>
      <c r="Q56" s="557"/>
      <c r="R56" s="557"/>
      <c r="S56" s="21"/>
      <c r="T56" s="568"/>
      <c r="U56" s="586"/>
      <c r="V56" s="139"/>
    </row>
    <row r="57" spans="2:22" ht="20.100000000000001" customHeight="1" x14ac:dyDescent="0.25">
      <c r="B57" s="741"/>
      <c r="C57" s="742"/>
      <c r="D57" s="742"/>
      <c r="E57" s="743"/>
      <c r="F57" s="745"/>
      <c r="G57" s="747"/>
      <c r="H57" s="732"/>
      <c r="I57" s="733"/>
      <c r="J57" s="733"/>
      <c r="K57" s="734"/>
      <c r="L57" s="7"/>
      <c r="M57" s="557"/>
      <c r="N57" s="35"/>
      <c r="O57" s="21"/>
      <c r="P57" s="21"/>
      <c r="Q57" s="557"/>
      <c r="R57" s="557"/>
      <c r="S57" s="21"/>
      <c r="T57" s="568"/>
      <c r="U57" s="586"/>
      <c r="V57" s="139"/>
    </row>
    <row r="58" spans="2:22" ht="20.100000000000001" customHeight="1" x14ac:dyDescent="0.25">
      <c r="B58" s="738" t="s">
        <v>764</v>
      </c>
      <c r="C58" s="739"/>
      <c r="D58" s="739"/>
      <c r="E58" s="740"/>
      <c r="F58" s="744" t="s">
        <v>696</v>
      </c>
      <c r="G58" s="746" t="s">
        <v>5</v>
      </c>
      <c r="H58" s="729"/>
      <c r="I58" s="730"/>
      <c r="J58" s="730"/>
      <c r="K58" s="731"/>
      <c r="L58" s="7"/>
      <c r="N58" s="8"/>
      <c r="O58" s="7"/>
      <c r="P58" s="7"/>
      <c r="Q58" s="8"/>
      <c r="S58" s="21"/>
      <c r="T58" s="551"/>
      <c r="U58" s="140"/>
      <c r="V58" s="139"/>
    </row>
    <row r="59" spans="2:22" ht="20.100000000000001" customHeight="1" x14ac:dyDescent="0.25">
      <c r="B59" s="741"/>
      <c r="C59" s="742"/>
      <c r="D59" s="742"/>
      <c r="E59" s="743"/>
      <c r="F59" s="745"/>
      <c r="G59" s="747"/>
      <c r="H59" s="732"/>
      <c r="I59" s="733"/>
      <c r="J59" s="733"/>
      <c r="K59" s="734"/>
      <c r="L59" s="7"/>
      <c r="N59" s="8"/>
      <c r="O59" s="7"/>
      <c r="P59" s="7"/>
      <c r="Q59" s="8"/>
      <c r="S59" s="21"/>
      <c r="T59" s="551"/>
      <c r="U59" s="140"/>
      <c r="V59" s="139"/>
    </row>
    <row r="60" spans="2:22" ht="20.100000000000001" customHeight="1" x14ac:dyDescent="0.25">
      <c r="B60" s="738" t="s">
        <v>51</v>
      </c>
      <c r="C60" s="739"/>
      <c r="D60" s="739"/>
      <c r="E60" s="740"/>
      <c r="F60" s="744" t="s">
        <v>46</v>
      </c>
      <c r="G60" s="746"/>
      <c r="H60" s="729"/>
      <c r="I60" s="730"/>
      <c r="J60" s="730"/>
      <c r="K60" s="731"/>
      <c r="L60" s="7"/>
      <c r="N60" s="8"/>
      <c r="O60" s="7"/>
      <c r="P60" s="7"/>
      <c r="Q60" s="8"/>
      <c r="S60" s="21"/>
      <c r="T60" s="551"/>
      <c r="U60" s="140"/>
      <c r="V60" s="139"/>
    </row>
    <row r="61" spans="2:22" ht="20.100000000000001" customHeight="1" x14ac:dyDescent="0.25">
      <c r="B61" s="741"/>
      <c r="C61" s="742"/>
      <c r="D61" s="742"/>
      <c r="E61" s="743"/>
      <c r="F61" s="745"/>
      <c r="G61" s="747"/>
      <c r="H61" s="732"/>
      <c r="I61" s="733"/>
      <c r="J61" s="733"/>
      <c r="K61" s="734"/>
      <c r="L61" s="7"/>
      <c r="N61" s="8"/>
      <c r="O61" s="7"/>
      <c r="P61" s="7"/>
      <c r="Q61" s="8"/>
      <c r="S61" s="21"/>
      <c r="T61" s="551"/>
      <c r="U61" s="140"/>
      <c r="V61" s="139"/>
    </row>
    <row r="62" spans="2:22" ht="20.100000000000001" customHeight="1" x14ac:dyDescent="0.25">
      <c r="B62" s="738" t="s">
        <v>698</v>
      </c>
      <c r="C62" s="739"/>
      <c r="D62" s="739"/>
      <c r="E62" s="740"/>
      <c r="F62" s="744" t="s">
        <v>700</v>
      </c>
      <c r="G62" s="746"/>
      <c r="H62" s="729"/>
      <c r="I62" s="730"/>
      <c r="J62" s="730"/>
      <c r="K62" s="731"/>
      <c r="L62" s="7"/>
      <c r="N62" s="8"/>
      <c r="O62" s="7"/>
      <c r="P62" s="7"/>
      <c r="Q62" s="8"/>
      <c r="S62" s="21"/>
      <c r="T62" s="551"/>
      <c r="U62" s="140"/>
      <c r="V62" s="139"/>
    </row>
    <row r="63" spans="2:22" ht="20.100000000000001" customHeight="1" x14ac:dyDescent="0.25">
      <c r="B63" s="741"/>
      <c r="C63" s="742"/>
      <c r="D63" s="742"/>
      <c r="E63" s="743"/>
      <c r="F63" s="745"/>
      <c r="G63" s="747"/>
      <c r="H63" s="732"/>
      <c r="I63" s="733"/>
      <c r="J63" s="733"/>
      <c r="K63" s="734"/>
      <c r="L63" s="575"/>
      <c r="N63" s="8"/>
      <c r="O63" s="7"/>
      <c r="P63" s="7"/>
      <c r="Q63" s="8"/>
      <c r="S63" s="21"/>
      <c r="T63" s="551"/>
      <c r="U63" s="140"/>
      <c r="V63" s="139"/>
    </row>
    <row r="64" spans="2:22" ht="20.100000000000001" customHeight="1" x14ac:dyDescent="0.25">
      <c r="B64" s="717" t="s">
        <v>699</v>
      </c>
      <c r="C64" s="717"/>
      <c r="D64" s="717"/>
      <c r="E64" s="717"/>
      <c r="F64" s="569" t="s">
        <v>701</v>
      </c>
      <c r="G64" s="554"/>
      <c r="H64" s="773"/>
      <c r="I64" s="774"/>
      <c r="J64" s="774"/>
      <c r="K64" s="775"/>
      <c r="L64" s="162"/>
      <c r="M64" s="574"/>
      <c r="N64" s="8"/>
      <c r="O64" s="7"/>
      <c r="P64" s="7"/>
      <c r="Q64" s="8"/>
      <c r="S64" s="21"/>
      <c r="T64" s="551"/>
      <c r="U64" s="140"/>
      <c r="V64" s="139"/>
    </row>
    <row r="65" spans="2:22" ht="20.100000000000001" customHeight="1" x14ac:dyDescent="0.25">
      <c r="B65" s="738" t="s">
        <v>52</v>
      </c>
      <c r="C65" s="739"/>
      <c r="D65" s="739"/>
      <c r="E65" s="740"/>
      <c r="F65" s="744" t="s">
        <v>702</v>
      </c>
      <c r="G65" s="746" t="s">
        <v>4</v>
      </c>
      <c r="H65" s="729"/>
      <c r="I65" s="730"/>
      <c r="J65" s="730"/>
      <c r="K65" s="731"/>
      <c r="L65" s="7"/>
      <c r="N65" s="8"/>
      <c r="O65" s="7"/>
      <c r="P65" s="7"/>
      <c r="Q65" s="8"/>
      <c r="S65" s="21"/>
      <c r="T65" s="551"/>
      <c r="U65" s="140"/>
      <c r="V65" s="139"/>
    </row>
    <row r="66" spans="2:22" ht="20.100000000000001" customHeight="1" x14ac:dyDescent="0.25">
      <c r="B66" s="741"/>
      <c r="C66" s="742"/>
      <c r="D66" s="742"/>
      <c r="E66" s="743"/>
      <c r="F66" s="745"/>
      <c r="G66" s="747"/>
      <c r="H66" s="732"/>
      <c r="I66" s="733"/>
      <c r="J66" s="733"/>
      <c r="K66" s="734"/>
      <c r="L66" s="162"/>
      <c r="N66" s="8"/>
      <c r="O66" s="7"/>
      <c r="P66" s="7"/>
      <c r="Q66" s="8"/>
      <c r="S66" s="21"/>
      <c r="T66" s="551"/>
      <c r="U66" s="140"/>
      <c r="V66" s="139"/>
    </row>
    <row r="67" spans="2:22" ht="20.100000000000001" customHeight="1" x14ac:dyDescent="0.25">
      <c r="B67" s="738" t="s">
        <v>53</v>
      </c>
      <c r="C67" s="739"/>
      <c r="D67" s="739"/>
      <c r="E67" s="740"/>
      <c r="F67" s="744" t="s">
        <v>1</v>
      </c>
      <c r="G67" s="746"/>
      <c r="H67" s="729"/>
      <c r="I67" s="730"/>
      <c r="J67" s="730"/>
      <c r="K67" s="731"/>
      <c r="L67" s="162"/>
      <c r="N67" s="8"/>
      <c r="O67" s="7"/>
      <c r="P67" s="7"/>
      <c r="Q67" s="8"/>
      <c r="S67" s="21"/>
      <c r="T67" s="551"/>
      <c r="U67" s="140"/>
      <c r="V67" s="139"/>
    </row>
    <row r="68" spans="2:22" ht="20.100000000000001" customHeight="1" x14ac:dyDescent="0.25">
      <c r="B68" s="741"/>
      <c r="C68" s="742"/>
      <c r="D68" s="742"/>
      <c r="E68" s="743"/>
      <c r="F68" s="745"/>
      <c r="G68" s="747"/>
      <c r="H68" s="732"/>
      <c r="I68" s="733"/>
      <c r="J68" s="733"/>
      <c r="K68" s="734"/>
      <c r="L68" s="162"/>
      <c r="N68" s="8"/>
      <c r="O68" s="7"/>
      <c r="P68" s="7"/>
      <c r="Q68" s="8"/>
      <c r="S68" s="21"/>
      <c r="T68" s="551"/>
      <c r="U68" s="140"/>
      <c r="V68" s="139"/>
    </row>
    <row r="69" spans="2:22" ht="20.100000000000001" customHeight="1" x14ac:dyDescent="0.25">
      <c r="B69" s="717" t="s">
        <v>763</v>
      </c>
      <c r="C69" s="717"/>
      <c r="D69" s="717"/>
      <c r="E69" s="717"/>
      <c r="F69" s="776" t="s">
        <v>703</v>
      </c>
      <c r="G69" s="777" t="s">
        <v>38</v>
      </c>
      <c r="H69" s="764"/>
      <c r="I69" s="764"/>
      <c r="J69" s="764"/>
      <c r="K69" s="764"/>
      <c r="L69" s="162"/>
      <c r="N69" s="8"/>
      <c r="O69" s="7"/>
      <c r="P69" s="7"/>
      <c r="Q69" s="8"/>
      <c r="S69" s="21"/>
      <c r="T69" s="551"/>
      <c r="U69" s="140"/>
      <c r="V69" s="139"/>
    </row>
    <row r="70" spans="2:22" ht="20.100000000000001" customHeight="1" x14ac:dyDescent="0.25">
      <c r="B70" s="717"/>
      <c r="C70" s="717"/>
      <c r="D70" s="717"/>
      <c r="E70" s="717"/>
      <c r="F70" s="776"/>
      <c r="G70" s="777"/>
      <c r="H70" s="764"/>
      <c r="I70" s="764"/>
      <c r="J70" s="764"/>
      <c r="K70" s="764"/>
      <c r="L70" s="162"/>
      <c r="N70" s="8"/>
      <c r="O70" s="7"/>
      <c r="P70" s="7"/>
      <c r="Q70" s="8"/>
      <c r="S70" s="21"/>
      <c r="T70" s="551"/>
      <c r="U70" s="140"/>
      <c r="V70" s="139"/>
    </row>
    <row r="71" spans="2:22" ht="20.100000000000001" customHeight="1" x14ac:dyDescent="0.25">
      <c r="B71" s="578"/>
      <c r="C71" s="578"/>
      <c r="D71" s="578"/>
      <c r="E71" s="578"/>
      <c r="F71" s="579"/>
      <c r="G71" s="580"/>
      <c r="H71" s="581"/>
      <c r="I71" s="581"/>
      <c r="J71" s="581"/>
      <c r="K71" s="581"/>
      <c r="L71" s="162"/>
      <c r="N71" s="8"/>
      <c r="O71" s="7"/>
      <c r="P71" s="7"/>
      <c r="Q71" s="8"/>
      <c r="S71" s="21"/>
      <c r="T71" s="551"/>
      <c r="U71" s="140"/>
      <c r="V71" s="139"/>
    </row>
    <row r="72" spans="2:22" ht="20.100000000000001" customHeight="1" x14ac:dyDescent="0.25">
      <c r="B72" s="735" t="s">
        <v>707</v>
      </c>
      <c r="C72" s="735"/>
      <c r="D72" s="735"/>
      <c r="E72" s="735"/>
      <c r="F72" s="585"/>
      <c r="G72" s="225"/>
      <c r="H72" s="657"/>
      <c r="I72" s="657"/>
      <c r="J72" s="657"/>
      <c r="K72" s="657"/>
      <c r="L72" s="162"/>
      <c r="N72" s="8"/>
      <c r="O72" s="7"/>
      <c r="P72" s="7"/>
      <c r="Q72" s="8"/>
      <c r="S72" s="21"/>
      <c r="T72" s="568"/>
      <c r="U72" s="140"/>
      <c r="V72" s="139"/>
    </row>
    <row r="73" spans="2:22" ht="20.100000000000001" customHeight="1" x14ac:dyDescent="0.25">
      <c r="B73" s="698" t="s">
        <v>24</v>
      </c>
      <c r="C73" s="699"/>
      <c r="D73" s="699"/>
      <c r="E73" s="700"/>
      <c r="F73" s="560" t="s">
        <v>140</v>
      </c>
      <c r="G73" s="564" t="s">
        <v>3</v>
      </c>
      <c r="H73" s="701"/>
      <c r="I73" s="702"/>
      <c r="J73" s="702"/>
      <c r="K73" s="703"/>
      <c r="L73" s="162"/>
      <c r="N73" s="8"/>
      <c r="O73" s="7"/>
      <c r="P73" s="7"/>
      <c r="Q73" s="8"/>
      <c r="S73" s="21"/>
      <c r="T73" s="568"/>
      <c r="U73" s="140"/>
      <c r="V73" s="139"/>
    </row>
    <row r="74" spans="2:22" ht="20.100000000000001" customHeight="1" x14ac:dyDescent="0.25">
      <c r="B74" s="698" t="s">
        <v>74</v>
      </c>
      <c r="C74" s="699"/>
      <c r="D74" s="699"/>
      <c r="E74" s="700"/>
      <c r="F74" s="707" t="s">
        <v>141</v>
      </c>
      <c r="G74" s="709" t="s">
        <v>15</v>
      </c>
      <c r="H74" s="701"/>
      <c r="I74" s="702"/>
      <c r="J74" s="702"/>
      <c r="K74" s="703"/>
      <c r="L74" s="162"/>
      <c r="N74" s="8"/>
      <c r="O74" s="7"/>
      <c r="P74" s="7"/>
      <c r="Q74" s="8"/>
      <c r="S74" s="21"/>
      <c r="T74" s="568"/>
      <c r="U74" s="140"/>
      <c r="V74" s="139"/>
    </row>
    <row r="75" spans="2:22" ht="20.100000000000001" customHeight="1" x14ac:dyDescent="0.25">
      <c r="B75" s="704"/>
      <c r="C75" s="705"/>
      <c r="D75" s="705"/>
      <c r="E75" s="706"/>
      <c r="F75" s="708"/>
      <c r="G75" s="710"/>
      <c r="H75" s="711"/>
      <c r="I75" s="712"/>
      <c r="J75" s="712"/>
      <c r="K75" s="713"/>
      <c r="L75" s="162"/>
      <c r="N75" s="8"/>
      <c r="O75" s="7"/>
      <c r="P75" s="7"/>
      <c r="Q75" s="8"/>
      <c r="S75" s="21"/>
      <c r="T75" s="568"/>
      <c r="U75" s="140"/>
      <c r="V75" s="139"/>
    </row>
    <row r="76" spans="2:22" ht="20.100000000000001" customHeight="1" x14ac:dyDescent="0.25">
      <c r="B76" s="698" t="s">
        <v>75</v>
      </c>
      <c r="C76" s="699"/>
      <c r="D76" s="699"/>
      <c r="E76" s="700"/>
      <c r="F76" s="707" t="s">
        <v>140</v>
      </c>
      <c r="G76" s="748" t="s">
        <v>3</v>
      </c>
      <c r="H76" s="701"/>
      <c r="I76" s="702"/>
      <c r="J76" s="702"/>
      <c r="K76" s="703"/>
      <c r="L76" s="162"/>
      <c r="N76" s="8"/>
      <c r="O76" s="7"/>
      <c r="P76" s="7"/>
      <c r="Q76" s="8"/>
      <c r="S76" s="21"/>
      <c r="T76" s="568"/>
      <c r="U76" s="140"/>
      <c r="V76" s="139"/>
    </row>
    <row r="77" spans="2:22" ht="20.100000000000001" customHeight="1" x14ac:dyDescent="0.25">
      <c r="B77" s="704"/>
      <c r="C77" s="705"/>
      <c r="D77" s="705"/>
      <c r="E77" s="706"/>
      <c r="F77" s="708"/>
      <c r="G77" s="749"/>
      <c r="H77" s="711"/>
      <c r="I77" s="712"/>
      <c r="J77" s="712"/>
      <c r="K77" s="713"/>
      <c r="L77" s="162"/>
      <c r="N77" s="8"/>
      <c r="O77" s="7"/>
      <c r="P77" s="7"/>
      <c r="Q77" s="8"/>
      <c r="S77" s="21"/>
      <c r="T77" s="568"/>
      <c r="U77" s="140"/>
      <c r="V77" s="139"/>
    </row>
    <row r="78" spans="2:22" ht="20.100000000000001" customHeight="1" x14ac:dyDescent="0.25">
      <c r="B78" s="578"/>
      <c r="C78" s="578"/>
      <c r="D78" s="578"/>
      <c r="E78" s="578"/>
      <c r="F78" s="579"/>
      <c r="G78" s="580"/>
      <c r="H78" s="581"/>
      <c r="I78" s="581"/>
      <c r="J78" s="581"/>
      <c r="K78" s="581"/>
      <c r="L78" s="162"/>
      <c r="N78" s="8"/>
      <c r="O78" s="7"/>
      <c r="P78" s="7"/>
      <c r="Q78" s="8"/>
      <c r="S78" s="21"/>
      <c r="T78" s="568"/>
      <c r="U78" s="140"/>
      <c r="V78" s="139"/>
    </row>
    <row r="79" spans="2:22" ht="20.100000000000001" customHeight="1" x14ac:dyDescent="0.25">
      <c r="B79" s="22" t="s">
        <v>704</v>
      </c>
      <c r="C79" s="565"/>
      <c r="D79" s="578"/>
      <c r="E79" s="578"/>
      <c r="F79" s="579"/>
      <c r="G79" s="580"/>
      <c r="H79" s="581"/>
      <c r="I79" s="581"/>
      <c r="J79" s="581"/>
      <c r="K79" s="581"/>
      <c r="L79" s="162"/>
      <c r="N79" s="8"/>
      <c r="O79" s="7"/>
      <c r="P79" s="7"/>
      <c r="Q79" s="8"/>
      <c r="S79" s="21"/>
      <c r="T79" s="568"/>
      <c r="U79" s="140"/>
      <c r="V79" s="139"/>
    </row>
    <row r="80" spans="2:22" ht="20.100000000000001" customHeight="1" x14ac:dyDescent="0.25">
      <c r="B80" s="664" t="s">
        <v>708</v>
      </c>
      <c r="C80" s="665"/>
      <c r="D80" s="665"/>
      <c r="E80" s="666"/>
      <c r="F80" s="559" t="s">
        <v>444</v>
      </c>
      <c r="G80" s="566" t="s">
        <v>3</v>
      </c>
      <c r="H80" s="714"/>
      <c r="I80" s="715"/>
      <c r="J80" s="715"/>
      <c r="K80" s="716"/>
      <c r="L80" s="162"/>
      <c r="N80" s="8"/>
      <c r="O80" s="7"/>
      <c r="P80" s="7"/>
      <c r="Q80" s="8"/>
      <c r="S80" s="21"/>
      <c r="T80" s="568"/>
      <c r="U80" s="140"/>
      <c r="V80" s="139"/>
    </row>
    <row r="81" spans="2:22" ht="20.100000000000001" customHeight="1" x14ac:dyDescent="0.25">
      <c r="B81" s="664" t="s">
        <v>16</v>
      </c>
      <c r="C81" s="665"/>
      <c r="D81" s="665"/>
      <c r="E81" s="666"/>
      <c r="F81" s="559" t="s">
        <v>139</v>
      </c>
      <c r="G81" s="566" t="s">
        <v>3</v>
      </c>
      <c r="H81" s="714"/>
      <c r="I81" s="715"/>
      <c r="J81" s="715"/>
      <c r="K81" s="716"/>
      <c r="L81" s="162"/>
      <c r="N81" s="8"/>
      <c r="O81" s="7"/>
      <c r="P81" s="7"/>
      <c r="Q81" s="8"/>
      <c r="S81" s="21"/>
      <c r="T81" s="568"/>
      <c r="U81" s="140"/>
      <c r="V81" s="139"/>
    </row>
    <row r="82" spans="2:22" ht="20.100000000000001" customHeight="1" x14ac:dyDescent="0.25">
      <c r="B82" s="698" t="s">
        <v>27</v>
      </c>
      <c r="C82" s="699"/>
      <c r="D82" s="699"/>
      <c r="E82" s="700"/>
      <c r="F82" s="707" t="s">
        <v>705</v>
      </c>
      <c r="G82" s="709" t="s">
        <v>3</v>
      </c>
      <c r="H82" s="701"/>
      <c r="I82" s="702"/>
      <c r="J82" s="702"/>
      <c r="K82" s="703"/>
      <c r="L82" s="162"/>
      <c r="N82" s="8"/>
      <c r="O82" s="7"/>
      <c r="P82" s="7"/>
      <c r="Q82" s="8"/>
      <c r="S82" s="21"/>
      <c r="T82" s="568"/>
      <c r="U82" s="140"/>
      <c r="V82" s="139"/>
    </row>
    <row r="83" spans="2:22" ht="20.100000000000001" customHeight="1" x14ac:dyDescent="0.25">
      <c r="B83" s="704"/>
      <c r="C83" s="705"/>
      <c r="D83" s="705"/>
      <c r="E83" s="706"/>
      <c r="F83" s="708"/>
      <c r="G83" s="710"/>
      <c r="H83" s="711"/>
      <c r="I83" s="712"/>
      <c r="J83" s="712"/>
      <c r="K83" s="713"/>
      <c r="L83" s="162"/>
      <c r="N83" s="8"/>
      <c r="O83" s="7"/>
      <c r="P83" s="7"/>
      <c r="Q83" s="8"/>
      <c r="S83" s="21"/>
      <c r="T83" s="568"/>
      <c r="U83" s="140"/>
      <c r="V83" s="139"/>
    </row>
    <row r="84" spans="2:22" ht="20.100000000000001" customHeight="1" x14ac:dyDescent="0.25">
      <c r="B84" s="664" t="s">
        <v>33</v>
      </c>
      <c r="C84" s="665"/>
      <c r="D84" s="665"/>
      <c r="E84" s="666"/>
      <c r="F84" s="558" t="s">
        <v>142</v>
      </c>
      <c r="G84" s="558" t="s">
        <v>3</v>
      </c>
      <c r="H84" s="714"/>
      <c r="I84" s="715"/>
      <c r="J84" s="715"/>
      <c r="K84" s="716"/>
      <c r="L84" s="162"/>
      <c r="N84" s="8"/>
      <c r="O84" s="7"/>
      <c r="P84" s="7"/>
      <c r="Q84" s="8"/>
      <c r="S84" s="21"/>
      <c r="T84" s="568"/>
      <c r="U84" s="140"/>
      <c r="V84" s="139"/>
    </row>
    <row r="85" spans="2:22" ht="20.100000000000001" customHeight="1" x14ac:dyDescent="0.25">
      <c r="B85" s="698" t="s">
        <v>714</v>
      </c>
      <c r="C85" s="699"/>
      <c r="D85" s="699"/>
      <c r="E85" s="700"/>
      <c r="F85" s="596" t="s">
        <v>715</v>
      </c>
      <c r="G85" s="596" t="s">
        <v>706</v>
      </c>
      <c r="H85" s="701"/>
      <c r="I85" s="702"/>
      <c r="J85" s="702"/>
      <c r="K85" s="703"/>
      <c r="L85" s="162"/>
      <c r="N85" s="8"/>
      <c r="O85" s="7"/>
      <c r="P85" s="7"/>
      <c r="Q85" s="8"/>
      <c r="S85" s="21"/>
      <c r="T85" s="568"/>
      <c r="U85" s="140"/>
      <c r="V85" s="139"/>
    </row>
    <row r="86" spans="2:22" ht="20.100000000000001" customHeight="1" x14ac:dyDescent="0.25">
      <c r="B86" s="752" t="s">
        <v>37</v>
      </c>
      <c r="C86" s="752"/>
      <c r="D86" s="752"/>
      <c r="E86" s="752"/>
      <c r="F86" s="750" t="s">
        <v>144</v>
      </c>
      <c r="G86" s="750" t="s">
        <v>38</v>
      </c>
      <c r="H86" s="751"/>
      <c r="I86" s="751"/>
      <c r="J86" s="751"/>
      <c r="K86" s="751"/>
      <c r="L86" s="162"/>
      <c r="N86" s="8"/>
      <c r="O86" s="7"/>
      <c r="P86" s="7"/>
      <c r="Q86" s="8"/>
      <c r="S86" s="21"/>
      <c r="T86" s="568"/>
      <c r="U86" s="140"/>
      <c r="V86" s="139"/>
    </row>
    <row r="87" spans="2:22" ht="20.100000000000001" customHeight="1" x14ac:dyDescent="0.25">
      <c r="B87" s="752"/>
      <c r="C87" s="752"/>
      <c r="D87" s="752"/>
      <c r="E87" s="752"/>
      <c r="F87" s="750"/>
      <c r="G87" s="750"/>
      <c r="H87" s="751"/>
      <c r="I87" s="751"/>
      <c r="J87" s="751"/>
      <c r="K87" s="751"/>
      <c r="L87" s="162"/>
      <c r="N87" s="8"/>
      <c r="O87" s="7"/>
      <c r="P87" s="7"/>
      <c r="Q87" s="8"/>
      <c r="S87" s="21"/>
      <c r="T87" s="568"/>
      <c r="U87" s="140"/>
      <c r="V87" s="139"/>
    </row>
    <row r="88" spans="2:22" ht="20.100000000000001" customHeight="1" x14ac:dyDescent="0.25">
      <c r="B88" s="657"/>
      <c r="C88" s="657"/>
      <c r="D88" s="657"/>
      <c r="E88" s="657"/>
      <c r="F88" s="585"/>
      <c r="G88" s="225"/>
      <c r="H88" s="657"/>
      <c r="I88" s="657"/>
      <c r="J88" s="657"/>
      <c r="K88" s="657"/>
      <c r="L88" s="162"/>
      <c r="N88" s="8"/>
      <c r="O88" s="7"/>
      <c r="P88" s="7"/>
      <c r="Q88" s="8"/>
      <c r="S88" s="21"/>
      <c r="T88" s="568"/>
      <c r="U88" s="140"/>
      <c r="V88" s="139"/>
    </row>
    <row r="89" spans="2:22" ht="20.100000000000001" customHeight="1" x14ac:dyDescent="0.25">
      <c r="B89" s="22" t="s">
        <v>709</v>
      </c>
      <c r="C89" s="108"/>
      <c r="D89" s="108"/>
      <c r="E89" s="108"/>
      <c r="F89" s="585"/>
      <c r="G89" s="225"/>
      <c r="H89" s="108"/>
      <c r="I89" s="108"/>
      <c r="J89" s="108"/>
      <c r="K89" s="108"/>
      <c r="L89" s="162"/>
      <c r="N89" s="8"/>
      <c r="O89" s="7"/>
      <c r="P89" s="7"/>
      <c r="Q89" s="8"/>
      <c r="S89" s="21"/>
      <c r="T89" s="568"/>
      <c r="U89" s="140"/>
      <c r="V89" s="139"/>
    </row>
    <row r="90" spans="2:22" ht="20.100000000000001" customHeight="1" x14ac:dyDescent="0.25">
      <c r="B90" s="717" t="s">
        <v>28</v>
      </c>
      <c r="C90" s="717"/>
      <c r="D90" s="717"/>
      <c r="E90" s="717"/>
      <c r="F90" s="567" t="s">
        <v>29</v>
      </c>
      <c r="G90" s="584" t="s">
        <v>3</v>
      </c>
      <c r="H90" s="714"/>
      <c r="I90" s="715"/>
      <c r="J90" s="715"/>
      <c r="K90" s="716"/>
      <c r="L90" s="162"/>
      <c r="N90" s="8"/>
      <c r="O90" s="7"/>
      <c r="P90" s="7"/>
      <c r="Q90" s="8"/>
      <c r="S90" s="21"/>
      <c r="T90" s="568"/>
      <c r="U90" s="140"/>
      <c r="V90" s="139"/>
    </row>
    <row r="91" spans="2:22" ht="20.100000000000001" customHeight="1" x14ac:dyDescent="0.25">
      <c r="B91" s="718" t="s">
        <v>713</v>
      </c>
      <c r="C91" s="719"/>
      <c r="D91" s="719"/>
      <c r="E91" s="720"/>
      <c r="F91" s="567" t="s">
        <v>710</v>
      </c>
      <c r="G91" s="584" t="s">
        <v>3</v>
      </c>
      <c r="H91" s="561"/>
      <c r="I91" s="562"/>
      <c r="J91" s="562"/>
      <c r="K91" s="563"/>
      <c r="L91" s="162"/>
      <c r="N91" s="8"/>
      <c r="O91" s="7"/>
      <c r="P91" s="7"/>
      <c r="Q91" s="8"/>
      <c r="S91" s="21"/>
      <c r="T91" s="568"/>
      <c r="U91" s="140"/>
      <c r="V91" s="139"/>
    </row>
    <row r="92" spans="2:22" ht="20.100000000000001" customHeight="1" x14ac:dyDescent="0.25">
      <c r="B92" s="718" t="s">
        <v>39</v>
      </c>
      <c r="C92" s="719"/>
      <c r="D92" s="719"/>
      <c r="E92" s="720"/>
      <c r="F92" s="567" t="s">
        <v>44</v>
      </c>
      <c r="G92" s="584" t="s">
        <v>12</v>
      </c>
      <c r="H92" s="561"/>
      <c r="I92" s="562"/>
      <c r="J92" s="562"/>
      <c r="K92" s="563"/>
      <c r="L92" s="162"/>
      <c r="N92" s="8"/>
      <c r="O92" s="7"/>
      <c r="P92" s="7"/>
      <c r="Q92" s="8"/>
      <c r="S92" s="21"/>
      <c r="T92" s="568"/>
      <c r="U92" s="140"/>
      <c r="V92" s="139"/>
    </row>
    <row r="93" spans="2:22" ht="20.100000000000001" customHeight="1" x14ac:dyDescent="0.25">
      <c r="B93" s="717" t="s">
        <v>717</v>
      </c>
      <c r="C93" s="717"/>
      <c r="D93" s="717"/>
      <c r="E93" s="717"/>
      <c r="F93" s="567" t="s">
        <v>718</v>
      </c>
      <c r="G93" s="584" t="s">
        <v>3</v>
      </c>
      <c r="H93" s="714"/>
      <c r="I93" s="715"/>
      <c r="J93" s="715"/>
      <c r="K93" s="716"/>
      <c r="L93" s="162"/>
      <c r="N93" s="8"/>
      <c r="O93" s="7"/>
      <c r="P93" s="7"/>
      <c r="Q93" s="8"/>
      <c r="S93" s="21"/>
      <c r="T93" s="568"/>
      <c r="U93" s="140"/>
      <c r="V93" s="139"/>
    </row>
    <row r="94" spans="2:22" ht="20.100000000000001" customHeight="1" x14ac:dyDescent="0.25">
      <c r="B94" s="765" t="s">
        <v>62</v>
      </c>
      <c r="C94" s="766"/>
      <c r="D94" s="766"/>
      <c r="E94" s="767"/>
      <c r="F94" s="707" t="s">
        <v>711</v>
      </c>
      <c r="G94" s="707"/>
      <c r="H94" s="701"/>
      <c r="I94" s="702"/>
      <c r="J94" s="702"/>
      <c r="K94" s="703"/>
      <c r="L94" s="162"/>
      <c r="N94" s="8"/>
      <c r="O94" s="7"/>
      <c r="P94" s="7"/>
      <c r="Q94" s="8"/>
      <c r="S94" s="21"/>
      <c r="T94" s="568"/>
      <c r="U94" s="140"/>
      <c r="V94" s="139"/>
    </row>
    <row r="95" spans="2:22" ht="20.100000000000001" customHeight="1" x14ac:dyDescent="0.25">
      <c r="B95" s="768"/>
      <c r="C95" s="769"/>
      <c r="D95" s="769"/>
      <c r="E95" s="770"/>
      <c r="F95" s="708"/>
      <c r="G95" s="708"/>
      <c r="H95" s="711"/>
      <c r="I95" s="712"/>
      <c r="J95" s="712"/>
      <c r="K95" s="713"/>
      <c r="L95" s="162"/>
      <c r="N95" s="8"/>
      <c r="O95" s="7"/>
      <c r="P95" s="7"/>
      <c r="Q95" s="8"/>
      <c r="S95" s="21"/>
      <c r="T95" s="568"/>
      <c r="U95" s="140"/>
      <c r="V95" s="139"/>
    </row>
    <row r="96" spans="2:22" ht="20.100000000000001" customHeight="1" x14ac:dyDescent="0.25">
      <c r="B96" s="765" t="s">
        <v>42</v>
      </c>
      <c r="C96" s="766"/>
      <c r="D96" s="766"/>
      <c r="E96" s="767"/>
      <c r="F96" s="707" t="s">
        <v>145</v>
      </c>
      <c r="G96" s="707" t="s">
        <v>3</v>
      </c>
      <c r="H96" s="701"/>
      <c r="I96" s="702"/>
      <c r="J96" s="702"/>
      <c r="K96" s="703"/>
      <c r="L96" s="162"/>
      <c r="N96" s="8"/>
      <c r="O96" s="7"/>
      <c r="P96" s="7"/>
      <c r="Q96" s="8"/>
      <c r="S96" s="21"/>
      <c r="T96" s="568"/>
      <c r="U96" s="140"/>
      <c r="V96" s="139"/>
    </row>
    <row r="97" spans="2:22" ht="20.100000000000001" customHeight="1" x14ac:dyDescent="0.25">
      <c r="B97" s="768"/>
      <c r="C97" s="769"/>
      <c r="D97" s="769"/>
      <c r="E97" s="770"/>
      <c r="F97" s="708"/>
      <c r="G97" s="708"/>
      <c r="H97" s="711"/>
      <c r="I97" s="712"/>
      <c r="J97" s="712"/>
      <c r="K97" s="713"/>
      <c r="L97" s="162"/>
      <c r="N97" s="8"/>
      <c r="O97" s="7"/>
      <c r="P97" s="7"/>
      <c r="Q97" s="8"/>
      <c r="S97" s="21"/>
      <c r="T97" s="568"/>
      <c r="U97" s="140"/>
      <c r="V97" s="139"/>
    </row>
    <row r="98" spans="2:22" ht="20.100000000000001" customHeight="1" x14ac:dyDescent="0.25">
      <c r="B98" s="698" t="s">
        <v>716</v>
      </c>
      <c r="C98" s="699"/>
      <c r="D98" s="699"/>
      <c r="E98" s="700"/>
      <c r="F98" s="707" t="s">
        <v>143</v>
      </c>
      <c r="G98" s="707" t="s">
        <v>706</v>
      </c>
      <c r="H98" s="701"/>
      <c r="I98" s="702"/>
      <c r="J98" s="702"/>
      <c r="K98" s="703"/>
      <c r="L98" s="162"/>
      <c r="M98" s="587"/>
      <c r="N98" s="8"/>
      <c r="O98" s="7"/>
      <c r="P98" s="7"/>
      <c r="Q98" s="8"/>
      <c r="S98" s="21"/>
      <c r="T98" s="583"/>
      <c r="U98" s="140"/>
      <c r="V98" s="139"/>
    </row>
    <row r="99" spans="2:22" ht="20.100000000000001" customHeight="1" x14ac:dyDescent="0.25">
      <c r="B99" s="704"/>
      <c r="C99" s="705"/>
      <c r="D99" s="705"/>
      <c r="E99" s="706"/>
      <c r="F99" s="708"/>
      <c r="G99" s="708"/>
      <c r="H99" s="711"/>
      <c r="I99" s="712"/>
      <c r="J99" s="712"/>
      <c r="K99" s="713"/>
      <c r="L99" s="162"/>
      <c r="N99" s="8"/>
      <c r="O99" s="7"/>
      <c r="P99" s="7"/>
      <c r="Q99" s="8"/>
      <c r="S99" s="21"/>
      <c r="T99" s="583"/>
      <c r="U99" s="140"/>
      <c r="V99" s="139"/>
    </row>
    <row r="100" spans="2:22" ht="20.100000000000001" customHeight="1" x14ac:dyDescent="0.25">
      <c r="B100" s="765" t="s">
        <v>45</v>
      </c>
      <c r="C100" s="766"/>
      <c r="D100" s="766"/>
      <c r="E100" s="767"/>
      <c r="F100" s="596" t="s">
        <v>146</v>
      </c>
      <c r="G100" s="596" t="s">
        <v>3</v>
      </c>
      <c r="H100" s="701"/>
      <c r="I100" s="702"/>
      <c r="J100" s="702"/>
      <c r="K100" s="703"/>
      <c r="L100" s="162"/>
      <c r="N100" s="8"/>
      <c r="O100" s="7"/>
      <c r="P100" s="7"/>
      <c r="Q100" s="8"/>
      <c r="S100" s="21"/>
      <c r="T100" s="568"/>
      <c r="U100" s="140"/>
      <c r="V100" s="139"/>
    </row>
    <row r="101" spans="2:22" ht="20.100000000000001" customHeight="1" x14ac:dyDescent="0.25">
      <c r="B101" s="765" t="s">
        <v>47</v>
      </c>
      <c r="C101" s="766"/>
      <c r="D101" s="766"/>
      <c r="E101" s="767"/>
      <c r="F101" s="596" t="s">
        <v>147</v>
      </c>
      <c r="G101" s="596" t="s">
        <v>3</v>
      </c>
      <c r="H101" s="701"/>
      <c r="I101" s="702"/>
      <c r="J101" s="702"/>
      <c r="K101" s="703"/>
      <c r="L101" s="162"/>
      <c r="N101" s="8"/>
      <c r="O101" s="7"/>
      <c r="P101" s="7"/>
      <c r="Q101" s="8"/>
      <c r="S101" s="21"/>
      <c r="T101" s="568"/>
      <c r="U101" s="140"/>
      <c r="V101" s="139"/>
    </row>
    <row r="102" spans="2:22" ht="20.100000000000001" customHeight="1" x14ac:dyDescent="0.25">
      <c r="B102" s="771" t="s">
        <v>712</v>
      </c>
      <c r="C102" s="771"/>
      <c r="D102" s="771"/>
      <c r="E102" s="771"/>
      <c r="F102" s="591" t="s">
        <v>148</v>
      </c>
      <c r="G102" s="591" t="s">
        <v>3</v>
      </c>
      <c r="H102" s="751"/>
      <c r="I102" s="751"/>
      <c r="J102" s="751"/>
      <c r="K102" s="751"/>
      <c r="L102" s="162"/>
      <c r="N102" s="8"/>
      <c r="O102" s="7"/>
      <c r="P102" s="7"/>
      <c r="Q102" s="8"/>
      <c r="S102" s="21"/>
      <c r="T102" s="568"/>
      <c r="U102" s="140"/>
      <c r="V102" s="139"/>
    </row>
    <row r="103" spans="2:22" ht="20.100000000000001" customHeight="1" x14ac:dyDescent="0.25">
      <c r="B103" s="565"/>
      <c r="C103" s="565"/>
      <c r="D103" s="565"/>
      <c r="E103" s="565"/>
      <c r="F103" s="585"/>
      <c r="G103" s="225"/>
      <c r="H103" s="50"/>
      <c r="I103" s="50"/>
      <c r="J103" s="50"/>
      <c r="K103" s="50"/>
      <c r="L103" s="7"/>
      <c r="N103" s="8"/>
      <c r="O103" s="7"/>
      <c r="P103" s="7"/>
      <c r="Q103" s="8"/>
      <c r="S103" s="21"/>
      <c r="T103" s="568"/>
      <c r="U103" s="140"/>
      <c r="V103" s="139"/>
    </row>
    <row r="104" spans="2:22" ht="20.100000000000001" customHeight="1" x14ac:dyDescent="0.25">
      <c r="B104" s="722"/>
      <c r="C104" s="722"/>
      <c r="D104" s="722"/>
      <c r="E104" s="722"/>
      <c r="F104" s="4"/>
      <c r="G104" s="2"/>
      <c r="N104" s="6"/>
      <c r="O104" s="7"/>
      <c r="P104" s="7"/>
      <c r="Q104" s="8"/>
    </row>
    <row r="105" spans="2:22" ht="20.100000000000001" customHeight="1" x14ac:dyDescent="0.25">
      <c r="B105" s="726" t="s">
        <v>65</v>
      </c>
      <c r="C105" s="726"/>
      <c r="D105" s="726"/>
      <c r="E105" s="726"/>
      <c r="F105" s="726"/>
      <c r="G105" s="726"/>
      <c r="H105" s="726"/>
      <c r="I105" s="498"/>
      <c r="J105" s="498"/>
      <c r="K105" s="498"/>
      <c r="L105" s="498"/>
      <c r="N105" s="6"/>
      <c r="O105" s="7"/>
      <c r="P105" s="7"/>
      <c r="Q105" s="8"/>
      <c r="T105" s="7"/>
    </row>
    <row r="106" spans="2:22" ht="20.100000000000001" customHeight="1" x14ac:dyDescent="0.25">
      <c r="B106" s="664" t="s">
        <v>69</v>
      </c>
      <c r="C106" s="665"/>
      <c r="D106" s="665"/>
      <c r="E106" s="666"/>
      <c r="F106" s="597" t="s">
        <v>487</v>
      </c>
      <c r="G106" s="545" t="s">
        <v>5</v>
      </c>
      <c r="H106" s="772"/>
      <c r="I106" s="772"/>
      <c r="J106" s="772"/>
      <c r="K106" s="772"/>
      <c r="L106" s="7"/>
      <c r="M106" s="7"/>
      <c r="N106" s="6"/>
      <c r="O106" s="7"/>
      <c r="P106" s="7"/>
      <c r="Q106" s="8"/>
      <c r="R106" s="7"/>
      <c r="T106" s="7"/>
    </row>
    <row r="107" spans="2:22" ht="20.100000000000001" customHeight="1" x14ac:dyDescent="0.25">
      <c r="B107" s="664" t="s">
        <v>67</v>
      </c>
      <c r="C107" s="665"/>
      <c r="D107" s="665"/>
      <c r="E107" s="666"/>
      <c r="F107" s="582" t="s">
        <v>149</v>
      </c>
      <c r="G107" s="592" t="s">
        <v>3</v>
      </c>
      <c r="H107" s="773"/>
      <c r="I107" s="774"/>
      <c r="J107" s="774"/>
      <c r="K107" s="775"/>
      <c r="L107" s="7"/>
      <c r="M107" s="721"/>
      <c r="N107" s="721"/>
      <c r="O107" s="721"/>
      <c r="P107" s="721"/>
      <c r="Q107" s="721"/>
      <c r="R107" s="721"/>
      <c r="S107" s="21"/>
      <c r="T107" s="7"/>
    </row>
    <row r="108" spans="2:22" ht="20.100000000000001" customHeight="1" x14ac:dyDescent="0.25">
      <c r="B108" s="664" t="s">
        <v>741</v>
      </c>
      <c r="C108" s="665"/>
      <c r="D108" s="665"/>
      <c r="E108" s="666"/>
      <c r="F108" s="591" t="s">
        <v>152</v>
      </c>
      <c r="G108" s="604" t="s">
        <v>3</v>
      </c>
      <c r="H108" s="593"/>
      <c r="I108" s="594"/>
      <c r="J108" s="594"/>
      <c r="K108" s="595"/>
      <c r="L108" s="7"/>
      <c r="M108" s="598"/>
      <c r="N108" s="598"/>
      <c r="O108" s="598"/>
      <c r="P108" s="598"/>
      <c r="Q108" s="598"/>
      <c r="R108" s="598"/>
      <c r="S108" s="598"/>
      <c r="T108" s="7"/>
    </row>
    <row r="109" spans="2:22" ht="20.100000000000001" customHeight="1" x14ac:dyDescent="0.25">
      <c r="B109" s="698" t="s">
        <v>66</v>
      </c>
      <c r="C109" s="699"/>
      <c r="D109" s="699"/>
      <c r="E109" s="700"/>
      <c r="F109" s="707" t="s">
        <v>150</v>
      </c>
      <c r="G109" s="707" t="s">
        <v>64</v>
      </c>
      <c r="H109" s="729"/>
      <c r="I109" s="730"/>
      <c r="J109" s="730"/>
      <c r="K109" s="731"/>
      <c r="L109" s="7"/>
      <c r="M109" s="21"/>
      <c r="N109" s="21"/>
      <c r="O109" s="21"/>
      <c r="P109" s="21"/>
      <c r="Q109" s="21"/>
      <c r="R109" s="21"/>
      <c r="S109" s="21"/>
      <c r="T109" s="7"/>
    </row>
    <row r="110" spans="2:22" ht="20.100000000000001" customHeight="1" x14ac:dyDescent="0.25">
      <c r="B110" s="757"/>
      <c r="C110" s="758"/>
      <c r="D110" s="758"/>
      <c r="E110" s="759"/>
      <c r="F110" s="763"/>
      <c r="G110" s="763"/>
      <c r="H110" s="760"/>
      <c r="I110" s="761"/>
      <c r="J110" s="761"/>
      <c r="K110" s="762"/>
      <c r="L110" s="7"/>
      <c r="M110" s="21"/>
      <c r="N110" s="21"/>
      <c r="O110" s="21"/>
      <c r="P110" s="21"/>
      <c r="Q110" s="21"/>
      <c r="R110" s="21"/>
      <c r="S110" s="21"/>
      <c r="T110" s="7"/>
    </row>
    <row r="111" spans="2:22" ht="20.100000000000001" customHeight="1" x14ac:dyDescent="0.25">
      <c r="B111" s="704"/>
      <c r="C111" s="705"/>
      <c r="D111" s="705"/>
      <c r="E111" s="706"/>
      <c r="F111" s="708"/>
      <c r="G111" s="708"/>
      <c r="H111" s="732"/>
      <c r="I111" s="733"/>
      <c r="J111" s="733"/>
      <c r="K111" s="734"/>
      <c r="L111" s="7"/>
      <c r="M111" s="7"/>
      <c r="N111" s="7"/>
      <c r="O111" s="7"/>
      <c r="P111" s="7"/>
      <c r="Q111" s="7"/>
      <c r="R111" s="7"/>
      <c r="S111" s="21"/>
      <c r="T111" s="7"/>
    </row>
    <row r="112" spans="2:22" ht="20.100000000000001" customHeight="1" x14ac:dyDescent="0.25">
      <c r="B112" s="664" t="s">
        <v>745</v>
      </c>
      <c r="C112" s="665"/>
      <c r="D112" s="665"/>
      <c r="E112" s="666"/>
      <c r="F112" s="502" t="s">
        <v>151</v>
      </c>
      <c r="G112" s="592" t="s">
        <v>3</v>
      </c>
      <c r="H112" s="773"/>
      <c r="I112" s="774"/>
      <c r="J112" s="774"/>
      <c r="K112" s="775"/>
      <c r="L112" s="7"/>
      <c r="M112" s="21"/>
      <c r="N112" s="21"/>
      <c r="O112" s="21"/>
      <c r="P112" s="21"/>
      <c r="Q112" s="21"/>
      <c r="R112" s="21"/>
      <c r="S112" s="21"/>
      <c r="T112" s="7"/>
    </row>
    <row r="113" spans="2:20" ht="20.100000000000001" customHeight="1" x14ac:dyDescent="0.25">
      <c r="B113" s="664" t="s">
        <v>722</v>
      </c>
      <c r="C113" s="665"/>
      <c r="D113" s="665"/>
      <c r="E113" s="666"/>
      <c r="F113" s="596" t="s">
        <v>723</v>
      </c>
      <c r="G113" s="604" t="s">
        <v>64</v>
      </c>
      <c r="H113" s="593"/>
      <c r="I113" s="594"/>
      <c r="J113" s="594"/>
      <c r="K113" s="595"/>
      <c r="L113" s="7"/>
      <c r="M113" s="598"/>
      <c r="N113" s="598"/>
      <c r="O113" s="598"/>
      <c r="P113" s="598"/>
      <c r="Q113" s="598"/>
      <c r="R113" s="598"/>
      <c r="S113" s="598"/>
      <c r="T113" s="7"/>
    </row>
    <row r="114" spans="2:20" ht="20.100000000000001" customHeight="1" x14ac:dyDescent="0.25">
      <c r="B114" s="780" t="s">
        <v>68</v>
      </c>
      <c r="C114" s="781"/>
      <c r="D114" s="781"/>
      <c r="E114" s="782"/>
      <c r="F114" s="707" t="s">
        <v>724</v>
      </c>
      <c r="G114" s="707" t="s">
        <v>3</v>
      </c>
      <c r="H114" s="729"/>
      <c r="I114" s="730"/>
      <c r="J114" s="730"/>
      <c r="K114" s="731"/>
      <c r="L114" s="7"/>
      <c r="M114" s="598"/>
      <c r="N114" s="598"/>
      <c r="O114" s="598"/>
      <c r="P114" s="598"/>
      <c r="Q114" s="598"/>
      <c r="R114" s="598"/>
      <c r="S114" s="598"/>
      <c r="T114" s="7"/>
    </row>
    <row r="115" spans="2:20" ht="20.100000000000001" customHeight="1" x14ac:dyDescent="0.25">
      <c r="B115" s="783"/>
      <c r="C115" s="784"/>
      <c r="D115" s="784"/>
      <c r="E115" s="785"/>
      <c r="F115" s="708"/>
      <c r="G115" s="708"/>
      <c r="H115" s="732"/>
      <c r="I115" s="733"/>
      <c r="J115" s="733"/>
      <c r="K115" s="734"/>
      <c r="L115" s="7"/>
      <c r="M115" s="598"/>
      <c r="N115" s="598"/>
      <c r="O115" s="598"/>
      <c r="P115" s="598"/>
      <c r="Q115" s="598"/>
      <c r="R115" s="598"/>
      <c r="S115" s="598"/>
      <c r="T115" s="7"/>
    </row>
    <row r="116" spans="2:20" ht="20.100000000000001" customHeight="1" x14ac:dyDescent="0.25">
      <c r="B116" s="698" t="s">
        <v>744</v>
      </c>
      <c r="C116" s="699"/>
      <c r="D116" s="699"/>
      <c r="E116" s="700"/>
      <c r="F116" s="707" t="s">
        <v>153</v>
      </c>
      <c r="G116" s="707" t="s">
        <v>3</v>
      </c>
      <c r="H116" s="729"/>
      <c r="I116" s="730"/>
      <c r="J116" s="730"/>
      <c r="K116" s="731"/>
      <c r="L116" s="7"/>
      <c r="M116" s="598"/>
      <c r="N116" s="598"/>
      <c r="O116" s="598"/>
      <c r="P116" s="598"/>
      <c r="Q116" s="598"/>
      <c r="R116" s="598"/>
      <c r="S116" s="598"/>
      <c r="T116" s="7"/>
    </row>
    <row r="117" spans="2:20" ht="21.95" customHeight="1" x14ac:dyDescent="0.25">
      <c r="B117" s="704"/>
      <c r="C117" s="705"/>
      <c r="D117" s="705"/>
      <c r="E117" s="706"/>
      <c r="F117" s="708"/>
      <c r="G117" s="708"/>
      <c r="H117" s="732"/>
      <c r="I117" s="733"/>
      <c r="J117" s="733"/>
      <c r="K117" s="734"/>
      <c r="L117" s="7"/>
      <c r="M117" s="598"/>
      <c r="N117" s="598"/>
      <c r="O117" s="598"/>
      <c r="P117" s="598"/>
      <c r="Q117" s="598"/>
      <c r="R117" s="598"/>
      <c r="S117" s="598"/>
      <c r="T117" s="7"/>
    </row>
    <row r="118" spans="2:20" ht="21.95" customHeight="1" x14ac:dyDescent="0.25">
      <c r="B118" s="698" t="s">
        <v>742</v>
      </c>
      <c r="C118" s="699"/>
      <c r="D118" s="699"/>
      <c r="E118" s="700"/>
      <c r="F118" s="744" t="s">
        <v>743</v>
      </c>
      <c r="G118" s="707" t="s">
        <v>15</v>
      </c>
      <c r="H118" s="729"/>
      <c r="I118" s="730"/>
      <c r="J118" s="730"/>
      <c r="K118" s="731"/>
      <c r="L118" s="7"/>
      <c r="M118" s="598"/>
      <c r="N118" s="598"/>
      <c r="O118" s="598"/>
      <c r="P118" s="598"/>
      <c r="Q118" s="598"/>
      <c r="R118" s="598"/>
      <c r="S118" s="598"/>
      <c r="T118" s="7"/>
    </row>
    <row r="119" spans="2:20" ht="21.95" customHeight="1" x14ac:dyDescent="0.25">
      <c r="B119" s="704"/>
      <c r="C119" s="705"/>
      <c r="D119" s="705"/>
      <c r="E119" s="706"/>
      <c r="F119" s="745"/>
      <c r="G119" s="708"/>
      <c r="H119" s="732"/>
      <c r="I119" s="733"/>
      <c r="J119" s="733"/>
      <c r="K119" s="734"/>
      <c r="L119" s="7"/>
      <c r="M119" s="598"/>
      <c r="N119" s="598"/>
      <c r="O119" s="598"/>
      <c r="P119" s="598"/>
      <c r="Q119" s="598"/>
      <c r="R119" s="598"/>
      <c r="S119" s="598"/>
      <c r="T119" s="7"/>
    </row>
    <row r="120" spans="2:20" ht="20.100000000000001" customHeight="1" x14ac:dyDescent="0.25">
      <c r="B120" s="780" t="s">
        <v>72</v>
      </c>
      <c r="C120" s="781"/>
      <c r="D120" s="781"/>
      <c r="E120" s="782"/>
      <c r="F120" s="707"/>
      <c r="G120" s="707"/>
      <c r="H120" s="729"/>
      <c r="I120" s="730"/>
      <c r="J120" s="730"/>
      <c r="K120" s="731"/>
      <c r="L120" s="7"/>
      <c r="M120" s="598"/>
      <c r="N120" s="598"/>
      <c r="O120" s="598"/>
      <c r="P120" s="598"/>
      <c r="Q120" s="598"/>
      <c r="R120" s="598"/>
      <c r="S120" s="598"/>
      <c r="T120" s="7"/>
    </row>
    <row r="121" spans="2:20" ht="20.100000000000001" customHeight="1" x14ac:dyDescent="0.25">
      <c r="B121" s="783"/>
      <c r="C121" s="784"/>
      <c r="D121" s="784"/>
      <c r="E121" s="785"/>
      <c r="F121" s="708"/>
      <c r="G121" s="708"/>
      <c r="H121" s="732"/>
      <c r="I121" s="733"/>
      <c r="J121" s="733"/>
      <c r="K121" s="734"/>
      <c r="L121" s="7"/>
      <c r="M121" s="598"/>
      <c r="N121" s="598"/>
      <c r="O121" s="598"/>
      <c r="P121" s="598"/>
      <c r="Q121" s="598"/>
      <c r="R121" s="598"/>
      <c r="S121" s="598"/>
      <c r="T121" s="7"/>
    </row>
    <row r="122" spans="2:20" ht="20.100000000000001" customHeight="1" x14ac:dyDescent="0.25">
      <c r="B122" s="673" t="s">
        <v>73</v>
      </c>
      <c r="C122" s="674"/>
      <c r="D122" s="674"/>
      <c r="E122" s="675"/>
      <c r="F122" s="707" t="s">
        <v>153</v>
      </c>
      <c r="G122" s="727" t="s">
        <v>3</v>
      </c>
      <c r="H122" s="729"/>
      <c r="I122" s="730"/>
      <c r="J122" s="730"/>
      <c r="K122" s="731"/>
      <c r="L122" s="7"/>
      <c r="M122" s="598"/>
      <c r="N122" s="598"/>
      <c r="O122" s="598"/>
      <c r="P122" s="598"/>
      <c r="Q122" s="598"/>
      <c r="R122" s="598"/>
      <c r="S122" s="598"/>
      <c r="T122" s="7"/>
    </row>
    <row r="123" spans="2:20" ht="20.100000000000001" customHeight="1" x14ac:dyDescent="0.25">
      <c r="B123" s="676"/>
      <c r="C123" s="677"/>
      <c r="D123" s="677"/>
      <c r="E123" s="678"/>
      <c r="F123" s="708"/>
      <c r="G123" s="728"/>
      <c r="H123" s="732"/>
      <c r="I123" s="733"/>
      <c r="J123" s="733"/>
      <c r="K123" s="734"/>
      <c r="L123" s="7"/>
      <c r="M123" s="725"/>
      <c r="N123" s="725"/>
      <c r="O123" s="725"/>
      <c r="P123" s="725"/>
      <c r="Q123" s="725"/>
      <c r="R123" s="725"/>
      <c r="S123" s="505"/>
      <c r="T123" s="7"/>
    </row>
    <row r="124" spans="2:20" x14ac:dyDescent="0.25">
      <c r="B124" s="722"/>
      <c r="C124" s="722"/>
      <c r="D124" s="722"/>
      <c r="E124" s="722"/>
      <c r="N124" s="6"/>
      <c r="O124" s="7"/>
      <c r="P124" s="7"/>
      <c r="Q124" s="8"/>
    </row>
    <row r="125" spans="2:20" x14ac:dyDescent="0.25">
      <c r="B125" s="726" t="s">
        <v>19</v>
      </c>
      <c r="C125" s="726"/>
      <c r="D125" s="726"/>
      <c r="E125" s="726"/>
      <c r="N125" s="6"/>
      <c r="O125" s="7"/>
      <c r="P125" s="7"/>
      <c r="Q125" s="8"/>
    </row>
    <row r="126" spans="2:20" x14ac:dyDescent="0.25">
      <c r="N126" s="6"/>
      <c r="O126" s="7"/>
      <c r="P126" s="7"/>
      <c r="Q126" s="8"/>
    </row>
    <row r="127" spans="2:20" ht="30" customHeight="1" x14ac:dyDescent="0.25">
      <c r="B127" s="5" t="s">
        <v>20</v>
      </c>
      <c r="E127" s="697" t="s">
        <v>26</v>
      </c>
      <c r="F127" s="697"/>
      <c r="G127" s="697"/>
      <c r="H127" s="697"/>
      <c r="I127" s="496"/>
      <c r="J127" s="496"/>
      <c r="K127" s="496"/>
      <c r="L127" s="496"/>
      <c r="M127" s="24"/>
      <c r="N127" s="6"/>
      <c r="O127" s="7"/>
      <c r="P127" s="7"/>
      <c r="Q127" s="8"/>
    </row>
    <row r="128" spans="2:20" ht="30" customHeight="1" x14ac:dyDescent="0.25">
      <c r="B128" s="5" t="s">
        <v>21</v>
      </c>
      <c r="E128" s="697" t="s">
        <v>34</v>
      </c>
      <c r="F128" s="697"/>
      <c r="G128" s="697"/>
      <c r="H128" s="697"/>
      <c r="I128" s="496"/>
      <c r="J128" s="496"/>
      <c r="K128" s="496"/>
      <c r="L128" s="496"/>
      <c r="N128" s="25"/>
      <c r="O128" s="7"/>
      <c r="P128" s="7"/>
      <c r="Q128" s="8"/>
    </row>
    <row r="129" spans="2:17" x14ac:dyDescent="0.25">
      <c r="B129" s="5" t="s">
        <v>22</v>
      </c>
      <c r="E129" s="724" t="s">
        <v>23</v>
      </c>
      <c r="F129" s="724"/>
      <c r="G129" s="724"/>
      <c r="H129" s="724"/>
      <c r="I129" s="497"/>
      <c r="J129" s="497"/>
      <c r="K129" s="497"/>
      <c r="L129" s="497"/>
      <c r="N129" s="6"/>
      <c r="O129" s="7"/>
      <c r="P129" s="7"/>
      <c r="Q129" s="8"/>
    </row>
    <row r="130" spans="2:17" ht="30" customHeight="1" x14ac:dyDescent="0.25">
      <c r="B130" s="5" t="s">
        <v>25</v>
      </c>
      <c r="E130" s="697" t="s">
        <v>35</v>
      </c>
      <c r="F130" s="697"/>
      <c r="G130" s="697"/>
      <c r="H130" s="697"/>
      <c r="I130" s="496"/>
      <c r="J130" s="496"/>
      <c r="K130" s="496"/>
      <c r="L130" s="496"/>
      <c r="N130" s="6"/>
      <c r="O130" s="7"/>
      <c r="P130" s="7"/>
      <c r="Q130" s="8"/>
    </row>
    <row r="131" spans="2:17" ht="30" customHeight="1" x14ac:dyDescent="0.25">
      <c r="B131" s="5" t="s">
        <v>31</v>
      </c>
      <c r="E131" s="697" t="s">
        <v>36</v>
      </c>
      <c r="F131" s="697"/>
      <c r="G131" s="697"/>
      <c r="H131" s="697"/>
      <c r="I131" s="496"/>
      <c r="J131" s="496"/>
      <c r="K131" s="496"/>
      <c r="L131" s="496"/>
      <c r="N131" s="723"/>
      <c r="O131" s="723"/>
      <c r="P131" s="7"/>
      <c r="Q131" s="8"/>
    </row>
    <row r="132" spans="2:17" x14ac:dyDescent="0.25">
      <c r="B132" s="5" t="s">
        <v>32</v>
      </c>
      <c r="E132" s="724" t="s">
        <v>30</v>
      </c>
      <c r="F132" s="724"/>
      <c r="G132" s="724"/>
      <c r="H132" s="724"/>
      <c r="I132" s="497"/>
      <c r="J132" s="497"/>
      <c r="K132" s="497"/>
      <c r="L132" s="497"/>
      <c r="N132" s="6"/>
      <c r="O132" s="7"/>
      <c r="P132" s="7"/>
      <c r="Q132" s="8"/>
    </row>
    <row r="133" spans="2:17" x14ac:dyDescent="0.25">
      <c r="B133" s="5" t="s">
        <v>41</v>
      </c>
      <c r="E133" s="724" t="s">
        <v>40</v>
      </c>
      <c r="F133" s="724"/>
      <c r="G133" s="724"/>
      <c r="H133" s="724"/>
      <c r="I133" s="497"/>
      <c r="J133" s="497"/>
      <c r="K133" s="497"/>
      <c r="L133" s="497"/>
      <c r="N133" s="6"/>
      <c r="O133" s="7"/>
      <c r="P133" s="7"/>
      <c r="Q133" s="8"/>
    </row>
    <row r="134" spans="2:17" ht="30" customHeight="1" x14ac:dyDescent="0.25">
      <c r="B134" s="5" t="s">
        <v>50</v>
      </c>
      <c r="E134" s="697" t="s">
        <v>43</v>
      </c>
      <c r="F134" s="697"/>
      <c r="G134" s="697"/>
      <c r="H134" s="697"/>
      <c r="I134" s="496"/>
      <c r="J134" s="496"/>
      <c r="K134" s="496"/>
      <c r="L134" s="496"/>
      <c r="N134" s="6"/>
      <c r="O134" s="7"/>
      <c r="P134" s="7"/>
      <c r="Q134" s="8"/>
    </row>
    <row r="135" spans="2:17" ht="30" customHeight="1" x14ac:dyDescent="0.25">
      <c r="B135" s="5" t="s">
        <v>70</v>
      </c>
      <c r="E135" s="697" t="s">
        <v>71</v>
      </c>
      <c r="F135" s="697"/>
      <c r="G135" s="697"/>
      <c r="H135" s="697"/>
      <c r="I135" s="496"/>
      <c r="J135" s="496"/>
      <c r="K135" s="496"/>
      <c r="L135" s="496"/>
      <c r="N135" s="6"/>
      <c r="O135" s="7"/>
      <c r="P135" s="7"/>
      <c r="Q135" s="8"/>
    </row>
    <row r="136" spans="2:17" x14ac:dyDescent="0.25">
      <c r="N136" s="6"/>
      <c r="O136" s="7"/>
      <c r="P136" s="7"/>
      <c r="Q136" s="8"/>
    </row>
    <row r="137" spans="2:17" x14ac:dyDescent="0.25">
      <c r="B137" s="15" t="s">
        <v>57</v>
      </c>
      <c r="C137" s="15"/>
      <c r="D137" s="15"/>
      <c r="N137" s="6"/>
      <c r="O137" s="7"/>
      <c r="P137" s="7"/>
      <c r="Q137" s="8"/>
    </row>
    <row r="138" spans="2:17" x14ac:dyDescent="0.25">
      <c r="B138" s="5" t="s">
        <v>58</v>
      </c>
      <c r="N138" s="6"/>
      <c r="O138" s="7"/>
      <c r="P138" s="7"/>
      <c r="Q138" s="8"/>
    </row>
    <row r="139" spans="2:17" x14ac:dyDescent="0.25">
      <c r="B139" s="5" t="s">
        <v>59</v>
      </c>
      <c r="N139" s="6"/>
      <c r="O139" s="7"/>
      <c r="P139" s="7"/>
      <c r="Q139" s="8"/>
    </row>
    <row r="140" spans="2:17" x14ac:dyDescent="0.25">
      <c r="N140" s="6"/>
      <c r="O140" s="7"/>
      <c r="P140" s="7"/>
      <c r="Q140" s="8"/>
    </row>
    <row r="141" spans="2:17" x14ac:dyDescent="0.25">
      <c r="B141" s="15" t="s">
        <v>60</v>
      </c>
      <c r="C141" s="15"/>
      <c r="D141" s="15"/>
      <c r="N141" s="6"/>
      <c r="O141" s="7"/>
      <c r="P141" s="7"/>
      <c r="Q141" s="8"/>
    </row>
    <row r="142" spans="2:17" x14ac:dyDescent="0.25">
      <c r="B142" s="5" t="s">
        <v>621</v>
      </c>
      <c r="N142" s="6"/>
      <c r="O142" s="7"/>
      <c r="P142" s="7"/>
      <c r="Q142" s="8"/>
    </row>
    <row r="143" spans="2:17" x14ac:dyDescent="0.25">
      <c r="N143" s="6"/>
      <c r="O143" s="7"/>
      <c r="P143" s="7"/>
      <c r="Q143" s="8"/>
    </row>
    <row r="144" spans="2:17" x14ac:dyDescent="0.25">
      <c r="N144" s="6"/>
      <c r="O144" s="7"/>
      <c r="P144" s="7"/>
      <c r="Q144" s="8"/>
    </row>
    <row r="145" spans="14:17" x14ac:dyDescent="0.25">
      <c r="N145" s="6"/>
      <c r="O145" s="7"/>
      <c r="P145" s="7"/>
      <c r="Q145" s="8"/>
    </row>
    <row r="146" spans="14:17" x14ac:dyDescent="0.25">
      <c r="N146" s="6"/>
      <c r="O146" s="7"/>
      <c r="P146" s="7"/>
      <c r="Q146" s="8"/>
    </row>
    <row r="147" spans="14:17" x14ac:dyDescent="0.25">
      <c r="N147" s="6"/>
      <c r="O147" s="7"/>
      <c r="P147" s="7"/>
      <c r="Q147" s="8"/>
    </row>
    <row r="148" spans="14:17" x14ac:dyDescent="0.25">
      <c r="N148" s="6"/>
      <c r="O148" s="7"/>
      <c r="P148" s="7"/>
      <c r="Q148" s="8"/>
    </row>
    <row r="149" spans="14:17" x14ac:dyDescent="0.25">
      <c r="N149" s="6"/>
      <c r="O149" s="7"/>
      <c r="P149" s="7"/>
      <c r="Q149" s="8"/>
    </row>
    <row r="150" spans="14:17" x14ac:dyDescent="0.25">
      <c r="N150" s="6"/>
      <c r="O150" s="7"/>
      <c r="P150" s="7"/>
      <c r="Q150" s="8"/>
    </row>
    <row r="151" spans="14:17" x14ac:dyDescent="0.25">
      <c r="N151" s="6"/>
      <c r="O151" s="7"/>
      <c r="P151" s="7"/>
      <c r="Q151" s="8"/>
    </row>
    <row r="152" spans="14:17" x14ac:dyDescent="0.25">
      <c r="N152" s="6"/>
      <c r="O152" s="7"/>
      <c r="P152" s="7"/>
      <c r="Q152" s="8"/>
    </row>
    <row r="153" spans="14:17" x14ac:dyDescent="0.25">
      <c r="N153" s="6"/>
      <c r="O153" s="7"/>
      <c r="P153" s="7"/>
      <c r="Q153" s="8"/>
    </row>
    <row r="154" spans="14:17" x14ac:dyDescent="0.25">
      <c r="N154" s="6"/>
      <c r="O154" s="7"/>
      <c r="P154" s="7"/>
      <c r="Q154" s="8"/>
    </row>
    <row r="155" spans="14:17" x14ac:dyDescent="0.25">
      <c r="N155" s="6"/>
      <c r="O155" s="7"/>
      <c r="P155" s="7"/>
      <c r="Q155" s="8"/>
    </row>
    <row r="156" spans="14:17" x14ac:dyDescent="0.25">
      <c r="N156" s="6"/>
      <c r="O156" s="7"/>
      <c r="P156" s="7"/>
      <c r="Q156" s="8"/>
    </row>
    <row r="157" spans="14:17" x14ac:dyDescent="0.25">
      <c r="N157" s="6"/>
      <c r="O157" s="7"/>
      <c r="P157" s="7"/>
      <c r="Q157" s="8"/>
    </row>
    <row r="158" spans="14:17" x14ac:dyDescent="0.25">
      <c r="N158" s="6"/>
      <c r="O158" s="7"/>
      <c r="P158" s="7"/>
      <c r="Q158" s="8"/>
    </row>
    <row r="159" spans="14:17" x14ac:dyDescent="0.25">
      <c r="N159" s="6"/>
      <c r="O159" s="7"/>
      <c r="P159" s="7"/>
      <c r="Q159" s="8"/>
    </row>
    <row r="160" spans="14:17" x14ac:dyDescent="0.25">
      <c r="N160" s="6"/>
      <c r="O160" s="7"/>
      <c r="P160" s="7"/>
      <c r="Q160" s="8"/>
    </row>
    <row r="161" spans="14:17" x14ac:dyDescent="0.25">
      <c r="N161" s="6"/>
      <c r="O161" s="7"/>
      <c r="P161" s="7"/>
      <c r="Q161" s="8"/>
    </row>
    <row r="162" spans="14:17" x14ac:dyDescent="0.25">
      <c r="N162" s="6"/>
      <c r="O162" s="7"/>
      <c r="P162" s="7"/>
      <c r="Q162" s="8"/>
    </row>
    <row r="163" spans="14:17" x14ac:dyDescent="0.25">
      <c r="N163" s="6"/>
      <c r="O163" s="7"/>
      <c r="P163" s="7"/>
      <c r="Q163" s="8"/>
    </row>
    <row r="164" spans="14:17" x14ac:dyDescent="0.25">
      <c r="N164" s="6"/>
      <c r="O164" s="7"/>
      <c r="P164" s="7"/>
      <c r="Q164" s="8"/>
    </row>
    <row r="165" spans="14:17" x14ac:dyDescent="0.25">
      <c r="N165" s="6"/>
      <c r="O165" s="7"/>
      <c r="P165" s="7"/>
      <c r="Q165" s="8"/>
    </row>
    <row r="166" spans="14:17" x14ac:dyDescent="0.25">
      <c r="N166" s="6"/>
      <c r="O166" s="7"/>
      <c r="P166" s="7"/>
      <c r="Q166" s="8"/>
    </row>
    <row r="167" spans="14:17" x14ac:dyDescent="0.25">
      <c r="N167" s="6"/>
      <c r="O167" s="7"/>
      <c r="P167" s="7"/>
      <c r="Q167" s="8"/>
    </row>
    <row r="168" spans="14:17" x14ac:dyDescent="0.25">
      <c r="N168" s="6"/>
      <c r="O168" s="7"/>
      <c r="P168" s="7"/>
      <c r="Q168" s="8"/>
    </row>
    <row r="169" spans="14:17" x14ac:dyDescent="0.25">
      <c r="N169" s="6"/>
      <c r="O169" s="7"/>
      <c r="P169" s="7"/>
      <c r="Q169" s="8"/>
    </row>
    <row r="170" spans="14:17" x14ac:dyDescent="0.25">
      <c r="N170" s="6"/>
      <c r="O170" s="7"/>
      <c r="P170" s="7"/>
      <c r="Q170" s="8"/>
    </row>
    <row r="171" spans="14:17" x14ac:dyDescent="0.25">
      <c r="N171" s="6"/>
      <c r="O171" s="7"/>
      <c r="P171" s="7"/>
      <c r="Q171" s="8"/>
    </row>
    <row r="172" spans="14:17" x14ac:dyDescent="0.25">
      <c r="N172" s="6"/>
      <c r="O172" s="7"/>
      <c r="P172" s="7"/>
      <c r="Q172" s="8"/>
    </row>
    <row r="173" spans="14:17" x14ac:dyDescent="0.25">
      <c r="N173" s="6"/>
      <c r="O173" s="7"/>
      <c r="P173" s="7"/>
      <c r="Q173" s="8"/>
    </row>
    <row r="174" spans="14:17" x14ac:dyDescent="0.25">
      <c r="N174" s="6"/>
      <c r="O174" s="7"/>
      <c r="P174" s="7"/>
      <c r="Q174" s="8"/>
    </row>
    <row r="175" spans="14:17" x14ac:dyDescent="0.25">
      <c r="N175" s="6"/>
      <c r="O175" s="7"/>
      <c r="P175" s="7"/>
      <c r="Q175" s="8"/>
    </row>
    <row r="176" spans="14:17" x14ac:dyDescent="0.25">
      <c r="N176" s="6"/>
      <c r="O176" s="7"/>
      <c r="P176" s="7"/>
      <c r="Q176" s="8"/>
    </row>
    <row r="177" spans="14:17" x14ac:dyDescent="0.25">
      <c r="N177" s="6"/>
      <c r="O177" s="7"/>
      <c r="P177" s="7"/>
      <c r="Q177" s="8"/>
    </row>
    <row r="178" spans="14:17" x14ac:dyDescent="0.25">
      <c r="N178" s="6"/>
      <c r="O178" s="7"/>
      <c r="P178" s="7"/>
      <c r="Q178" s="8"/>
    </row>
    <row r="179" spans="14:17" x14ac:dyDescent="0.25">
      <c r="N179" s="6"/>
      <c r="O179" s="7"/>
      <c r="P179" s="7"/>
      <c r="Q179" s="8"/>
    </row>
    <row r="180" spans="14:17" x14ac:dyDescent="0.25">
      <c r="N180" s="6"/>
      <c r="O180" s="7"/>
      <c r="P180" s="7"/>
      <c r="Q180" s="8"/>
    </row>
    <row r="181" spans="14:17" x14ac:dyDescent="0.25">
      <c r="N181" s="6"/>
      <c r="O181" s="7"/>
      <c r="P181" s="7"/>
      <c r="Q181" s="8"/>
    </row>
    <row r="182" spans="14:17" x14ac:dyDescent="0.25">
      <c r="N182" s="6"/>
      <c r="O182" s="7"/>
      <c r="P182" s="7"/>
      <c r="Q182" s="8"/>
    </row>
    <row r="183" spans="14:17" x14ac:dyDescent="0.25">
      <c r="N183" s="6"/>
      <c r="O183" s="7"/>
      <c r="P183" s="7"/>
      <c r="Q183" s="8"/>
    </row>
    <row r="184" spans="14:17" x14ac:dyDescent="0.25">
      <c r="N184" s="6"/>
      <c r="O184" s="7"/>
      <c r="P184" s="7"/>
      <c r="Q184" s="8"/>
    </row>
    <row r="185" spans="14:17" x14ac:dyDescent="0.25">
      <c r="N185" s="6"/>
      <c r="O185" s="7"/>
      <c r="P185" s="7"/>
      <c r="Q185" s="8"/>
    </row>
    <row r="186" spans="14:17" x14ac:dyDescent="0.25">
      <c r="N186" s="6"/>
      <c r="O186" s="7"/>
      <c r="P186" s="7"/>
      <c r="Q186" s="8"/>
    </row>
    <row r="187" spans="14:17" x14ac:dyDescent="0.25">
      <c r="N187" s="6"/>
      <c r="O187" s="7"/>
      <c r="P187" s="7"/>
      <c r="Q187" s="8"/>
    </row>
    <row r="188" spans="14:17" x14ac:dyDescent="0.25">
      <c r="N188" s="6"/>
      <c r="O188" s="7"/>
      <c r="P188" s="7"/>
      <c r="Q188" s="8"/>
    </row>
    <row r="189" spans="14:17" x14ac:dyDescent="0.25">
      <c r="N189" s="6"/>
      <c r="O189" s="7"/>
      <c r="P189" s="7"/>
      <c r="Q189" s="8"/>
    </row>
    <row r="190" spans="14:17" x14ac:dyDescent="0.25">
      <c r="N190" s="6"/>
      <c r="O190" s="7"/>
      <c r="P190" s="7"/>
      <c r="Q190" s="8"/>
    </row>
    <row r="191" spans="14:17" x14ac:dyDescent="0.25">
      <c r="N191" s="6"/>
      <c r="O191" s="7"/>
      <c r="P191" s="7"/>
      <c r="Q191" s="8"/>
    </row>
    <row r="192" spans="14:17" x14ac:dyDescent="0.25">
      <c r="N192" s="6"/>
      <c r="O192" s="7"/>
      <c r="P192" s="7"/>
      <c r="Q192" s="8"/>
    </row>
    <row r="193" spans="14:17" x14ac:dyDescent="0.25">
      <c r="N193" s="6"/>
      <c r="O193" s="7"/>
      <c r="P193" s="7"/>
      <c r="Q193" s="8"/>
    </row>
    <row r="194" spans="14:17" x14ac:dyDescent="0.25">
      <c r="N194" s="6"/>
      <c r="O194" s="7"/>
      <c r="P194" s="7"/>
      <c r="Q194" s="8"/>
    </row>
    <row r="195" spans="14:17" x14ac:dyDescent="0.25">
      <c r="N195" s="6"/>
      <c r="O195" s="7"/>
      <c r="P195" s="7"/>
      <c r="Q195" s="8"/>
    </row>
    <row r="196" spans="14:17" x14ac:dyDescent="0.25">
      <c r="N196" s="6"/>
      <c r="O196" s="7"/>
      <c r="P196" s="7"/>
      <c r="Q196" s="8"/>
    </row>
    <row r="197" spans="14:17" x14ac:dyDescent="0.25">
      <c r="N197" s="6"/>
      <c r="O197" s="7"/>
      <c r="P197" s="7"/>
      <c r="Q197" s="8"/>
    </row>
    <row r="198" spans="14:17" x14ac:dyDescent="0.25">
      <c r="N198" s="6"/>
      <c r="O198" s="7"/>
      <c r="P198" s="7"/>
      <c r="Q198" s="8"/>
    </row>
    <row r="199" spans="14:17" x14ac:dyDescent="0.25">
      <c r="N199" s="6"/>
      <c r="O199" s="7"/>
      <c r="P199" s="7"/>
      <c r="Q199" s="8"/>
    </row>
    <row r="200" spans="14:17" x14ac:dyDescent="0.25">
      <c r="N200" s="6"/>
      <c r="O200" s="7"/>
      <c r="P200" s="7"/>
      <c r="Q200" s="8"/>
    </row>
    <row r="201" spans="14:17" x14ac:dyDescent="0.25">
      <c r="N201" s="6"/>
      <c r="O201" s="7"/>
      <c r="P201" s="7"/>
      <c r="Q201" s="8"/>
    </row>
    <row r="202" spans="14:17" x14ac:dyDescent="0.25">
      <c r="N202" s="6"/>
      <c r="O202" s="7"/>
      <c r="P202" s="7"/>
      <c r="Q202" s="8"/>
    </row>
    <row r="203" spans="14:17" x14ac:dyDescent="0.25">
      <c r="N203" s="6"/>
      <c r="O203" s="7"/>
      <c r="P203" s="7"/>
      <c r="Q203" s="8"/>
    </row>
    <row r="204" spans="14:17" x14ac:dyDescent="0.25">
      <c r="N204" s="6"/>
      <c r="O204" s="7"/>
      <c r="P204" s="7"/>
      <c r="Q204" s="8"/>
    </row>
    <row r="205" spans="14:17" x14ac:dyDescent="0.25">
      <c r="N205" s="6"/>
      <c r="O205" s="7"/>
      <c r="P205" s="7"/>
      <c r="Q205" s="8"/>
    </row>
    <row r="206" spans="14:17" x14ac:dyDescent="0.25">
      <c r="N206" s="6"/>
      <c r="O206" s="7"/>
      <c r="P206" s="7"/>
      <c r="Q206" s="8"/>
    </row>
    <row r="207" spans="14:17" x14ac:dyDescent="0.25">
      <c r="N207" s="6"/>
      <c r="O207" s="7"/>
      <c r="P207" s="7"/>
      <c r="Q207" s="8"/>
    </row>
    <row r="208" spans="14:17" x14ac:dyDescent="0.25">
      <c r="N208" s="6"/>
      <c r="O208" s="7"/>
      <c r="P208" s="7"/>
      <c r="Q208" s="8"/>
    </row>
    <row r="209" spans="14:17" x14ac:dyDescent="0.25">
      <c r="N209" s="6"/>
      <c r="O209" s="7"/>
      <c r="P209" s="7"/>
      <c r="Q209" s="8"/>
    </row>
    <row r="210" spans="14:17" x14ac:dyDescent="0.25">
      <c r="N210" s="6"/>
      <c r="O210" s="7"/>
      <c r="P210" s="7"/>
      <c r="Q210" s="8"/>
    </row>
    <row r="211" spans="14:17" x14ac:dyDescent="0.25">
      <c r="N211" s="6"/>
      <c r="O211" s="7"/>
      <c r="P211" s="7"/>
      <c r="Q211" s="8"/>
    </row>
    <row r="212" spans="14:17" x14ac:dyDescent="0.25">
      <c r="N212" s="6"/>
      <c r="O212" s="7"/>
      <c r="P212" s="7"/>
      <c r="Q212" s="8"/>
    </row>
    <row r="213" spans="14:17" x14ac:dyDescent="0.25">
      <c r="N213" s="6"/>
      <c r="O213" s="7"/>
      <c r="P213" s="7"/>
      <c r="Q213" s="8"/>
    </row>
    <row r="214" spans="14:17" x14ac:dyDescent="0.25">
      <c r="N214" s="6"/>
      <c r="O214" s="7"/>
      <c r="P214" s="7"/>
      <c r="Q214" s="8"/>
    </row>
    <row r="215" spans="14:17" x14ac:dyDescent="0.25">
      <c r="N215" s="6"/>
      <c r="O215" s="7"/>
      <c r="P215" s="7"/>
      <c r="Q215" s="8"/>
    </row>
    <row r="216" spans="14:17" x14ac:dyDescent="0.25">
      <c r="N216" s="6"/>
      <c r="O216" s="7"/>
      <c r="P216" s="7"/>
      <c r="Q216" s="8"/>
    </row>
    <row r="217" spans="14:17" x14ac:dyDescent="0.25">
      <c r="N217" s="6"/>
      <c r="O217" s="7"/>
      <c r="P217" s="7"/>
      <c r="Q217" s="8"/>
    </row>
    <row r="218" spans="14:17" x14ac:dyDescent="0.25">
      <c r="N218" s="6"/>
      <c r="O218" s="7"/>
      <c r="P218" s="7"/>
      <c r="Q218" s="8"/>
    </row>
    <row r="219" spans="14:17" x14ac:dyDescent="0.25">
      <c r="N219" s="6"/>
      <c r="O219" s="7"/>
      <c r="P219" s="7"/>
      <c r="Q219" s="8"/>
    </row>
    <row r="220" spans="14:17" x14ac:dyDescent="0.25">
      <c r="N220" s="6"/>
      <c r="O220" s="7"/>
      <c r="P220" s="7"/>
      <c r="Q220" s="8"/>
    </row>
    <row r="221" spans="14:17" x14ac:dyDescent="0.25">
      <c r="N221" s="6"/>
      <c r="O221" s="7"/>
      <c r="P221" s="7"/>
      <c r="Q221" s="8"/>
    </row>
    <row r="222" spans="14:17" x14ac:dyDescent="0.25">
      <c r="N222" s="6"/>
      <c r="O222" s="7"/>
      <c r="P222" s="7"/>
      <c r="Q222" s="8"/>
    </row>
    <row r="223" spans="14:17" x14ac:dyDescent="0.25">
      <c r="N223" s="6"/>
      <c r="O223" s="7"/>
      <c r="P223" s="7"/>
      <c r="Q223" s="8"/>
    </row>
    <row r="224" spans="14:17" x14ac:dyDescent="0.25">
      <c r="N224" s="6"/>
      <c r="O224" s="7"/>
      <c r="P224" s="7"/>
      <c r="Q224" s="8"/>
    </row>
    <row r="225" spans="14:17" x14ac:dyDescent="0.25">
      <c r="N225" s="6"/>
      <c r="O225" s="7"/>
      <c r="P225" s="7"/>
      <c r="Q225" s="8"/>
    </row>
    <row r="226" spans="14:17" x14ac:dyDescent="0.25">
      <c r="N226" s="6"/>
      <c r="O226" s="7"/>
      <c r="P226" s="7"/>
      <c r="Q226" s="8"/>
    </row>
    <row r="227" spans="14:17" x14ac:dyDescent="0.25">
      <c r="N227" s="6"/>
      <c r="O227" s="7"/>
      <c r="P227" s="7"/>
      <c r="Q227" s="8"/>
    </row>
    <row r="228" spans="14:17" x14ac:dyDescent="0.25">
      <c r="N228" s="6"/>
      <c r="O228" s="7"/>
      <c r="P228" s="7"/>
      <c r="Q228" s="8"/>
    </row>
    <row r="229" spans="14:17" x14ac:dyDescent="0.25">
      <c r="N229" s="6"/>
      <c r="O229" s="7"/>
      <c r="P229" s="7"/>
      <c r="Q229" s="8"/>
    </row>
    <row r="230" spans="14:17" x14ac:dyDescent="0.25">
      <c r="N230" s="6"/>
      <c r="O230" s="7"/>
      <c r="P230" s="7"/>
      <c r="Q230" s="8"/>
    </row>
    <row r="231" spans="14:17" x14ac:dyDescent="0.25">
      <c r="N231" s="6"/>
      <c r="O231" s="7"/>
      <c r="P231" s="7"/>
      <c r="Q231" s="8"/>
    </row>
    <row r="232" spans="14:17" x14ac:dyDescent="0.25">
      <c r="N232" s="6"/>
      <c r="O232" s="7"/>
      <c r="P232" s="7"/>
      <c r="Q232" s="8"/>
    </row>
    <row r="233" spans="14:17" x14ac:dyDescent="0.25">
      <c r="N233" s="6"/>
      <c r="O233" s="7"/>
      <c r="P233" s="7"/>
      <c r="Q233" s="8"/>
    </row>
    <row r="234" spans="14:17" x14ac:dyDescent="0.25">
      <c r="N234" s="6"/>
      <c r="O234" s="7"/>
      <c r="P234" s="7"/>
      <c r="Q234" s="8"/>
    </row>
    <row r="235" spans="14:17" x14ac:dyDescent="0.25">
      <c r="N235" s="6"/>
      <c r="O235" s="7"/>
      <c r="P235" s="7"/>
      <c r="Q235" s="8"/>
    </row>
    <row r="236" spans="14:17" x14ac:dyDescent="0.25">
      <c r="N236" s="6"/>
      <c r="O236" s="7"/>
      <c r="P236" s="7"/>
      <c r="Q236" s="8"/>
    </row>
    <row r="237" spans="14:17" x14ac:dyDescent="0.25">
      <c r="N237" s="6"/>
      <c r="O237" s="7"/>
      <c r="P237" s="7"/>
      <c r="Q237" s="8"/>
    </row>
    <row r="238" spans="14:17" x14ac:dyDescent="0.25">
      <c r="N238" s="6"/>
      <c r="O238" s="7"/>
      <c r="P238" s="7"/>
      <c r="Q238" s="8"/>
    </row>
    <row r="239" spans="14:17" x14ac:dyDescent="0.25">
      <c r="N239" s="6"/>
      <c r="O239" s="7"/>
      <c r="P239" s="7"/>
      <c r="Q239" s="8"/>
    </row>
    <row r="240" spans="14:17" x14ac:dyDescent="0.25">
      <c r="N240" s="6"/>
      <c r="O240" s="7"/>
      <c r="P240" s="7"/>
      <c r="Q240" s="8"/>
    </row>
    <row r="241" spans="14:17" x14ac:dyDescent="0.25">
      <c r="N241" s="6"/>
      <c r="O241" s="7"/>
      <c r="P241" s="7"/>
      <c r="Q241" s="8"/>
    </row>
    <row r="242" spans="14:17" x14ac:dyDescent="0.25">
      <c r="N242" s="6"/>
      <c r="O242" s="7"/>
      <c r="P242" s="7"/>
      <c r="Q242" s="8"/>
    </row>
    <row r="243" spans="14:17" x14ac:dyDescent="0.25">
      <c r="N243" s="6"/>
      <c r="O243" s="7"/>
      <c r="P243" s="7"/>
      <c r="Q243" s="8"/>
    </row>
    <row r="244" spans="14:17" x14ac:dyDescent="0.25">
      <c r="N244" s="6"/>
      <c r="O244" s="7"/>
      <c r="P244" s="7"/>
      <c r="Q244" s="8"/>
    </row>
    <row r="245" spans="14:17" x14ac:dyDescent="0.25">
      <c r="N245" s="6"/>
      <c r="O245" s="7"/>
      <c r="P245" s="7"/>
      <c r="Q245" s="8"/>
    </row>
    <row r="246" spans="14:17" x14ac:dyDescent="0.25">
      <c r="N246" s="6"/>
      <c r="O246" s="7"/>
      <c r="P246" s="7"/>
      <c r="Q246" s="8"/>
    </row>
    <row r="247" spans="14:17" x14ac:dyDescent="0.25">
      <c r="N247" s="6"/>
      <c r="O247" s="7"/>
      <c r="P247" s="7"/>
      <c r="Q247" s="8"/>
    </row>
    <row r="248" spans="14:17" x14ac:dyDescent="0.25">
      <c r="N248" s="6"/>
      <c r="O248" s="7"/>
      <c r="P248" s="7"/>
      <c r="Q248" s="8"/>
    </row>
    <row r="249" spans="14:17" x14ac:dyDescent="0.25">
      <c r="N249" s="6"/>
      <c r="O249" s="7"/>
      <c r="P249" s="7"/>
      <c r="Q249" s="8"/>
    </row>
    <row r="250" spans="14:17" x14ac:dyDescent="0.25">
      <c r="N250" s="6"/>
      <c r="O250" s="7"/>
      <c r="P250" s="7"/>
      <c r="Q250" s="8"/>
    </row>
    <row r="251" spans="14:17" x14ac:dyDescent="0.25">
      <c r="N251" s="6"/>
      <c r="O251" s="7"/>
      <c r="P251" s="7"/>
      <c r="Q251" s="8"/>
    </row>
    <row r="252" spans="14:17" x14ac:dyDescent="0.25">
      <c r="N252" s="6"/>
      <c r="O252" s="7"/>
      <c r="P252" s="7"/>
      <c r="Q252" s="8"/>
    </row>
    <row r="253" spans="14:17" x14ac:dyDescent="0.25">
      <c r="N253" s="6"/>
      <c r="O253" s="7"/>
      <c r="P253" s="7"/>
      <c r="Q253" s="8"/>
    </row>
    <row r="254" spans="14:17" x14ac:dyDescent="0.25">
      <c r="N254" s="6"/>
      <c r="O254" s="7"/>
      <c r="P254" s="7"/>
      <c r="Q254" s="8"/>
    </row>
    <row r="255" spans="14:17" x14ac:dyDescent="0.25">
      <c r="N255" s="6"/>
      <c r="O255" s="7"/>
      <c r="P255" s="7"/>
      <c r="Q255" s="8"/>
    </row>
    <row r="256" spans="14:17" x14ac:dyDescent="0.25">
      <c r="N256" s="6"/>
      <c r="O256" s="7"/>
      <c r="P256" s="7"/>
      <c r="Q256" s="8"/>
    </row>
    <row r="257" spans="14:17" x14ac:dyDescent="0.25">
      <c r="N257" s="6"/>
      <c r="O257" s="7"/>
      <c r="P257" s="7"/>
      <c r="Q257" s="8"/>
    </row>
    <row r="258" spans="14:17" x14ac:dyDescent="0.25">
      <c r="N258" s="6"/>
      <c r="O258" s="7"/>
      <c r="P258" s="7"/>
      <c r="Q258" s="8"/>
    </row>
    <row r="259" spans="14:17" x14ac:dyDescent="0.25">
      <c r="N259" s="6"/>
      <c r="O259" s="7"/>
      <c r="P259" s="7"/>
      <c r="Q259" s="8"/>
    </row>
    <row r="260" spans="14:17" x14ac:dyDescent="0.25">
      <c r="N260" s="6"/>
      <c r="O260" s="7"/>
      <c r="P260" s="7"/>
      <c r="Q260" s="8"/>
    </row>
    <row r="261" spans="14:17" x14ac:dyDescent="0.25">
      <c r="N261" s="6"/>
      <c r="O261" s="7"/>
      <c r="P261" s="7"/>
      <c r="Q261" s="8"/>
    </row>
    <row r="262" spans="14:17" x14ac:dyDescent="0.25">
      <c r="N262" s="6"/>
      <c r="O262" s="7"/>
      <c r="P262" s="7"/>
      <c r="Q262" s="8"/>
    </row>
    <row r="263" spans="14:17" x14ac:dyDescent="0.25">
      <c r="N263" s="6"/>
      <c r="O263" s="7"/>
      <c r="P263" s="7"/>
      <c r="Q263" s="8"/>
    </row>
    <row r="264" spans="14:17" x14ac:dyDescent="0.25">
      <c r="N264" s="6"/>
      <c r="O264" s="7"/>
      <c r="P264" s="7"/>
      <c r="Q264" s="8"/>
    </row>
    <row r="265" spans="14:17" x14ac:dyDescent="0.25">
      <c r="N265" s="6"/>
      <c r="O265" s="7"/>
      <c r="P265" s="7"/>
      <c r="Q265" s="8"/>
    </row>
    <row r="266" spans="14:17" x14ac:dyDescent="0.25">
      <c r="N266" s="6"/>
      <c r="O266" s="7"/>
      <c r="P266" s="7"/>
      <c r="Q266" s="8"/>
    </row>
    <row r="267" spans="14:17" x14ac:dyDescent="0.25">
      <c r="N267" s="6"/>
      <c r="O267" s="7"/>
      <c r="P267" s="7"/>
      <c r="Q267" s="8"/>
    </row>
    <row r="268" spans="14:17" x14ac:dyDescent="0.25">
      <c r="N268" s="6"/>
      <c r="O268" s="7"/>
      <c r="P268" s="7"/>
      <c r="Q268" s="8"/>
    </row>
    <row r="269" spans="14:17" x14ac:dyDescent="0.25">
      <c r="N269" s="6"/>
      <c r="O269" s="7"/>
      <c r="P269" s="7"/>
      <c r="Q269" s="8"/>
    </row>
    <row r="270" spans="14:17" x14ac:dyDescent="0.25">
      <c r="N270" s="6"/>
      <c r="O270" s="7"/>
      <c r="P270" s="7"/>
      <c r="Q270" s="8"/>
    </row>
    <row r="271" spans="14:17" x14ac:dyDescent="0.25">
      <c r="N271" s="6"/>
      <c r="O271" s="7"/>
      <c r="P271" s="7"/>
      <c r="Q271" s="8"/>
    </row>
    <row r="272" spans="14:17" x14ac:dyDescent="0.25">
      <c r="N272" s="6"/>
      <c r="O272" s="7"/>
      <c r="P272" s="7"/>
      <c r="Q272" s="8"/>
    </row>
    <row r="273" spans="14:17" x14ac:dyDescent="0.25">
      <c r="N273" s="6"/>
      <c r="O273" s="7"/>
      <c r="P273" s="7"/>
      <c r="Q273" s="8"/>
    </row>
    <row r="274" spans="14:17" x14ac:dyDescent="0.25">
      <c r="N274" s="6"/>
      <c r="O274" s="7"/>
      <c r="P274" s="7"/>
      <c r="Q274" s="8"/>
    </row>
    <row r="275" spans="14:17" x14ac:dyDescent="0.25">
      <c r="N275" s="6"/>
      <c r="O275" s="7"/>
      <c r="P275" s="7"/>
      <c r="Q275" s="8"/>
    </row>
    <row r="276" spans="14:17" x14ac:dyDescent="0.25">
      <c r="N276" s="6"/>
      <c r="O276" s="7"/>
      <c r="P276" s="7"/>
      <c r="Q276" s="8"/>
    </row>
    <row r="277" spans="14:17" x14ac:dyDescent="0.25">
      <c r="N277" s="6"/>
      <c r="O277" s="7"/>
      <c r="P277" s="7"/>
      <c r="Q277" s="8"/>
    </row>
    <row r="278" spans="14:17" x14ac:dyDescent="0.25">
      <c r="N278" s="6"/>
      <c r="O278" s="7"/>
      <c r="P278" s="7"/>
      <c r="Q278" s="8"/>
    </row>
    <row r="279" spans="14:17" x14ac:dyDescent="0.25">
      <c r="N279" s="6"/>
      <c r="O279" s="7"/>
      <c r="P279" s="7"/>
      <c r="Q279" s="8"/>
    </row>
    <row r="280" spans="14:17" x14ac:dyDescent="0.25">
      <c r="N280" s="6"/>
      <c r="O280" s="7"/>
      <c r="P280" s="7"/>
      <c r="Q280" s="8"/>
    </row>
    <row r="281" spans="14:17" x14ac:dyDescent="0.25">
      <c r="N281" s="6"/>
      <c r="O281" s="7"/>
      <c r="P281" s="7"/>
      <c r="Q281" s="8"/>
    </row>
    <row r="282" spans="14:17" x14ac:dyDescent="0.25">
      <c r="N282" s="6"/>
      <c r="O282" s="7"/>
      <c r="P282" s="7"/>
      <c r="Q282" s="8"/>
    </row>
    <row r="283" spans="14:17" x14ac:dyDescent="0.25">
      <c r="N283" s="6"/>
      <c r="O283" s="7"/>
      <c r="P283" s="7"/>
      <c r="Q283" s="8"/>
    </row>
    <row r="284" spans="14:17" x14ac:dyDescent="0.25">
      <c r="N284" s="6"/>
      <c r="O284" s="7"/>
      <c r="P284" s="7"/>
      <c r="Q284" s="8"/>
    </row>
    <row r="285" spans="14:17" x14ac:dyDescent="0.25">
      <c r="N285" s="6"/>
      <c r="O285" s="7"/>
      <c r="P285" s="7"/>
      <c r="Q285" s="8"/>
    </row>
    <row r="286" spans="14:17" x14ac:dyDescent="0.25">
      <c r="N286" s="6"/>
      <c r="O286" s="7"/>
      <c r="P286" s="7"/>
      <c r="Q286" s="8"/>
    </row>
    <row r="287" spans="14:17" x14ac:dyDescent="0.25">
      <c r="N287" s="6"/>
      <c r="O287" s="7"/>
      <c r="P287" s="7"/>
      <c r="Q287" s="8"/>
    </row>
    <row r="288" spans="14:17" x14ac:dyDescent="0.25">
      <c r="N288" s="6"/>
      <c r="O288" s="7"/>
      <c r="P288" s="7"/>
      <c r="Q288" s="8"/>
    </row>
    <row r="289" spans="14:17" x14ac:dyDescent="0.25">
      <c r="N289" s="6"/>
      <c r="O289" s="7"/>
      <c r="P289" s="7"/>
      <c r="Q289" s="8"/>
    </row>
    <row r="290" spans="14:17" x14ac:dyDescent="0.25">
      <c r="N290" s="6"/>
      <c r="O290" s="7"/>
      <c r="P290" s="7"/>
      <c r="Q290" s="8"/>
    </row>
    <row r="291" spans="14:17" x14ac:dyDescent="0.25">
      <c r="N291" s="6"/>
      <c r="O291" s="7"/>
      <c r="P291" s="7"/>
      <c r="Q291" s="8"/>
    </row>
    <row r="292" spans="14:17" x14ac:dyDescent="0.25">
      <c r="N292" s="6"/>
      <c r="O292" s="7"/>
      <c r="P292" s="7"/>
      <c r="Q292" s="8"/>
    </row>
    <row r="293" spans="14:17" x14ac:dyDescent="0.25">
      <c r="N293" s="6"/>
      <c r="O293" s="7"/>
      <c r="P293" s="7"/>
      <c r="Q293" s="8"/>
    </row>
    <row r="294" spans="14:17" x14ac:dyDescent="0.25">
      <c r="N294" s="6"/>
      <c r="O294" s="7"/>
      <c r="P294" s="7"/>
      <c r="Q294" s="8"/>
    </row>
    <row r="295" spans="14:17" x14ac:dyDescent="0.25">
      <c r="N295" s="6"/>
      <c r="O295" s="7"/>
      <c r="P295" s="7"/>
      <c r="Q295" s="8"/>
    </row>
    <row r="296" spans="14:17" x14ac:dyDescent="0.25">
      <c r="N296" s="6"/>
      <c r="O296" s="7"/>
      <c r="P296" s="7"/>
      <c r="Q296" s="8"/>
    </row>
    <row r="297" spans="14:17" x14ac:dyDescent="0.25">
      <c r="N297" s="6"/>
      <c r="O297" s="7"/>
      <c r="P297" s="7"/>
      <c r="Q297" s="8"/>
    </row>
    <row r="298" spans="14:17" x14ac:dyDescent="0.25">
      <c r="N298" s="6"/>
      <c r="O298" s="7"/>
      <c r="P298" s="7"/>
      <c r="Q298" s="8"/>
    </row>
    <row r="299" spans="14:17" x14ac:dyDescent="0.25">
      <c r="N299" s="6"/>
      <c r="O299" s="7"/>
      <c r="P299" s="7"/>
      <c r="Q299" s="8"/>
    </row>
    <row r="300" spans="14:17" x14ac:dyDescent="0.25">
      <c r="N300" s="6"/>
      <c r="O300" s="7"/>
      <c r="P300" s="7"/>
      <c r="Q300" s="8"/>
    </row>
    <row r="301" spans="14:17" x14ac:dyDescent="0.25">
      <c r="N301" s="6"/>
      <c r="O301" s="7"/>
      <c r="P301" s="7"/>
      <c r="Q301" s="8"/>
    </row>
    <row r="302" spans="14:17" x14ac:dyDescent="0.25">
      <c r="N302" s="6"/>
      <c r="O302" s="7"/>
      <c r="P302" s="7"/>
      <c r="Q302" s="8"/>
    </row>
    <row r="303" spans="14:17" x14ac:dyDescent="0.25">
      <c r="N303" s="6"/>
      <c r="O303" s="7"/>
      <c r="P303" s="7"/>
      <c r="Q303" s="8"/>
    </row>
    <row r="304" spans="14:17" x14ac:dyDescent="0.25">
      <c r="N304" s="6"/>
      <c r="O304" s="7"/>
      <c r="P304" s="7"/>
      <c r="Q304" s="8"/>
    </row>
    <row r="305" spans="14:17" x14ac:dyDescent="0.25">
      <c r="N305" s="6"/>
      <c r="O305" s="7"/>
      <c r="P305" s="7"/>
      <c r="Q305" s="8"/>
    </row>
    <row r="306" spans="14:17" x14ac:dyDescent="0.25">
      <c r="N306" s="6"/>
      <c r="O306" s="7"/>
      <c r="P306" s="7"/>
      <c r="Q306" s="8"/>
    </row>
    <row r="307" spans="14:17" x14ac:dyDescent="0.25">
      <c r="N307" s="6"/>
      <c r="O307" s="7"/>
      <c r="P307" s="7"/>
      <c r="Q307" s="8"/>
    </row>
    <row r="308" spans="14:17" x14ac:dyDescent="0.25">
      <c r="N308" s="6"/>
      <c r="O308" s="7"/>
      <c r="P308" s="7"/>
      <c r="Q308" s="8"/>
    </row>
    <row r="309" spans="14:17" x14ac:dyDescent="0.25">
      <c r="N309" s="6"/>
      <c r="O309" s="7"/>
      <c r="P309" s="7"/>
      <c r="Q309" s="8"/>
    </row>
    <row r="310" spans="14:17" x14ac:dyDescent="0.25">
      <c r="N310" s="6"/>
      <c r="O310" s="7"/>
      <c r="P310" s="7"/>
      <c r="Q310" s="8"/>
    </row>
    <row r="311" spans="14:17" x14ac:dyDescent="0.25">
      <c r="N311" s="6"/>
      <c r="O311" s="7"/>
      <c r="P311" s="7"/>
      <c r="Q311" s="8"/>
    </row>
    <row r="312" spans="14:17" x14ac:dyDescent="0.25">
      <c r="N312" s="6"/>
      <c r="O312" s="7"/>
      <c r="P312" s="7"/>
      <c r="Q312" s="8"/>
    </row>
    <row r="313" spans="14:17" x14ac:dyDescent="0.25">
      <c r="N313" s="6"/>
      <c r="O313" s="7"/>
      <c r="P313" s="7"/>
      <c r="Q313" s="8"/>
    </row>
    <row r="314" spans="14:17" x14ac:dyDescent="0.25">
      <c r="N314" s="6"/>
      <c r="O314" s="7"/>
      <c r="P314" s="7"/>
      <c r="Q314" s="8"/>
    </row>
    <row r="315" spans="14:17" x14ac:dyDescent="0.25">
      <c r="N315" s="6"/>
      <c r="O315" s="7"/>
      <c r="P315" s="7"/>
      <c r="Q315" s="8"/>
    </row>
    <row r="316" spans="14:17" x14ac:dyDescent="0.25">
      <c r="N316" s="6"/>
      <c r="O316" s="7"/>
      <c r="P316" s="7"/>
      <c r="Q316" s="8"/>
    </row>
    <row r="317" spans="14:17" x14ac:dyDescent="0.25">
      <c r="N317" s="6"/>
      <c r="O317" s="7"/>
      <c r="P317" s="7"/>
      <c r="Q317" s="8"/>
    </row>
    <row r="318" spans="14:17" x14ac:dyDescent="0.25">
      <c r="N318" s="6"/>
      <c r="O318" s="7"/>
      <c r="P318" s="7"/>
      <c r="Q318" s="8"/>
    </row>
    <row r="319" spans="14:17" x14ac:dyDescent="0.25">
      <c r="N319" s="6"/>
      <c r="O319" s="7"/>
      <c r="P319" s="7"/>
      <c r="Q319" s="8"/>
    </row>
    <row r="320" spans="14:17" x14ac:dyDescent="0.25">
      <c r="N320" s="6"/>
      <c r="O320" s="7"/>
      <c r="P320" s="7"/>
      <c r="Q320" s="8"/>
    </row>
    <row r="321" spans="14:17" x14ac:dyDescent="0.25">
      <c r="N321" s="6"/>
      <c r="O321" s="7"/>
      <c r="P321" s="7"/>
      <c r="Q321" s="8"/>
    </row>
    <row r="322" spans="14:17" x14ac:dyDescent="0.25">
      <c r="N322" s="6"/>
      <c r="O322" s="7"/>
      <c r="P322" s="7"/>
      <c r="Q322" s="8"/>
    </row>
    <row r="323" spans="14:17" x14ac:dyDescent="0.25">
      <c r="N323" s="6"/>
      <c r="O323" s="7"/>
      <c r="P323" s="7"/>
      <c r="Q323" s="8"/>
    </row>
    <row r="324" spans="14:17" x14ac:dyDescent="0.25">
      <c r="N324" s="6"/>
      <c r="O324" s="7"/>
      <c r="P324" s="7"/>
      <c r="Q324" s="8"/>
    </row>
    <row r="325" spans="14:17" x14ac:dyDescent="0.25">
      <c r="N325" s="6"/>
      <c r="O325" s="7"/>
      <c r="P325" s="7"/>
      <c r="Q325" s="8"/>
    </row>
    <row r="326" spans="14:17" x14ac:dyDescent="0.25">
      <c r="N326" s="6"/>
      <c r="O326" s="7"/>
      <c r="P326" s="7"/>
      <c r="Q326" s="8"/>
    </row>
    <row r="327" spans="14:17" x14ac:dyDescent="0.25">
      <c r="N327" s="6"/>
      <c r="O327" s="7"/>
      <c r="P327" s="7"/>
      <c r="Q327" s="8"/>
    </row>
    <row r="328" spans="14:17" x14ac:dyDescent="0.25">
      <c r="N328" s="6"/>
      <c r="O328" s="7"/>
      <c r="P328" s="7"/>
      <c r="Q328" s="8"/>
    </row>
    <row r="329" spans="14:17" x14ac:dyDescent="0.25">
      <c r="N329" s="6"/>
      <c r="O329" s="7"/>
      <c r="P329" s="7"/>
      <c r="Q329" s="8"/>
    </row>
    <row r="330" spans="14:17" x14ac:dyDescent="0.25">
      <c r="N330" s="6"/>
      <c r="O330" s="7"/>
      <c r="P330" s="7"/>
      <c r="Q330" s="8"/>
    </row>
    <row r="331" spans="14:17" x14ac:dyDescent="0.25">
      <c r="N331" s="6"/>
      <c r="O331" s="7"/>
      <c r="P331" s="7"/>
      <c r="Q331" s="8"/>
    </row>
    <row r="332" spans="14:17" x14ac:dyDescent="0.25">
      <c r="N332" s="6"/>
      <c r="O332" s="7"/>
      <c r="P332" s="7"/>
      <c r="Q332" s="8"/>
    </row>
    <row r="333" spans="14:17" x14ac:dyDescent="0.25">
      <c r="N333" s="6"/>
      <c r="O333" s="7"/>
      <c r="P333" s="7"/>
      <c r="Q333" s="8"/>
    </row>
    <row r="334" spans="14:17" x14ac:dyDescent="0.25">
      <c r="N334" s="6"/>
      <c r="O334" s="7"/>
      <c r="P334" s="7"/>
      <c r="Q334" s="8"/>
    </row>
    <row r="335" spans="14:17" x14ac:dyDescent="0.25">
      <c r="N335" s="6"/>
      <c r="O335" s="7"/>
      <c r="P335" s="7"/>
      <c r="Q335" s="8"/>
    </row>
    <row r="336" spans="14:17" x14ac:dyDescent="0.25">
      <c r="N336" s="6"/>
      <c r="O336" s="7"/>
      <c r="P336" s="7"/>
      <c r="Q336" s="8"/>
    </row>
    <row r="337" spans="14:17" x14ac:dyDescent="0.25">
      <c r="N337" s="6"/>
      <c r="O337" s="7"/>
      <c r="P337" s="7"/>
      <c r="Q337" s="8"/>
    </row>
    <row r="338" spans="14:17" x14ac:dyDescent="0.25">
      <c r="N338" s="6"/>
      <c r="O338" s="7"/>
      <c r="P338" s="7"/>
      <c r="Q338" s="8"/>
    </row>
    <row r="339" spans="14:17" x14ac:dyDescent="0.25">
      <c r="N339" s="6"/>
      <c r="O339" s="7"/>
      <c r="P339" s="7"/>
      <c r="Q339" s="8"/>
    </row>
    <row r="340" spans="14:17" x14ac:dyDescent="0.25">
      <c r="N340" s="6"/>
      <c r="O340" s="7"/>
      <c r="P340" s="7"/>
      <c r="Q340" s="8"/>
    </row>
    <row r="341" spans="14:17" x14ac:dyDescent="0.25">
      <c r="N341" s="6"/>
      <c r="O341" s="7"/>
      <c r="P341" s="7"/>
      <c r="Q341" s="8"/>
    </row>
    <row r="342" spans="14:17" x14ac:dyDescent="0.25">
      <c r="N342" s="6"/>
      <c r="O342" s="7"/>
      <c r="P342" s="7"/>
      <c r="Q342" s="8"/>
    </row>
    <row r="343" spans="14:17" x14ac:dyDescent="0.25">
      <c r="N343" s="6"/>
      <c r="O343" s="7"/>
      <c r="P343" s="7"/>
      <c r="Q343" s="8"/>
    </row>
    <row r="344" spans="14:17" x14ac:dyDescent="0.25">
      <c r="N344" s="6"/>
      <c r="O344" s="7"/>
      <c r="P344" s="7"/>
      <c r="Q344" s="8"/>
    </row>
    <row r="345" spans="14:17" x14ac:dyDescent="0.25">
      <c r="N345" s="6"/>
      <c r="O345" s="7"/>
      <c r="P345" s="7"/>
      <c r="Q345" s="8"/>
    </row>
    <row r="346" spans="14:17" x14ac:dyDescent="0.25">
      <c r="N346" s="6"/>
      <c r="O346" s="7"/>
      <c r="P346" s="7"/>
      <c r="Q346" s="8"/>
    </row>
    <row r="347" spans="14:17" x14ac:dyDescent="0.25">
      <c r="N347" s="6"/>
      <c r="O347" s="7"/>
      <c r="P347" s="7"/>
      <c r="Q347" s="8"/>
    </row>
    <row r="348" spans="14:17" x14ac:dyDescent="0.25">
      <c r="N348" s="6"/>
      <c r="O348" s="7"/>
      <c r="P348" s="7"/>
      <c r="Q348" s="8"/>
    </row>
    <row r="349" spans="14:17" x14ac:dyDescent="0.25">
      <c r="N349" s="6"/>
      <c r="O349" s="7"/>
      <c r="P349" s="7"/>
      <c r="Q349" s="8"/>
    </row>
    <row r="350" spans="14:17" x14ac:dyDescent="0.25">
      <c r="N350" s="6"/>
      <c r="O350" s="7"/>
      <c r="P350" s="7"/>
      <c r="Q350" s="8"/>
    </row>
    <row r="351" spans="14:17" x14ac:dyDescent="0.25">
      <c r="N351" s="6"/>
      <c r="O351" s="7"/>
      <c r="P351" s="7"/>
      <c r="Q351" s="8"/>
    </row>
    <row r="352" spans="14:17" x14ac:dyDescent="0.25">
      <c r="N352" s="6"/>
      <c r="O352" s="7"/>
      <c r="P352" s="7"/>
      <c r="Q352" s="8"/>
    </row>
    <row r="353" spans="14:17" x14ac:dyDescent="0.25">
      <c r="N353" s="6"/>
      <c r="O353" s="7"/>
      <c r="P353" s="7"/>
      <c r="Q353" s="8"/>
    </row>
    <row r="354" spans="14:17" x14ac:dyDescent="0.25">
      <c r="N354" s="6"/>
      <c r="O354" s="7"/>
      <c r="P354" s="7"/>
      <c r="Q354" s="8"/>
    </row>
    <row r="355" spans="14:17" x14ac:dyDescent="0.25">
      <c r="N355" s="6"/>
      <c r="O355" s="7"/>
      <c r="P355" s="7"/>
      <c r="Q355" s="8"/>
    </row>
    <row r="356" spans="14:17" x14ac:dyDescent="0.25">
      <c r="N356" s="6"/>
      <c r="O356" s="7"/>
      <c r="P356" s="7"/>
      <c r="Q356" s="8"/>
    </row>
    <row r="357" spans="14:17" x14ac:dyDescent="0.25">
      <c r="N357" s="6"/>
      <c r="O357" s="7"/>
      <c r="P357" s="7"/>
      <c r="Q357" s="8"/>
    </row>
    <row r="358" spans="14:17" x14ac:dyDescent="0.25">
      <c r="N358" s="6"/>
      <c r="O358" s="7"/>
      <c r="P358" s="7"/>
      <c r="Q358" s="8"/>
    </row>
    <row r="359" spans="14:17" x14ac:dyDescent="0.25">
      <c r="N359" s="6"/>
      <c r="O359" s="7"/>
      <c r="P359" s="7"/>
      <c r="Q359" s="8"/>
    </row>
    <row r="360" spans="14:17" x14ac:dyDescent="0.25">
      <c r="N360" s="6"/>
      <c r="O360" s="7"/>
      <c r="P360" s="7"/>
      <c r="Q360" s="8"/>
    </row>
    <row r="361" spans="14:17" x14ac:dyDescent="0.25">
      <c r="N361" s="6"/>
      <c r="O361" s="7"/>
      <c r="P361" s="7"/>
      <c r="Q361" s="8"/>
    </row>
    <row r="362" spans="14:17" x14ac:dyDescent="0.25">
      <c r="N362" s="6"/>
      <c r="O362" s="7"/>
      <c r="P362" s="7"/>
      <c r="Q362" s="8"/>
    </row>
    <row r="363" spans="14:17" x14ac:dyDescent="0.25">
      <c r="N363" s="6"/>
      <c r="O363" s="7"/>
      <c r="P363" s="7"/>
      <c r="Q363" s="8"/>
    </row>
    <row r="364" spans="14:17" x14ac:dyDescent="0.25">
      <c r="N364" s="6"/>
      <c r="O364" s="7"/>
      <c r="P364" s="7"/>
      <c r="Q364" s="8"/>
    </row>
    <row r="365" spans="14:17" x14ac:dyDescent="0.25">
      <c r="N365" s="6"/>
      <c r="O365" s="7"/>
      <c r="P365" s="7"/>
      <c r="Q365" s="8"/>
    </row>
    <row r="366" spans="14:17" x14ac:dyDescent="0.25">
      <c r="N366" s="6"/>
      <c r="O366" s="7"/>
      <c r="P366" s="7"/>
      <c r="Q366" s="8"/>
    </row>
    <row r="367" spans="14:17" x14ac:dyDescent="0.25">
      <c r="N367" s="7"/>
      <c r="O367" s="7"/>
      <c r="P367" s="7"/>
      <c r="Q367" s="7"/>
    </row>
    <row r="368" spans="14:17" x14ac:dyDescent="0.25">
      <c r="N368" s="7"/>
      <c r="O368" s="7"/>
      <c r="P368" s="7"/>
      <c r="Q368" s="7"/>
    </row>
  </sheetData>
  <dataConsolidate/>
  <mergeCells count="207">
    <mergeCell ref="B113:E113"/>
    <mergeCell ref="B120:E121"/>
    <mergeCell ref="F120:F121"/>
    <mergeCell ref="G120:G121"/>
    <mergeCell ref="H120:K121"/>
    <mergeCell ref="B114:E115"/>
    <mergeCell ref="G114:G115"/>
    <mergeCell ref="B116:E117"/>
    <mergeCell ref="H116:K117"/>
    <mergeCell ref="F116:F117"/>
    <mergeCell ref="B118:E119"/>
    <mergeCell ref="H118:K119"/>
    <mergeCell ref="F118:F119"/>
    <mergeCell ref="G116:G117"/>
    <mergeCell ref="G118:G119"/>
    <mergeCell ref="H114:K115"/>
    <mergeCell ref="F114:F115"/>
    <mergeCell ref="BD6:BD8"/>
    <mergeCell ref="BB9:BC9"/>
    <mergeCell ref="BB10:BC10"/>
    <mergeCell ref="BB11:BC11"/>
    <mergeCell ref="BF6:BF8"/>
    <mergeCell ref="F96:F97"/>
    <mergeCell ref="G96:G97"/>
    <mergeCell ref="H64:K64"/>
    <mergeCell ref="BB6:BC8"/>
    <mergeCell ref="G54:G55"/>
    <mergeCell ref="H54:K55"/>
    <mergeCell ref="F17:F18"/>
    <mergeCell ref="H21:K21"/>
    <mergeCell ref="H88:K88"/>
    <mergeCell ref="AZ6:AZ8"/>
    <mergeCell ref="AI6:AT6"/>
    <mergeCell ref="B8:E8"/>
    <mergeCell ref="B9:E9"/>
    <mergeCell ref="B10:E10"/>
    <mergeCell ref="B11:E11"/>
    <mergeCell ref="H80:K80"/>
    <mergeCell ref="H81:K81"/>
    <mergeCell ref="B69:E70"/>
    <mergeCell ref="F67:F68"/>
    <mergeCell ref="F69:F70"/>
    <mergeCell ref="G67:G68"/>
    <mergeCell ref="G69:G70"/>
    <mergeCell ref="H67:K68"/>
    <mergeCell ref="H69:K70"/>
    <mergeCell ref="B54:E55"/>
    <mergeCell ref="F54:F55"/>
    <mergeCell ref="BH6:BH8"/>
    <mergeCell ref="BG6:BG8"/>
    <mergeCell ref="B109:E111"/>
    <mergeCell ref="H109:K111"/>
    <mergeCell ref="F109:F111"/>
    <mergeCell ref="G109:G111"/>
    <mergeCell ref="G98:G99"/>
    <mergeCell ref="H98:K99"/>
    <mergeCell ref="B56:E57"/>
    <mergeCell ref="F56:F57"/>
    <mergeCell ref="G56:G57"/>
    <mergeCell ref="H56:K57"/>
    <mergeCell ref="B53:E53"/>
    <mergeCell ref="H51:K51"/>
    <mergeCell ref="H52:K52"/>
    <mergeCell ref="H102:K102"/>
    <mergeCell ref="B94:E95"/>
    <mergeCell ref="B96:E97"/>
    <mergeCell ref="B100:E100"/>
    <mergeCell ref="B101:E101"/>
    <mergeCell ref="B102:E102"/>
    <mergeCell ref="B62:E63"/>
    <mergeCell ref="F62:F63"/>
    <mergeCell ref="G62:G63"/>
    <mergeCell ref="H62:K63"/>
    <mergeCell ref="B67:E68"/>
    <mergeCell ref="B58:E59"/>
    <mergeCell ref="F58:F59"/>
    <mergeCell ref="G58:G59"/>
    <mergeCell ref="H58:K59"/>
    <mergeCell ref="B60:E61"/>
    <mergeCell ref="F60:F61"/>
    <mergeCell ref="G60:G61"/>
    <mergeCell ref="H60:K61"/>
    <mergeCell ref="B64:E64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24:E24"/>
    <mergeCell ref="B25:E25"/>
    <mergeCell ref="B33:E33"/>
    <mergeCell ref="B76:E77"/>
    <mergeCell ref="F76:F77"/>
    <mergeCell ref="G76:G77"/>
    <mergeCell ref="H76:K77"/>
    <mergeCell ref="G86:G87"/>
    <mergeCell ref="H86:K87"/>
    <mergeCell ref="H84:K84"/>
    <mergeCell ref="B84:E84"/>
    <mergeCell ref="B85:E85"/>
    <mergeCell ref="B86:E87"/>
    <mergeCell ref="F86:F87"/>
    <mergeCell ref="B82:E83"/>
    <mergeCell ref="F82:F83"/>
    <mergeCell ref="G82:G83"/>
    <mergeCell ref="H82:K83"/>
    <mergeCell ref="B72:E72"/>
    <mergeCell ref="B37:E37"/>
    <mergeCell ref="F37:G37"/>
    <mergeCell ref="B52:E52"/>
    <mergeCell ref="B51:E51"/>
    <mergeCell ref="B42:E42"/>
    <mergeCell ref="F38:G38"/>
    <mergeCell ref="B43:E43"/>
    <mergeCell ref="B44:E44"/>
    <mergeCell ref="B45:E45"/>
    <mergeCell ref="B46:E46"/>
    <mergeCell ref="B39:E39"/>
    <mergeCell ref="B50:H50"/>
    <mergeCell ref="B47:E47"/>
    <mergeCell ref="B48:E48"/>
    <mergeCell ref="B38:E38"/>
    <mergeCell ref="B40:E40"/>
    <mergeCell ref="B41:E41"/>
    <mergeCell ref="F39:G39"/>
    <mergeCell ref="B65:E66"/>
    <mergeCell ref="F65:F66"/>
    <mergeCell ref="G65:G66"/>
    <mergeCell ref="H65:K66"/>
    <mergeCell ref="N131:O131"/>
    <mergeCell ref="E132:H132"/>
    <mergeCell ref="E133:H133"/>
    <mergeCell ref="M123:R123"/>
    <mergeCell ref="B124:E124"/>
    <mergeCell ref="B125:E125"/>
    <mergeCell ref="E127:H127"/>
    <mergeCell ref="E128:H128"/>
    <mergeCell ref="E129:H129"/>
    <mergeCell ref="B122:E123"/>
    <mergeCell ref="F122:F123"/>
    <mergeCell ref="G122:G123"/>
    <mergeCell ref="H122:K123"/>
    <mergeCell ref="B112:E112"/>
    <mergeCell ref="B107:E107"/>
    <mergeCell ref="M107:R107"/>
    <mergeCell ref="B104:E104"/>
    <mergeCell ref="F94:F95"/>
    <mergeCell ref="G94:G95"/>
    <mergeCell ref="H94:K95"/>
    <mergeCell ref="B98:E99"/>
    <mergeCell ref="F98:F99"/>
    <mergeCell ref="B108:E108"/>
    <mergeCell ref="B105:H105"/>
    <mergeCell ref="B106:E106"/>
    <mergeCell ref="H106:K106"/>
    <mergeCell ref="H107:K107"/>
    <mergeCell ref="H112:K112"/>
    <mergeCell ref="E135:H135"/>
    <mergeCell ref="E134:H134"/>
    <mergeCell ref="E130:H130"/>
    <mergeCell ref="E131:H131"/>
    <mergeCell ref="H72:K72"/>
    <mergeCell ref="B73:E73"/>
    <mergeCell ref="H73:K73"/>
    <mergeCell ref="B74:E75"/>
    <mergeCell ref="F74:F75"/>
    <mergeCell ref="G74:G75"/>
    <mergeCell ref="H74:K75"/>
    <mergeCell ref="B80:E80"/>
    <mergeCell ref="B81:E81"/>
    <mergeCell ref="H90:K90"/>
    <mergeCell ref="H93:K93"/>
    <mergeCell ref="B90:E90"/>
    <mergeCell ref="B93:E93"/>
    <mergeCell ref="B91:E91"/>
    <mergeCell ref="B92:E92"/>
    <mergeCell ref="H85:K85"/>
    <mergeCell ref="H96:K97"/>
    <mergeCell ref="H100:K100"/>
    <mergeCell ref="H101:K101"/>
    <mergeCell ref="B88:E88"/>
    <mergeCell ref="AV6:AX8"/>
    <mergeCell ref="B15:E15"/>
    <mergeCell ref="B16:E16"/>
    <mergeCell ref="AG6:AG8"/>
    <mergeCell ref="AG10:AG12"/>
    <mergeCell ref="B17:E18"/>
    <mergeCell ref="B36:H36"/>
    <mergeCell ref="AM8:AN8"/>
    <mergeCell ref="AQ8:AR8"/>
    <mergeCell ref="AI7:AL7"/>
    <mergeCell ref="AM7:AP7"/>
    <mergeCell ref="AQ7:AT7"/>
    <mergeCell ref="AA6:AC8"/>
    <mergeCell ref="AD6:AF8"/>
    <mergeCell ref="N36:Q36"/>
    <mergeCell ref="B12:E12"/>
    <mergeCell ref="U6:U7"/>
    <mergeCell ref="V6:V7"/>
    <mergeCell ref="X6:Y8"/>
    <mergeCell ref="Z6:Z8"/>
    <mergeCell ref="B31:E31"/>
    <mergeCell ref="B32:E32"/>
  </mergeCells>
  <dataValidations count="5">
    <dataValidation allowBlank="1" showInputMessage="1" showErrorMessage="1" error="Seleccione tipo de celda o módulo del sedimentador de alta tasa" sqref="F40:F41 G40:G41" xr:uid="{00000000-0002-0000-0300-000006000000}"/>
    <dataValidation type="list" allowBlank="1" showInputMessage="1" showErrorMessage="1" sqref="Z15:AC15" xr:uid="{00000000-0002-0000-0300-00000B000000}">
      <formula1>Material</formula1>
    </dataValidation>
    <dataValidation type="list" allowBlank="1" showInputMessage="1" showErrorMessage="1" error="Seleccione tipo de celda o módulo del sedimentador de alta tasa" sqref="F38:G38" xr:uid="{00000000-0002-0000-0300-000001000000}">
      <formula1>$X$9:$X$12</formula1>
    </dataValidation>
    <dataValidation type="list" allowBlank="1" showInputMessage="1" showErrorMessage="1" error="Seleccione material de celda o módulo del sedimentador de alta tasa" sqref="F39:G39" xr:uid="{00000000-0002-0000-0300-00000C000000}">
      <formula1>IF(F38=$X$9,$AA$9,IF(F38=$X$10,$AA$10:$AC$10,IF(F38=$X$11,$AA$11:$AB$11,IF(F38=$X$12,$AA$12:$AB$12))))</formula1>
    </dataValidation>
    <dataValidation type="list" allowBlank="1" showInputMessage="1" showErrorMessage="1" error="Seleccione tipo de floc" sqref="F37:G37" xr:uid="{4544580B-31B1-4D04-A7E0-AC0CE9E6B35E}">
      <formula1>$AV$9:$AV$11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N473"/>
  <sheetViews>
    <sheetView tabSelected="1" topLeftCell="A313" zoomScale="90" zoomScaleNormal="90" workbookViewId="0">
      <selection activeCell="K318" sqref="K318"/>
    </sheetView>
  </sheetViews>
  <sheetFormatPr baseColWidth="10" defaultColWidth="11.42578125" defaultRowHeight="17.100000000000001" customHeight="1" x14ac:dyDescent="0.25"/>
  <cols>
    <col min="1" max="1" width="5.42578125" style="30" customWidth="1"/>
    <col min="2" max="2" width="12.85546875" style="30" customWidth="1"/>
    <col min="3" max="3" width="9" style="30" hidden="1" customWidth="1"/>
    <col min="4" max="4" width="10" style="30" hidden="1" customWidth="1"/>
    <col min="5" max="5" width="14.5703125" style="30" customWidth="1"/>
    <col min="6" max="6" width="14.7109375" style="30" customWidth="1"/>
    <col min="7" max="7" width="13.85546875" style="30" customWidth="1"/>
    <col min="8" max="8" width="14.5703125" style="30" customWidth="1"/>
    <col min="9" max="9" width="14.85546875" style="30" customWidth="1"/>
    <col min="10" max="11" width="13.85546875" style="30" customWidth="1"/>
    <col min="12" max="12" width="17.42578125" style="30" customWidth="1"/>
    <col min="13" max="15" width="13.85546875" style="30" customWidth="1"/>
    <col min="16" max="16" width="15.140625" style="30" customWidth="1"/>
    <col min="17" max="17" width="13.85546875" style="30" customWidth="1"/>
    <col min="18" max="18" width="15.28515625" style="30" customWidth="1"/>
    <col min="19" max="22" width="13.85546875" style="30" customWidth="1"/>
    <col min="23" max="23" width="15.7109375" style="30" customWidth="1"/>
    <col min="24" max="24" width="16.140625" style="30" customWidth="1"/>
    <col min="25" max="25" width="15.42578125" style="30" customWidth="1"/>
    <col min="26" max="26" width="12.7109375" style="30" customWidth="1"/>
    <col min="27" max="27" width="24.5703125" style="30" customWidth="1"/>
    <col min="28" max="28" width="32.28515625" style="30" customWidth="1"/>
    <col min="29" max="29" width="11.42578125" style="30"/>
    <col min="30" max="30" width="13.28515625" style="30" customWidth="1"/>
    <col min="31" max="32" width="11.42578125" style="30"/>
    <col min="33" max="33" width="14.5703125" style="30" customWidth="1"/>
    <col min="34" max="34" width="11.42578125" style="30"/>
    <col min="35" max="35" width="14.7109375" style="30" customWidth="1"/>
    <col min="36" max="45" width="12.7109375" style="30" customWidth="1"/>
    <col min="46" max="46" width="15.7109375" style="30" customWidth="1"/>
    <col min="47" max="47" width="11.42578125" style="30"/>
    <col min="48" max="48" width="13.28515625" style="30" customWidth="1"/>
    <col min="49" max="52" width="11.42578125" style="30"/>
    <col min="53" max="53" width="16.140625" style="30" customWidth="1"/>
    <col min="54" max="55" width="11.42578125" style="30"/>
    <col min="56" max="56" width="16.28515625" style="30" customWidth="1"/>
    <col min="57" max="57" width="11.42578125" style="30"/>
    <col min="58" max="58" width="13" style="30" bestFit="1" customWidth="1"/>
    <col min="59" max="59" width="14" style="30" customWidth="1"/>
    <col min="60" max="63" width="11.42578125" style="30"/>
    <col min="64" max="64" width="14.140625" style="30" customWidth="1"/>
    <col min="65" max="65" width="11.42578125" style="30"/>
    <col min="66" max="66" width="21.140625" style="30" customWidth="1"/>
    <col min="67" max="67" width="11.42578125" style="30"/>
    <col min="68" max="68" width="49.85546875" style="30" customWidth="1"/>
    <col min="69" max="69" width="15.28515625" style="30" customWidth="1"/>
    <col min="70" max="70" width="19.140625" style="30" customWidth="1"/>
    <col min="71" max="74" width="11.42578125" style="30"/>
    <col min="75" max="75" width="12.28515625" style="30" customWidth="1"/>
    <col min="76" max="78" width="11.42578125" style="30"/>
    <col min="79" max="79" width="13.140625" style="30" bestFit="1" customWidth="1"/>
    <col min="80" max="81" width="13.140625" style="30" customWidth="1"/>
    <col min="82" max="82" width="47.28515625" style="30" customWidth="1"/>
    <col min="83" max="86" width="11.42578125" style="30" customWidth="1"/>
    <col min="87" max="115" width="11.42578125" style="30"/>
    <col min="116" max="116" width="58.85546875" style="30" customWidth="1"/>
    <col min="117" max="16384" width="11.42578125" style="30"/>
  </cols>
  <sheetData>
    <row r="1" spans="1:118" ht="20.100000000000001" customHeight="1" x14ac:dyDescent="0.25">
      <c r="A1" s="5"/>
      <c r="B1" s="96"/>
      <c r="C1" s="96"/>
      <c r="D1" s="96"/>
      <c r="E1" s="96"/>
      <c r="F1" s="96"/>
      <c r="G1" s="96"/>
      <c r="H1" s="96"/>
      <c r="I1" s="96"/>
      <c r="J1" s="96"/>
      <c r="K1" s="96"/>
      <c r="X1" s="34"/>
    </row>
    <row r="2" spans="1:118" ht="20.100000000000001" customHeight="1" x14ac:dyDescent="0.25">
      <c r="A2" s="5"/>
      <c r="B2" s="929"/>
      <c r="C2" s="929"/>
      <c r="D2" s="929"/>
      <c r="E2" s="929"/>
      <c r="F2" s="97" t="s">
        <v>54</v>
      </c>
      <c r="G2" s="96"/>
      <c r="H2" s="96"/>
      <c r="I2" s="96"/>
      <c r="J2" s="96"/>
      <c r="K2" s="96"/>
      <c r="X2" s="34"/>
    </row>
    <row r="3" spans="1:118" ht="20.100000000000001" customHeight="1" x14ac:dyDescent="0.25">
      <c r="A3" s="5"/>
      <c r="B3" s="929"/>
      <c r="C3" s="929"/>
      <c r="D3" s="929"/>
      <c r="E3" s="929"/>
      <c r="F3" s="97" t="s">
        <v>55</v>
      </c>
      <c r="G3" s="96"/>
      <c r="H3" s="96"/>
      <c r="I3" s="96"/>
      <c r="J3" s="96"/>
      <c r="K3" s="96"/>
      <c r="X3" s="34"/>
    </row>
    <row r="4" spans="1:118" ht="20.100000000000001" customHeight="1" x14ac:dyDescent="0.25">
      <c r="A4" s="5"/>
      <c r="B4" s="929"/>
      <c r="C4" s="929"/>
      <c r="D4" s="929"/>
      <c r="E4" s="929"/>
      <c r="F4" s="97" t="s">
        <v>56</v>
      </c>
      <c r="G4" s="96"/>
      <c r="H4" s="96"/>
      <c r="I4" s="96"/>
      <c r="J4" s="96"/>
      <c r="K4" s="96"/>
      <c r="X4" s="34"/>
      <c r="AS4" s="55"/>
      <c r="AT4" s="55"/>
      <c r="BL4" s="133"/>
      <c r="BN4" s="80"/>
      <c r="BP4" s="80"/>
      <c r="BQ4" s="80"/>
      <c r="BR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</row>
    <row r="5" spans="1:118" ht="20.100000000000001" customHeight="1" x14ac:dyDescent="0.25">
      <c r="A5" s="5"/>
      <c r="B5" s="929"/>
      <c r="C5" s="929"/>
      <c r="D5" s="929"/>
      <c r="E5" s="929"/>
      <c r="F5" s="97" t="s">
        <v>183</v>
      </c>
      <c r="G5" s="96"/>
      <c r="H5" s="96"/>
      <c r="I5" s="96"/>
      <c r="J5" s="96"/>
      <c r="K5" s="96"/>
      <c r="X5" s="34"/>
      <c r="AD5" s="341" t="s">
        <v>126</v>
      </c>
      <c r="AE5" s="342" t="s">
        <v>181</v>
      </c>
      <c r="AF5" s="653" t="s">
        <v>129</v>
      </c>
      <c r="AG5" s="653" t="s">
        <v>127</v>
      </c>
      <c r="AI5" s="959" t="s">
        <v>224</v>
      </c>
      <c r="AJ5" s="959"/>
      <c r="AK5" s="230"/>
      <c r="AL5" s="667" t="s">
        <v>411</v>
      </c>
      <c r="AM5" s="667" t="s">
        <v>418</v>
      </c>
      <c r="AN5" s="667" t="s">
        <v>419</v>
      </c>
      <c r="AO5" s="667" t="s">
        <v>474</v>
      </c>
      <c r="AP5" s="667" t="s">
        <v>475</v>
      </c>
      <c r="AQ5" s="667" t="s">
        <v>417</v>
      </c>
      <c r="AR5" s="277"/>
      <c r="AS5" s="960" t="s">
        <v>78</v>
      </c>
      <c r="AT5" s="960" t="s">
        <v>79</v>
      </c>
      <c r="AU5" s="84"/>
      <c r="AV5" s="667" t="s">
        <v>253</v>
      </c>
      <c r="AW5" s="667" t="s">
        <v>252</v>
      </c>
      <c r="AX5" s="250"/>
      <c r="AY5" s="667" t="s">
        <v>461</v>
      </c>
      <c r="AZ5" s="116"/>
      <c r="BA5" s="667" t="s">
        <v>257</v>
      </c>
      <c r="BB5" s="667" t="s">
        <v>258</v>
      </c>
      <c r="BC5" s="84"/>
      <c r="BD5" s="667" t="s">
        <v>256</v>
      </c>
      <c r="BE5" s="84"/>
      <c r="BF5" s="667" t="s">
        <v>254</v>
      </c>
      <c r="BG5" s="667" t="s">
        <v>255</v>
      </c>
      <c r="BH5" s="667" t="s">
        <v>263</v>
      </c>
      <c r="BI5" s="202"/>
      <c r="BJ5" s="667" t="s">
        <v>356</v>
      </c>
      <c r="BK5" s="34"/>
      <c r="BL5" s="667" t="s">
        <v>268</v>
      </c>
      <c r="BN5" s="754" t="s">
        <v>270</v>
      </c>
      <c r="BP5" s="958" t="s">
        <v>307</v>
      </c>
      <c r="BQ5" s="958" t="s">
        <v>286</v>
      </c>
      <c r="BR5" s="958" t="s">
        <v>287</v>
      </c>
      <c r="BT5" s="667" t="s">
        <v>279</v>
      </c>
      <c r="BU5" s="667" t="s">
        <v>290</v>
      </c>
      <c r="BV5" s="667" t="s">
        <v>297</v>
      </c>
      <c r="BW5" s="667" t="s">
        <v>296</v>
      </c>
      <c r="BX5" s="667" t="s">
        <v>285</v>
      </c>
      <c r="BY5" s="667" t="s">
        <v>291</v>
      </c>
      <c r="BZ5" s="667" t="s">
        <v>284</v>
      </c>
      <c r="CA5" s="667" t="s">
        <v>294</v>
      </c>
      <c r="CB5" s="171"/>
      <c r="CC5" s="142"/>
      <c r="CD5" s="667" t="s">
        <v>295</v>
      </c>
      <c r="CE5" s="667" t="s">
        <v>338</v>
      </c>
      <c r="CF5" s="667" t="s">
        <v>339</v>
      </c>
      <c r="CG5" s="667" t="s">
        <v>343</v>
      </c>
      <c r="CH5" s="667"/>
      <c r="CI5" s="667"/>
      <c r="CJ5" s="667"/>
      <c r="CK5" s="667"/>
      <c r="CL5" s="667"/>
      <c r="CM5" s="667"/>
      <c r="CN5" s="667"/>
      <c r="CO5" s="667"/>
      <c r="CP5" s="667"/>
      <c r="CQ5" s="667"/>
      <c r="CR5" s="667"/>
      <c r="CS5" s="667"/>
      <c r="CT5" s="667"/>
      <c r="CU5" s="667"/>
      <c r="CV5" s="667"/>
      <c r="CW5" s="667"/>
      <c r="CX5" s="667"/>
      <c r="CY5" s="667"/>
      <c r="CZ5" s="667"/>
      <c r="DA5" s="667"/>
      <c r="DB5" s="667"/>
      <c r="DC5" s="667"/>
      <c r="DD5" s="667"/>
      <c r="DE5" s="667"/>
      <c r="DF5" s="667"/>
      <c r="DG5" s="667"/>
      <c r="DH5" s="667"/>
      <c r="DI5" s="667"/>
      <c r="DJ5" s="667"/>
      <c r="DL5" s="218"/>
      <c r="DN5" s="667" t="s">
        <v>393</v>
      </c>
    </row>
    <row r="6" spans="1:118" ht="20.100000000000001" customHeight="1" x14ac:dyDescent="0.25">
      <c r="B6" s="96"/>
      <c r="C6" s="96"/>
      <c r="D6" s="96"/>
      <c r="E6" s="96"/>
      <c r="F6" s="96"/>
      <c r="G6" s="96"/>
      <c r="H6" s="96"/>
      <c r="I6" s="96"/>
      <c r="J6" s="96"/>
      <c r="K6" s="96"/>
      <c r="X6" s="959" t="s">
        <v>194</v>
      </c>
      <c r="Y6" s="959"/>
      <c r="Z6" s="959"/>
      <c r="AA6" s="959"/>
      <c r="AB6" s="959"/>
      <c r="AD6" s="343" t="s">
        <v>132</v>
      </c>
      <c r="AE6" s="343" t="s">
        <v>131</v>
      </c>
      <c r="AF6" s="654"/>
      <c r="AG6" s="654"/>
      <c r="AI6" s="959"/>
      <c r="AJ6" s="959"/>
      <c r="AK6" s="230"/>
      <c r="AL6" s="667"/>
      <c r="AM6" s="667"/>
      <c r="AN6" s="667"/>
      <c r="AO6" s="667"/>
      <c r="AP6" s="667"/>
      <c r="AQ6" s="667"/>
      <c r="AR6" s="277"/>
      <c r="AS6" s="961"/>
      <c r="AT6" s="961"/>
      <c r="AU6" s="87"/>
      <c r="AV6" s="667"/>
      <c r="AW6" s="667"/>
      <c r="AX6" s="250"/>
      <c r="AY6" s="667"/>
      <c r="AZ6" s="116"/>
      <c r="BA6" s="667"/>
      <c r="BB6" s="667"/>
      <c r="BC6" s="84"/>
      <c r="BD6" s="667"/>
      <c r="BE6" s="84"/>
      <c r="BF6" s="667"/>
      <c r="BG6" s="667"/>
      <c r="BH6" s="667"/>
      <c r="BI6" s="202"/>
      <c r="BJ6" s="667"/>
      <c r="BK6" s="34"/>
      <c r="BL6" s="667"/>
      <c r="BN6" s="755"/>
      <c r="BP6" s="958"/>
      <c r="BQ6" s="958"/>
      <c r="BR6" s="958"/>
      <c r="BT6" s="667"/>
      <c r="BU6" s="667"/>
      <c r="BV6" s="667"/>
      <c r="BW6" s="667"/>
      <c r="BX6" s="667"/>
      <c r="BY6" s="667"/>
      <c r="BZ6" s="667"/>
      <c r="CA6" s="667"/>
      <c r="CB6" s="171"/>
      <c r="CC6" s="142"/>
      <c r="CD6" s="667"/>
      <c r="CE6" s="667"/>
      <c r="CF6" s="667"/>
      <c r="CG6" s="971" t="s">
        <v>290</v>
      </c>
      <c r="CH6" s="972"/>
      <c r="CI6" s="972"/>
      <c r="CJ6" s="972"/>
      <c r="CK6" s="972"/>
      <c r="CL6" s="972"/>
      <c r="CM6" s="972"/>
      <c r="CN6" s="972"/>
      <c r="CO6" s="972"/>
      <c r="CP6" s="972"/>
      <c r="CQ6" s="972"/>
      <c r="CR6" s="972"/>
      <c r="CS6" s="972"/>
      <c r="CT6" s="972"/>
      <c r="CU6" s="972"/>
      <c r="CV6" s="973"/>
      <c r="CW6" s="971" t="s">
        <v>342</v>
      </c>
      <c r="CX6" s="972"/>
      <c r="CY6" s="972"/>
      <c r="CZ6" s="972"/>
      <c r="DA6" s="972"/>
      <c r="DB6" s="972"/>
      <c r="DC6" s="972"/>
      <c r="DD6" s="972"/>
      <c r="DE6" s="972"/>
      <c r="DF6" s="972"/>
      <c r="DG6" s="972"/>
      <c r="DH6" s="972"/>
      <c r="DI6" s="972"/>
      <c r="DJ6" s="973"/>
      <c r="DL6" s="754" t="s">
        <v>364</v>
      </c>
      <c r="DN6" s="667"/>
    </row>
    <row r="7" spans="1:118" ht="20.100000000000001" customHeight="1" x14ac:dyDescent="0.25">
      <c r="B7" s="22" t="s">
        <v>176</v>
      </c>
      <c r="C7" s="93"/>
      <c r="D7" s="93"/>
      <c r="E7" s="93"/>
      <c r="F7" s="93"/>
      <c r="G7" s="93"/>
      <c r="H7" s="50"/>
      <c r="I7" s="50"/>
      <c r="J7" s="96"/>
      <c r="K7" s="96"/>
      <c r="X7" s="959"/>
      <c r="Y7" s="959"/>
      <c r="Z7" s="959"/>
      <c r="AA7" s="959"/>
      <c r="AB7" s="959"/>
      <c r="AC7" s="34"/>
      <c r="AD7" s="344" t="s">
        <v>128</v>
      </c>
      <c r="AE7" s="344" t="s">
        <v>133</v>
      </c>
      <c r="AF7" s="345" t="s">
        <v>130</v>
      </c>
      <c r="AG7" s="344" t="s">
        <v>134</v>
      </c>
      <c r="AH7" s="34"/>
      <c r="AI7" s="959"/>
      <c r="AJ7" s="959"/>
      <c r="AK7" s="230"/>
      <c r="AL7" s="667"/>
      <c r="AM7" s="667"/>
      <c r="AN7" s="667"/>
      <c r="AO7" s="667"/>
      <c r="AP7" s="667"/>
      <c r="AQ7" s="667"/>
      <c r="AR7" s="277"/>
      <c r="AS7" s="962"/>
      <c r="AT7" s="962"/>
      <c r="AU7" s="87"/>
      <c r="AV7" s="667"/>
      <c r="AW7" s="667"/>
      <c r="AX7" s="250"/>
      <c r="AY7" s="667"/>
      <c r="AZ7" s="116"/>
      <c r="BA7" s="667"/>
      <c r="BB7" s="667"/>
      <c r="BC7" s="84"/>
      <c r="BD7" s="667"/>
      <c r="BE7" s="84"/>
      <c r="BF7" s="667"/>
      <c r="BG7" s="667"/>
      <c r="BH7" s="667"/>
      <c r="BI7" s="202"/>
      <c r="BJ7" s="667"/>
      <c r="BK7" s="34"/>
      <c r="BL7" s="667"/>
      <c r="BN7" s="756"/>
      <c r="BP7" s="958"/>
      <c r="BQ7" s="958"/>
      <c r="BR7" s="958"/>
      <c r="BT7" s="667"/>
      <c r="BU7" s="667"/>
      <c r="BV7" s="667"/>
      <c r="BW7" s="667"/>
      <c r="BX7" s="667"/>
      <c r="BY7" s="667"/>
      <c r="BZ7" s="667"/>
      <c r="CA7" s="667"/>
      <c r="CB7" s="171"/>
      <c r="CC7" s="193">
        <v>1</v>
      </c>
      <c r="CD7" s="667"/>
      <c r="CE7" s="667"/>
      <c r="CF7" s="667"/>
      <c r="CG7" s="296">
        <v>150</v>
      </c>
      <c r="CH7" s="296">
        <v>160</v>
      </c>
      <c r="CI7" s="296">
        <v>200</v>
      </c>
      <c r="CJ7" s="297">
        <v>250</v>
      </c>
      <c r="CK7" s="297">
        <v>300</v>
      </c>
      <c r="CL7" s="297">
        <v>315</v>
      </c>
      <c r="CM7" s="297">
        <v>350</v>
      </c>
      <c r="CN7" s="297">
        <v>355</v>
      </c>
      <c r="CO7" s="297">
        <v>400</v>
      </c>
      <c r="CP7" s="297">
        <v>450</v>
      </c>
      <c r="CQ7" s="297">
        <v>500</v>
      </c>
      <c r="CR7" s="297">
        <v>600</v>
      </c>
      <c r="CS7" s="297">
        <v>700</v>
      </c>
      <c r="CT7" s="297">
        <v>800</v>
      </c>
      <c r="CU7" s="297">
        <v>900</v>
      </c>
      <c r="CV7" s="297">
        <v>1000</v>
      </c>
      <c r="CW7" s="296">
        <v>6</v>
      </c>
      <c r="CX7" s="296">
        <v>8</v>
      </c>
      <c r="CY7" s="296">
        <v>10</v>
      </c>
      <c r="CZ7" s="296">
        <v>12</v>
      </c>
      <c r="DA7" s="296">
        <v>14</v>
      </c>
      <c r="DB7" s="296">
        <v>16</v>
      </c>
      <c r="DC7" s="296">
        <v>18</v>
      </c>
      <c r="DD7" s="296">
        <v>20</v>
      </c>
      <c r="DE7" s="296">
        <v>24</v>
      </c>
      <c r="DF7" s="296">
        <v>28</v>
      </c>
      <c r="DG7" s="296">
        <v>32</v>
      </c>
      <c r="DH7" s="296">
        <v>34</v>
      </c>
      <c r="DI7" s="296">
        <v>36</v>
      </c>
      <c r="DJ7" s="296">
        <v>40</v>
      </c>
      <c r="DL7" s="756"/>
      <c r="DN7" s="667"/>
    </row>
    <row r="8" spans="1:118" ht="20.100000000000001" customHeight="1" x14ac:dyDescent="0.25">
      <c r="B8" s="752" t="s">
        <v>177</v>
      </c>
      <c r="C8" s="752"/>
      <c r="D8" s="752"/>
      <c r="E8" s="752"/>
      <c r="F8" s="752"/>
      <c r="G8" s="752"/>
      <c r="H8" s="106" t="s">
        <v>179</v>
      </c>
      <c r="I8" s="255"/>
      <c r="J8" s="96"/>
      <c r="K8" s="96"/>
      <c r="X8" s="948" t="s">
        <v>184</v>
      </c>
      <c r="Y8" s="949"/>
      <c r="Z8" s="950"/>
      <c r="AA8" s="304" t="s">
        <v>182</v>
      </c>
      <c r="AB8" s="304" t="s">
        <v>207</v>
      </c>
      <c r="AC8" s="7"/>
      <c r="AD8" s="346" t="s">
        <v>137</v>
      </c>
      <c r="AE8" s="347"/>
      <c r="AF8" s="348"/>
      <c r="AG8" s="349"/>
      <c r="AH8" s="7"/>
      <c r="AI8" s="327" t="s">
        <v>226</v>
      </c>
      <c r="AJ8" s="328"/>
      <c r="AK8" s="7"/>
      <c r="AL8" s="304"/>
      <c r="AM8" s="304"/>
      <c r="AN8" s="304"/>
      <c r="AO8" s="304"/>
      <c r="AP8" s="304"/>
      <c r="AQ8" s="304"/>
      <c r="AR8" s="7"/>
      <c r="AS8" s="339">
        <v>140</v>
      </c>
      <c r="AT8" s="340">
        <v>0.105</v>
      </c>
      <c r="AU8" s="7"/>
      <c r="AV8" s="326"/>
      <c r="AW8" s="326"/>
      <c r="AX8" s="117"/>
      <c r="AY8" s="326"/>
      <c r="AZ8" s="117"/>
      <c r="BA8" s="326"/>
      <c r="BB8" s="324"/>
      <c r="BC8" s="84"/>
      <c r="BD8" s="325"/>
      <c r="BE8" s="84"/>
      <c r="BF8" s="63"/>
      <c r="BG8" s="324"/>
      <c r="BH8" s="324"/>
      <c r="BI8" s="113"/>
      <c r="BJ8" s="324"/>
      <c r="BK8" s="125"/>
      <c r="BL8" s="63"/>
      <c r="BN8" s="295"/>
      <c r="BP8" s="354"/>
      <c r="BQ8" s="354"/>
      <c r="BR8" s="354"/>
      <c r="BS8" s="30">
        <v>8</v>
      </c>
      <c r="BT8" s="904" t="str">
        <f>BP9</f>
        <v>Acero al carbono API 5L SCH-40</v>
      </c>
      <c r="BU8" s="905"/>
      <c r="BV8" s="905"/>
      <c r="BW8" s="905"/>
      <c r="BX8" s="905"/>
      <c r="BY8" s="905"/>
      <c r="BZ8" s="905"/>
      <c r="CA8" s="906"/>
      <c r="CB8" s="199">
        <v>8</v>
      </c>
      <c r="CC8" s="193">
        <v>2</v>
      </c>
      <c r="CD8" s="63"/>
      <c r="CE8" s="63"/>
      <c r="CF8" s="63"/>
      <c r="CG8" s="63"/>
      <c r="CH8" s="63"/>
      <c r="CI8" s="294"/>
      <c r="CJ8" s="294"/>
      <c r="CK8" s="294"/>
      <c r="CL8" s="294"/>
      <c r="CM8" s="294"/>
      <c r="CN8" s="294"/>
      <c r="CO8" s="294"/>
      <c r="CP8" s="294"/>
      <c r="CQ8" s="294"/>
      <c r="CR8" s="294"/>
      <c r="CS8" s="294"/>
      <c r="CT8" s="294"/>
      <c r="CU8" s="294"/>
      <c r="CV8" s="294"/>
      <c r="CW8" s="63"/>
      <c r="CX8" s="294"/>
      <c r="CY8" s="294"/>
      <c r="CZ8" s="294"/>
      <c r="DA8" s="294"/>
      <c r="DB8" s="294"/>
      <c r="DC8" s="294"/>
      <c r="DD8" s="294"/>
      <c r="DE8" s="294"/>
      <c r="DF8" s="294"/>
      <c r="DG8" s="294"/>
      <c r="DH8" s="294"/>
      <c r="DI8" s="294"/>
      <c r="DJ8" s="294"/>
      <c r="DL8" s="295" t="s">
        <v>362</v>
      </c>
      <c r="DN8" s="294">
        <v>0.1</v>
      </c>
    </row>
    <row r="9" spans="1:118" ht="20.100000000000001" customHeight="1" x14ac:dyDescent="0.25">
      <c r="B9" s="752" t="s">
        <v>178</v>
      </c>
      <c r="C9" s="752"/>
      <c r="D9" s="752"/>
      <c r="E9" s="752"/>
      <c r="F9" s="752"/>
      <c r="G9" s="752"/>
      <c r="H9" s="106" t="s">
        <v>180</v>
      </c>
      <c r="I9" s="255"/>
      <c r="J9" s="96"/>
      <c r="K9" s="96"/>
      <c r="X9" s="948" t="s">
        <v>185</v>
      </c>
      <c r="Y9" s="949"/>
      <c r="Z9" s="950"/>
      <c r="AA9" s="304" t="s">
        <v>195</v>
      </c>
      <c r="AB9" s="304" t="s">
        <v>208</v>
      </c>
      <c r="AC9" s="7"/>
      <c r="AD9" s="346">
        <v>0</v>
      </c>
      <c r="AE9" s="347">
        <v>999.82</v>
      </c>
      <c r="AF9" s="350">
        <v>1.792E-3</v>
      </c>
      <c r="AG9" s="349">
        <f t="shared" ref="AG9:AG44" si="0">AF9/AE9</f>
        <v>1.7923226180712527E-6</v>
      </c>
      <c r="AH9" s="7"/>
      <c r="AI9" s="327" t="s">
        <v>18</v>
      </c>
      <c r="AJ9" s="328"/>
      <c r="AK9" s="7"/>
      <c r="AL9" s="304" t="s">
        <v>412</v>
      </c>
      <c r="AM9" s="294">
        <v>0.73</v>
      </c>
      <c r="AN9" s="294">
        <v>0.73</v>
      </c>
      <c r="AO9" s="294">
        <v>0.81</v>
      </c>
      <c r="AP9" s="294">
        <v>7.7</v>
      </c>
      <c r="AQ9" s="310">
        <v>6.9</v>
      </c>
      <c r="AR9" s="42"/>
      <c r="AS9" s="339">
        <v>100</v>
      </c>
      <c r="AT9" s="340">
        <v>0.14899999999999999</v>
      </c>
      <c r="AU9" s="7"/>
      <c r="AV9" s="326">
        <v>0.25</v>
      </c>
      <c r="AW9" s="324">
        <f>PI()*((AV9*0.0254)^2)/4</f>
        <v>3.1669217443593606E-5</v>
      </c>
      <c r="AX9" s="113"/>
      <c r="AY9" s="299">
        <v>0.75</v>
      </c>
      <c r="AZ9" s="113"/>
      <c r="BA9" s="326">
        <v>1.5</v>
      </c>
      <c r="BB9" s="324">
        <f>PI()*((BA9*0.0254)^2)/4</f>
        <v>1.1400918279693697E-3</v>
      </c>
      <c r="BC9" s="84"/>
      <c r="BD9" s="299">
        <v>0.2</v>
      </c>
      <c r="BE9" s="84"/>
      <c r="BF9" s="63" t="s">
        <v>242</v>
      </c>
      <c r="BG9" s="324">
        <f>(6*0.0254)^2</f>
        <v>2.3225759999999995E-2</v>
      </c>
      <c r="BH9" s="324">
        <f>6*0.0254</f>
        <v>0.15239999999999998</v>
      </c>
      <c r="BI9" s="113"/>
      <c r="BJ9" s="294">
        <v>0.6</v>
      </c>
      <c r="BK9" s="125"/>
      <c r="BL9" s="63">
        <v>10</v>
      </c>
      <c r="BN9" s="295">
        <v>36</v>
      </c>
      <c r="BO9" s="30">
        <v>9</v>
      </c>
      <c r="BP9" s="355" t="s">
        <v>282</v>
      </c>
      <c r="BQ9" s="356">
        <v>0.15</v>
      </c>
      <c r="BR9" s="351">
        <v>140</v>
      </c>
      <c r="BS9" s="30">
        <v>9</v>
      </c>
      <c r="BT9" s="63"/>
      <c r="BU9" s="63"/>
      <c r="BV9" s="63"/>
      <c r="BW9" s="63"/>
      <c r="BX9" s="63"/>
      <c r="BY9" s="63"/>
      <c r="BZ9" s="63"/>
      <c r="CA9" s="63"/>
      <c r="CB9" s="199">
        <v>9</v>
      </c>
      <c r="CC9" s="193">
        <v>3</v>
      </c>
      <c r="CD9" s="295" t="s">
        <v>299</v>
      </c>
      <c r="CE9" s="63">
        <v>1</v>
      </c>
      <c r="CF9" s="63">
        <v>1</v>
      </c>
      <c r="CG9" s="63">
        <v>0.12</v>
      </c>
      <c r="CH9" s="63">
        <v>0.12</v>
      </c>
      <c r="CI9" s="294">
        <v>0.11</v>
      </c>
      <c r="CJ9" s="294">
        <v>0.11</v>
      </c>
      <c r="CK9" s="294">
        <v>0.1</v>
      </c>
      <c r="CL9" s="294">
        <v>0.1</v>
      </c>
      <c r="CM9" s="294">
        <v>0.1</v>
      </c>
      <c r="CN9" s="294">
        <v>0.1</v>
      </c>
      <c r="CO9" s="294">
        <v>0.1</v>
      </c>
      <c r="CP9" s="294">
        <v>0.1</v>
      </c>
      <c r="CQ9" s="294">
        <v>0.1</v>
      </c>
      <c r="CR9" s="294">
        <v>0.1</v>
      </c>
      <c r="CS9" s="294">
        <v>0.1</v>
      </c>
      <c r="CT9" s="294">
        <v>0.1</v>
      </c>
      <c r="CU9" s="294">
        <v>0.1</v>
      </c>
      <c r="CV9" s="294">
        <v>0.1</v>
      </c>
      <c r="CW9" s="63">
        <f>CG9</f>
        <v>0.12</v>
      </c>
      <c r="CX9" s="294">
        <f>CI9</f>
        <v>0.11</v>
      </c>
      <c r="CY9" s="294">
        <f>CJ9</f>
        <v>0.11</v>
      </c>
      <c r="CZ9" s="294">
        <f>CK9</f>
        <v>0.1</v>
      </c>
      <c r="DA9" s="294">
        <f>CM9</f>
        <v>0.1</v>
      </c>
      <c r="DB9" s="294">
        <f t="shared" ref="DB9:DG9" si="1">CO9</f>
        <v>0.1</v>
      </c>
      <c r="DC9" s="294">
        <f t="shared" si="1"/>
        <v>0.1</v>
      </c>
      <c r="DD9" s="294">
        <f t="shared" si="1"/>
        <v>0.1</v>
      </c>
      <c r="DE9" s="294">
        <f t="shared" si="1"/>
        <v>0.1</v>
      </c>
      <c r="DF9" s="294">
        <f t="shared" si="1"/>
        <v>0.1</v>
      </c>
      <c r="DG9" s="294">
        <f t="shared" si="1"/>
        <v>0.1</v>
      </c>
      <c r="DH9" s="294">
        <v>0.1</v>
      </c>
      <c r="DI9" s="294">
        <f t="shared" ref="DI9:DI23" si="2">CU9</f>
        <v>0.1</v>
      </c>
      <c r="DJ9" s="294">
        <f t="shared" ref="DJ9:DJ23" si="3">CV9</f>
        <v>0.1</v>
      </c>
      <c r="DL9" s="295" t="s">
        <v>363</v>
      </c>
      <c r="DN9" s="294">
        <v>0.15</v>
      </c>
    </row>
    <row r="10" spans="1:118" ht="20.100000000000001" customHeight="1" x14ac:dyDescent="0.25">
      <c r="B10" s="752" t="s">
        <v>173</v>
      </c>
      <c r="C10" s="752"/>
      <c r="D10" s="752"/>
      <c r="E10" s="752"/>
      <c r="F10" s="752"/>
      <c r="G10" s="752"/>
      <c r="H10" s="106" t="s">
        <v>174</v>
      </c>
      <c r="I10" s="106" t="s">
        <v>161</v>
      </c>
      <c r="J10" s="96"/>
      <c r="K10" s="96"/>
      <c r="X10" s="948" t="s">
        <v>186</v>
      </c>
      <c r="Y10" s="949"/>
      <c r="Z10" s="950"/>
      <c r="AA10" s="304" t="s">
        <v>196</v>
      </c>
      <c r="AB10" s="304" t="s">
        <v>209</v>
      </c>
      <c r="AC10" s="7"/>
      <c r="AD10" s="351">
        <v>1</v>
      </c>
      <c r="AE10" s="352">
        <v>999.89</v>
      </c>
      <c r="AF10" s="353">
        <v>1.7310000000000001E-3</v>
      </c>
      <c r="AG10" s="349">
        <f t="shared" si="0"/>
        <v>1.7311904309474043E-6</v>
      </c>
      <c r="AH10" s="7"/>
      <c r="AI10" s="327" t="s">
        <v>225</v>
      </c>
      <c r="AJ10" s="328"/>
      <c r="AK10" s="7"/>
      <c r="AL10" s="304" t="s">
        <v>413</v>
      </c>
      <c r="AM10" s="294"/>
      <c r="AN10" s="294"/>
      <c r="AO10" s="294">
        <v>0.85</v>
      </c>
      <c r="AP10" s="294"/>
      <c r="AQ10" s="310">
        <v>6.2</v>
      </c>
      <c r="AR10" s="42"/>
      <c r="AS10" s="339">
        <v>80</v>
      </c>
      <c r="AT10" s="340">
        <v>0.17699999999999999</v>
      </c>
      <c r="AU10" s="61"/>
      <c r="AV10" s="326">
        <v>0.375</v>
      </c>
      <c r="AW10" s="324">
        <f>PI()*((AV10*0.0254)^2)/4</f>
        <v>7.1255739248085606E-5</v>
      </c>
      <c r="AX10" s="113"/>
      <c r="AY10" s="299">
        <v>0.1</v>
      </c>
      <c r="AZ10" s="113"/>
      <c r="BA10" s="298">
        <v>2</v>
      </c>
      <c r="BB10" s="324">
        <f>PI()*((BA10*0.0254)^2)/4</f>
        <v>2.0268299163899908E-3</v>
      </c>
      <c r="BC10" s="84"/>
      <c r="BD10" s="299">
        <v>0.25</v>
      </c>
      <c r="BE10" s="84"/>
      <c r="BF10" s="63" t="s">
        <v>243</v>
      </c>
      <c r="BG10" s="324">
        <f>(8*0.0254)^2</f>
        <v>4.1290239999999999E-2</v>
      </c>
      <c r="BH10" s="324">
        <f>8*0.0254</f>
        <v>0.20319999999999999</v>
      </c>
      <c r="BI10" s="113"/>
      <c r="BJ10" s="113"/>
      <c r="BK10" s="125"/>
      <c r="BL10" s="63">
        <v>11</v>
      </c>
      <c r="BN10" s="34"/>
      <c r="BO10" s="30">
        <v>10</v>
      </c>
      <c r="BP10" s="355" t="s">
        <v>283</v>
      </c>
      <c r="BQ10" s="356">
        <v>0.15</v>
      </c>
      <c r="BR10" s="351">
        <v>140</v>
      </c>
      <c r="BS10" s="30">
        <v>10</v>
      </c>
      <c r="BT10" s="63">
        <v>6</v>
      </c>
      <c r="BU10" s="63">
        <f>IF(BT10=6,150,IF(BT10=8,200,IF(BT10=10,250,IF(BT10=12,300,IF(BT10=14,350,IF(BT10=16,400,IF(BT10=18,450,IF(BT10=20,500,IF(BT10=22,550,IF(BT10=24,600,IF(BT10=32,800,IF(BT10=34,850,IF(BT10=36,900)))))))))))))</f>
        <v>150</v>
      </c>
      <c r="BV10" s="299">
        <v>6.625</v>
      </c>
      <c r="BW10" s="299"/>
      <c r="BX10" s="299">
        <v>0.28000000000000003</v>
      </c>
      <c r="BY10" s="299"/>
      <c r="BZ10" s="299">
        <f>ROUND((BV10-(2*BX10))*0.0254,3)</f>
        <v>0.154</v>
      </c>
      <c r="CA10" s="301">
        <f t="shared" ref="CA10:CA18" si="4">ROUND(BV10/BX10,0)</f>
        <v>24</v>
      </c>
      <c r="CB10" s="199">
        <v>10</v>
      </c>
      <c r="CC10" s="193">
        <v>4</v>
      </c>
      <c r="CD10" s="295"/>
      <c r="CE10" s="63"/>
      <c r="CF10" s="298"/>
      <c r="CG10" s="298"/>
      <c r="CH10" s="298"/>
      <c r="CI10" s="294"/>
      <c r="CJ10" s="294"/>
      <c r="CK10" s="294"/>
      <c r="CL10" s="294"/>
      <c r="CM10" s="294"/>
      <c r="CN10" s="294"/>
      <c r="CO10" s="294"/>
      <c r="CP10" s="294"/>
      <c r="CQ10" s="294"/>
      <c r="CR10" s="294"/>
      <c r="CS10" s="294"/>
      <c r="CT10" s="294"/>
      <c r="CU10" s="294"/>
      <c r="CV10" s="294"/>
      <c r="CW10" s="63"/>
      <c r="CX10" s="294"/>
      <c r="CY10" s="294"/>
      <c r="CZ10" s="294"/>
      <c r="DA10" s="294"/>
      <c r="DB10" s="294"/>
      <c r="DC10" s="294"/>
      <c r="DD10" s="294"/>
      <c r="DE10" s="294"/>
      <c r="DF10" s="294"/>
      <c r="DG10" s="294"/>
      <c r="DH10" s="294"/>
      <c r="DI10" s="294"/>
      <c r="DJ10" s="294"/>
      <c r="DL10" s="34"/>
      <c r="DN10" s="294">
        <v>0.2</v>
      </c>
    </row>
    <row r="11" spans="1:118" ht="20.100000000000001" customHeight="1" x14ac:dyDescent="0.25">
      <c r="B11" s="752" t="s">
        <v>172</v>
      </c>
      <c r="C11" s="752"/>
      <c r="D11" s="752"/>
      <c r="E11" s="752"/>
      <c r="F11" s="752"/>
      <c r="G11" s="752"/>
      <c r="H11" s="106" t="s">
        <v>171</v>
      </c>
      <c r="I11" s="106" t="s">
        <v>161</v>
      </c>
      <c r="J11" s="93"/>
      <c r="K11" s="108"/>
      <c r="X11" s="948" t="s">
        <v>222</v>
      </c>
      <c r="Y11" s="949"/>
      <c r="Z11" s="950"/>
      <c r="AA11" s="329">
        <v>120</v>
      </c>
      <c r="AB11" s="329" t="s">
        <v>210</v>
      </c>
      <c r="AC11" s="7"/>
      <c r="AD11" s="351">
        <v>2</v>
      </c>
      <c r="AE11" s="352">
        <v>999.94</v>
      </c>
      <c r="AF11" s="353">
        <v>1.673E-3</v>
      </c>
      <c r="AG11" s="349">
        <f t="shared" si="0"/>
        <v>1.6731003860231613E-6</v>
      </c>
      <c r="AH11" s="7"/>
      <c r="AI11" s="7"/>
      <c r="AJ11" s="7"/>
      <c r="AK11" s="7"/>
      <c r="AL11" s="304" t="s">
        <v>414</v>
      </c>
      <c r="AM11" s="294">
        <v>0.75</v>
      </c>
      <c r="AN11" s="294">
        <v>0.75</v>
      </c>
      <c r="AO11" s="294">
        <v>0.89</v>
      </c>
      <c r="AP11" s="294">
        <v>6.4</v>
      </c>
      <c r="AQ11" s="310">
        <v>5.7</v>
      </c>
      <c r="AR11" s="42"/>
      <c r="AS11" s="339">
        <v>70</v>
      </c>
      <c r="AT11" s="340">
        <v>0.21</v>
      </c>
      <c r="AU11" s="7"/>
      <c r="AV11" s="326">
        <v>0.5</v>
      </c>
      <c r="AW11" s="324">
        <f>PI()*((AV11*0.0254)^2)/4</f>
        <v>1.2667686977437442E-4</v>
      </c>
      <c r="AX11" s="113"/>
      <c r="AY11" s="299">
        <v>0.125</v>
      </c>
      <c r="AZ11" s="113"/>
      <c r="BA11" s="326">
        <v>2.5</v>
      </c>
      <c r="BB11" s="324">
        <f>PI()*((BA11*0.0254)^2)/4</f>
        <v>3.1669217443593611E-3</v>
      </c>
      <c r="BC11" s="84"/>
      <c r="BD11" s="299">
        <v>0.3</v>
      </c>
      <c r="BE11" s="84"/>
      <c r="BF11" s="63" t="s">
        <v>244</v>
      </c>
      <c r="BG11" s="324">
        <f>(10*0.0254)^2</f>
        <v>6.4516000000000004E-2</v>
      </c>
      <c r="BH11" s="324">
        <f>10*0.0254</f>
        <v>0.254</v>
      </c>
      <c r="BI11" s="113"/>
      <c r="BJ11" s="113"/>
      <c r="BK11" s="125"/>
      <c r="BL11" s="63">
        <v>12</v>
      </c>
      <c r="BN11" s="34"/>
      <c r="BO11" s="30">
        <v>11</v>
      </c>
      <c r="BP11" s="355" t="s">
        <v>288</v>
      </c>
      <c r="BQ11" s="356">
        <v>0.25</v>
      </c>
      <c r="BR11" s="351">
        <v>140</v>
      </c>
      <c r="BS11" s="30">
        <v>11</v>
      </c>
      <c r="BT11" s="63">
        <v>8</v>
      </c>
      <c r="BU11" s="63">
        <f t="shared" ref="BU11:BU18" si="5">IF(BT11=6,150,IF(BT11=8,200,IF(BT11=10,250,IF(BT11=12,300,IF(BT11=14,350,IF(BT11=16,400,IF(BT11=18,450,IF(BT11=20,500,IF(BT11=22,550,IF(BT11=24,600,IF(BT11=32,800,IF(BT11=34,850,IF(BT11=36,900)))))))))))))</f>
        <v>200</v>
      </c>
      <c r="BV11" s="299">
        <v>8.625</v>
      </c>
      <c r="BW11" s="299"/>
      <c r="BX11" s="299">
        <v>0.32200000000000001</v>
      </c>
      <c r="BY11" s="299"/>
      <c r="BZ11" s="299">
        <f>ROUND((BV11-(2*BX11))*0.0254,3)</f>
        <v>0.20300000000000001</v>
      </c>
      <c r="CA11" s="301">
        <f t="shared" si="4"/>
        <v>27</v>
      </c>
      <c r="CB11" s="199">
        <v>11</v>
      </c>
      <c r="CC11" s="193">
        <v>5</v>
      </c>
      <c r="CD11" s="295" t="s">
        <v>298</v>
      </c>
      <c r="CE11" s="63">
        <v>1</v>
      </c>
      <c r="CF11" s="298">
        <v>4</v>
      </c>
      <c r="CG11" s="294">
        <v>0.3</v>
      </c>
      <c r="CH11" s="294">
        <v>0.3</v>
      </c>
      <c r="CI11" s="294">
        <v>0.28000000000000003</v>
      </c>
      <c r="CJ11" s="294">
        <v>0.28000000000000003</v>
      </c>
      <c r="CK11" s="294">
        <v>0.26</v>
      </c>
      <c r="CL11" s="294">
        <v>0.26</v>
      </c>
      <c r="CM11" s="294">
        <v>0.26</v>
      </c>
      <c r="CN11" s="294">
        <v>0.26</v>
      </c>
      <c r="CO11" s="294">
        <v>0.26</v>
      </c>
      <c r="CP11" s="294">
        <v>0.24</v>
      </c>
      <c r="CQ11" s="294">
        <v>0.24</v>
      </c>
      <c r="CR11" s="294">
        <v>0.24</v>
      </c>
      <c r="CS11" s="294">
        <v>0.22</v>
      </c>
      <c r="CT11" s="294">
        <v>0.22</v>
      </c>
      <c r="CU11" s="294">
        <v>0.22</v>
      </c>
      <c r="CV11" s="294">
        <v>0.22</v>
      </c>
      <c r="CW11" s="63">
        <f>CG11</f>
        <v>0.3</v>
      </c>
      <c r="CX11" s="294">
        <f t="shared" ref="CX11:CZ12" si="6">CI11</f>
        <v>0.28000000000000003</v>
      </c>
      <c r="CY11" s="294">
        <f t="shared" si="6"/>
        <v>0.28000000000000003</v>
      </c>
      <c r="CZ11" s="294">
        <f t="shared" si="6"/>
        <v>0.26</v>
      </c>
      <c r="DA11" s="294">
        <f>CM11</f>
        <v>0.26</v>
      </c>
      <c r="DB11" s="294">
        <f t="shared" ref="DB11:DG12" si="7">CO11</f>
        <v>0.26</v>
      </c>
      <c r="DC11" s="294">
        <f t="shared" si="7"/>
        <v>0.24</v>
      </c>
      <c r="DD11" s="294">
        <f t="shared" si="7"/>
        <v>0.24</v>
      </c>
      <c r="DE11" s="294">
        <f t="shared" si="7"/>
        <v>0.24</v>
      </c>
      <c r="DF11" s="294">
        <f t="shared" si="7"/>
        <v>0.22</v>
      </c>
      <c r="DG11" s="294">
        <f t="shared" si="7"/>
        <v>0.22</v>
      </c>
      <c r="DH11" s="294">
        <v>0.22</v>
      </c>
      <c r="DI11" s="294">
        <f t="shared" si="2"/>
        <v>0.22</v>
      </c>
      <c r="DJ11" s="294">
        <f t="shared" si="3"/>
        <v>0.22</v>
      </c>
      <c r="DN11" s="294">
        <v>0.25</v>
      </c>
    </row>
    <row r="12" spans="1:118" ht="20.100000000000001" customHeight="1" x14ac:dyDescent="0.25">
      <c r="B12" s="752" t="s">
        <v>175</v>
      </c>
      <c r="C12" s="752"/>
      <c r="D12" s="752"/>
      <c r="E12" s="752"/>
      <c r="F12" s="752"/>
      <c r="G12" s="752"/>
      <c r="H12" s="106" t="s">
        <v>215</v>
      </c>
      <c r="I12" s="106" t="s">
        <v>161</v>
      </c>
      <c r="J12" s="93"/>
      <c r="K12" s="108"/>
      <c r="X12" s="948" t="s">
        <v>223</v>
      </c>
      <c r="Y12" s="949"/>
      <c r="Z12" s="950"/>
      <c r="AA12" s="329">
        <v>150</v>
      </c>
      <c r="AB12" s="330">
        <v>480</v>
      </c>
      <c r="AC12" s="7"/>
      <c r="AD12" s="351">
        <v>3</v>
      </c>
      <c r="AE12" s="352">
        <v>999.98</v>
      </c>
      <c r="AF12" s="353">
        <v>1.619E-3</v>
      </c>
      <c r="AG12" s="349">
        <f t="shared" si="0"/>
        <v>1.6190323806476128E-6</v>
      </c>
      <c r="AH12" s="7"/>
      <c r="AI12" s="7"/>
      <c r="AJ12" s="7"/>
      <c r="AK12" s="7"/>
      <c r="AL12" s="304" t="s">
        <v>415</v>
      </c>
      <c r="AM12" s="294">
        <v>0.82</v>
      </c>
      <c r="AN12" s="294">
        <v>0.82</v>
      </c>
      <c r="AO12" s="294">
        <v>0.91</v>
      </c>
      <c r="AP12" s="294">
        <v>6.1</v>
      </c>
      <c r="AQ12" s="310">
        <v>5.5</v>
      </c>
      <c r="AR12" s="42"/>
      <c r="AS12" s="339">
        <v>60</v>
      </c>
      <c r="AT12" s="340">
        <v>0.25</v>
      </c>
      <c r="AU12" s="7"/>
      <c r="AV12" s="326">
        <v>0.625</v>
      </c>
      <c r="AW12" s="324">
        <f>PI()*((AV12*0.0254)^2)/4</f>
        <v>1.9793260902246007E-4</v>
      </c>
      <c r="AX12" s="113"/>
      <c r="AY12" s="299">
        <v>0.15</v>
      </c>
      <c r="AZ12" s="113"/>
      <c r="BA12" s="298">
        <v>3</v>
      </c>
      <c r="BB12" s="324">
        <f>PI()*((BA12*0.0254)^2)/4</f>
        <v>4.5603673118774788E-3</v>
      </c>
      <c r="BC12" s="84"/>
      <c r="BD12" s="84"/>
      <c r="BE12" s="84"/>
      <c r="BF12" s="63" t="s">
        <v>245</v>
      </c>
      <c r="BG12" s="324">
        <f>(12*0.0254)^2</f>
        <v>9.2903039999999978E-2</v>
      </c>
      <c r="BH12" s="324">
        <f>12*0.0254</f>
        <v>0.30479999999999996</v>
      </c>
      <c r="BI12" s="113"/>
      <c r="BJ12" s="113"/>
      <c r="BK12" s="125"/>
      <c r="BL12" s="63">
        <v>13</v>
      </c>
      <c r="BO12" s="30">
        <v>12</v>
      </c>
      <c r="BP12" s="355" t="s">
        <v>289</v>
      </c>
      <c r="BQ12" s="356">
        <v>0.25</v>
      </c>
      <c r="BR12" s="351">
        <v>140</v>
      </c>
      <c r="BS12" s="30">
        <v>12</v>
      </c>
      <c r="BT12" s="63">
        <v>10</v>
      </c>
      <c r="BU12" s="63">
        <f t="shared" si="5"/>
        <v>250</v>
      </c>
      <c r="BV12" s="299">
        <v>10.75</v>
      </c>
      <c r="BW12" s="299"/>
      <c r="BX12" s="299">
        <v>0.36499999999999999</v>
      </c>
      <c r="BY12" s="299"/>
      <c r="BZ12" s="299">
        <f t="shared" ref="BZ12:BZ18" si="8">ROUND((BV12-(2*BX12))*0.0254,3)</f>
        <v>0.255</v>
      </c>
      <c r="CA12" s="301">
        <f t="shared" si="4"/>
        <v>29</v>
      </c>
      <c r="CB12" s="199">
        <v>12</v>
      </c>
      <c r="CC12" s="193">
        <v>6</v>
      </c>
      <c r="CD12" s="295" t="s">
        <v>305</v>
      </c>
      <c r="CE12" s="63">
        <v>1</v>
      </c>
      <c r="CF12" s="298">
        <v>4</v>
      </c>
      <c r="CG12" s="299">
        <v>0.18</v>
      </c>
      <c r="CH12" s="299">
        <v>0.17799999999999999</v>
      </c>
      <c r="CI12" s="300">
        <v>0.16800000000000001</v>
      </c>
      <c r="CJ12" s="300">
        <v>0.16800000000000001</v>
      </c>
      <c r="CK12" s="300">
        <v>0.156</v>
      </c>
      <c r="CL12" s="300">
        <v>0.156</v>
      </c>
      <c r="CM12" s="300">
        <v>0.156</v>
      </c>
      <c r="CN12" s="300">
        <v>0.156</v>
      </c>
      <c r="CO12" s="300">
        <v>0.156</v>
      </c>
      <c r="CP12" s="300">
        <v>0.14399999999999999</v>
      </c>
      <c r="CQ12" s="300">
        <v>0.14399999999999999</v>
      </c>
      <c r="CR12" s="300">
        <v>0.14399999999999999</v>
      </c>
      <c r="CS12" s="300">
        <v>0.13200000000000001</v>
      </c>
      <c r="CT12" s="300">
        <v>0.13200000000000001</v>
      </c>
      <c r="CU12" s="300">
        <v>0.13200000000000001</v>
      </c>
      <c r="CV12" s="300">
        <v>0.13200000000000001</v>
      </c>
      <c r="CW12" s="63">
        <f>CG12</f>
        <v>0.18</v>
      </c>
      <c r="CX12" s="294">
        <f t="shared" si="6"/>
        <v>0.16800000000000001</v>
      </c>
      <c r="CY12" s="294">
        <f t="shared" si="6"/>
        <v>0.16800000000000001</v>
      </c>
      <c r="CZ12" s="294">
        <f t="shared" si="6"/>
        <v>0.156</v>
      </c>
      <c r="DA12" s="294">
        <f>CM12</f>
        <v>0.156</v>
      </c>
      <c r="DB12" s="294">
        <f t="shared" si="7"/>
        <v>0.156</v>
      </c>
      <c r="DC12" s="294">
        <f t="shared" si="7"/>
        <v>0.14399999999999999</v>
      </c>
      <c r="DD12" s="294">
        <f t="shared" si="7"/>
        <v>0.14399999999999999</v>
      </c>
      <c r="DE12" s="294">
        <f t="shared" si="7"/>
        <v>0.14399999999999999</v>
      </c>
      <c r="DF12" s="294">
        <f t="shared" si="7"/>
        <v>0.13200000000000001</v>
      </c>
      <c r="DG12" s="294">
        <f t="shared" si="7"/>
        <v>0.13200000000000001</v>
      </c>
      <c r="DH12" s="294">
        <v>0.13200000000000001</v>
      </c>
      <c r="DI12" s="294">
        <f t="shared" si="2"/>
        <v>0.13200000000000001</v>
      </c>
      <c r="DJ12" s="294">
        <f t="shared" si="3"/>
        <v>0.13200000000000001</v>
      </c>
      <c r="DN12" s="294">
        <v>0.3</v>
      </c>
    </row>
    <row r="13" spans="1:118" ht="20.100000000000001" customHeight="1" x14ac:dyDescent="0.25">
      <c r="B13" s="91"/>
      <c r="C13" s="91"/>
      <c r="D13" s="91"/>
      <c r="E13" s="91"/>
      <c r="F13" s="91"/>
      <c r="G13" s="91"/>
      <c r="H13" s="74"/>
      <c r="I13" s="74"/>
      <c r="J13" s="93"/>
      <c r="K13" s="108"/>
      <c r="X13" s="948" t="s">
        <v>187</v>
      </c>
      <c r="Y13" s="949"/>
      <c r="Z13" s="950"/>
      <c r="AA13" s="329" t="s">
        <v>202</v>
      </c>
      <c r="AB13" s="331" t="s">
        <v>202</v>
      </c>
      <c r="AC13" s="7"/>
      <c r="AD13" s="351">
        <v>4</v>
      </c>
      <c r="AE13" s="352">
        <v>1000</v>
      </c>
      <c r="AF13" s="353">
        <v>1.567E-3</v>
      </c>
      <c r="AG13" s="349">
        <f t="shared" si="0"/>
        <v>1.567E-6</v>
      </c>
      <c r="AH13" s="7"/>
      <c r="AI13" s="7"/>
      <c r="AJ13" s="7"/>
      <c r="AK13" s="7"/>
      <c r="AL13" s="304" t="s">
        <v>416</v>
      </c>
      <c r="AM13" s="294">
        <v>1</v>
      </c>
      <c r="AN13" s="294">
        <v>1</v>
      </c>
      <c r="AO13" s="294">
        <v>1</v>
      </c>
      <c r="AP13" s="294">
        <v>6</v>
      </c>
      <c r="AQ13" s="310">
        <v>6</v>
      </c>
      <c r="AR13" s="42"/>
      <c r="AS13" s="339">
        <v>50</v>
      </c>
      <c r="AT13" s="340">
        <v>0.29699999999999999</v>
      </c>
      <c r="AU13" s="7"/>
      <c r="AV13" s="109"/>
      <c r="AW13" s="109"/>
      <c r="AX13" s="109"/>
      <c r="AY13" s="109"/>
      <c r="AZ13" s="109"/>
      <c r="BA13" s="109"/>
      <c r="BB13" s="109"/>
      <c r="BC13" s="84"/>
      <c r="BD13" s="118"/>
      <c r="BE13" s="84"/>
      <c r="BF13" s="63" t="s">
        <v>246</v>
      </c>
      <c r="BG13" s="324">
        <f>(14*0.0254)^2</f>
        <v>0.12645135999999998</v>
      </c>
      <c r="BH13" s="324">
        <f>14*0.0254</f>
        <v>0.35559999999999997</v>
      </c>
      <c r="BI13" s="113"/>
      <c r="BJ13" s="113"/>
      <c r="BK13" s="125"/>
      <c r="BL13" s="63">
        <v>14</v>
      </c>
      <c r="BO13" s="30">
        <v>13</v>
      </c>
      <c r="BP13" s="355" t="s">
        <v>293</v>
      </c>
      <c r="BQ13" s="356">
        <v>7.0000000000000001E-3</v>
      </c>
      <c r="BR13" s="351">
        <v>150</v>
      </c>
      <c r="BS13" s="30">
        <v>13</v>
      </c>
      <c r="BT13" s="63">
        <v>12</v>
      </c>
      <c r="BU13" s="63">
        <f t="shared" si="5"/>
        <v>300</v>
      </c>
      <c r="BV13" s="299">
        <v>12.75</v>
      </c>
      <c r="BW13" s="299"/>
      <c r="BX13" s="299">
        <v>0.40600000000000003</v>
      </c>
      <c r="BY13" s="299"/>
      <c r="BZ13" s="299">
        <f t="shared" si="8"/>
        <v>0.30299999999999999</v>
      </c>
      <c r="CA13" s="301">
        <f t="shared" si="4"/>
        <v>31</v>
      </c>
      <c r="CB13" s="199">
        <v>13</v>
      </c>
      <c r="CC13" s="193">
        <v>7</v>
      </c>
      <c r="CD13" s="295"/>
      <c r="CE13" s="63"/>
      <c r="CF13" s="298"/>
      <c r="CG13" s="294"/>
      <c r="CH13" s="294"/>
      <c r="CI13" s="294"/>
      <c r="CJ13" s="294"/>
      <c r="CK13" s="294"/>
      <c r="CL13" s="294"/>
      <c r="CM13" s="294"/>
      <c r="CN13" s="294"/>
      <c r="CO13" s="294"/>
      <c r="CP13" s="294"/>
      <c r="CQ13" s="294"/>
      <c r="CR13" s="294"/>
      <c r="CS13" s="294"/>
      <c r="CT13" s="294"/>
      <c r="CU13" s="294"/>
      <c r="CV13" s="294"/>
      <c r="CW13" s="63"/>
      <c r="CX13" s="294"/>
      <c r="CY13" s="294"/>
      <c r="CZ13" s="294"/>
      <c r="DA13" s="294"/>
      <c r="DB13" s="294"/>
      <c r="DC13" s="294"/>
      <c r="DD13" s="294"/>
      <c r="DE13" s="294"/>
      <c r="DF13" s="294"/>
      <c r="DG13" s="294"/>
      <c r="DH13" s="294"/>
      <c r="DI13" s="294"/>
      <c r="DJ13" s="294"/>
      <c r="DN13" s="294">
        <v>0.35</v>
      </c>
    </row>
    <row r="14" spans="1:118" ht="20.100000000000001" customHeight="1" x14ac:dyDescent="0.25">
      <c r="B14" s="22" t="s">
        <v>193</v>
      </c>
      <c r="C14" s="91"/>
      <c r="D14" s="91"/>
      <c r="E14" s="91"/>
      <c r="F14" s="91"/>
      <c r="G14" s="91"/>
      <c r="H14" s="74"/>
      <c r="I14" s="74"/>
      <c r="J14" s="93"/>
      <c r="K14" s="108"/>
      <c r="X14" s="948" t="s">
        <v>188</v>
      </c>
      <c r="Y14" s="949"/>
      <c r="Z14" s="950"/>
      <c r="AA14" s="329">
        <v>0.3</v>
      </c>
      <c r="AB14" s="329">
        <v>0.3</v>
      </c>
      <c r="AC14" s="7"/>
      <c r="AD14" s="351">
        <v>5</v>
      </c>
      <c r="AE14" s="352">
        <v>1000</v>
      </c>
      <c r="AF14" s="353">
        <v>1.519E-3</v>
      </c>
      <c r="AG14" s="349">
        <f t="shared" si="0"/>
        <v>1.519E-6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339">
        <v>45</v>
      </c>
      <c r="AT14" s="340">
        <v>0.35399999999999998</v>
      </c>
      <c r="AU14" s="7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63" t="s">
        <v>247</v>
      </c>
      <c r="BG14" s="324">
        <f>(16*0.0254)^2</f>
        <v>0.16516096</v>
      </c>
      <c r="BH14" s="324">
        <f>16*0.0254</f>
        <v>0.40639999999999998</v>
      </c>
      <c r="BI14" s="113"/>
      <c r="BJ14" s="113"/>
      <c r="BK14" s="125"/>
      <c r="BO14" s="30">
        <v>14</v>
      </c>
      <c r="BP14" s="355" t="s">
        <v>292</v>
      </c>
      <c r="BQ14" s="356">
        <v>7.0000000000000001E-3</v>
      </c>
      <c r="BR14" s="351">
        <v>150</v>
      </c>
      <c r="BS14" s="30">
        <v>14</v>
      </c>
      <c r="BT14" s="63">
        <v>14</v>
      </c>
      <c r="BU14" s="63">
        <f t="shared" si="5"/>
        <v>350</v>
      </c>
      <c r="BV14" s="299">
        <v>14</v>
      </c>
      <c r="BW14" s="299"/>
      <c r="BX14" s="299">
        <v>0.438</v>
      </c>
      <c r="BY14" s="299"/>
      <c r="BZ14" s="299">
        <f t="shared" si="8"/>
        <v>0.33300000000000002</v>
      </c>
      <c r="CA14" s="301">
        <f t="shared" si="4"/>
        <v>32</v>
      </c>
      <c r="CB14" s="199">
        <v>14</v>
      </c>
      <c r="CC14" s="193">
        <v>8</v>
      </c>
      <c r="CD14" s="295" t="s">
        <v>300</v>
      </c>
      <c r="CE14" s="63">
        <v>0</v>
      </c>
      <c r="CF14" s="298" t="e">
        <f>#REF!</f>
        <v>#REF!</v>
      </c>
      <c r="CG14" s="294">
        <v>0.3</v>
      </c>
      <c r="CH14" s="294">
        <v>0.3</v>
      </c>
      <c r="CI14" s="294">
        <v>0.28000000000000003</v>
      </c>
      <c r="CJ14" s="294">
        <v>0.28000000000000003</v>
      </c>
      <c r="CK14" s="294">
        <v>0.26</v>
      </c>
      <c r="CL14" s="294">
        <v>0.26</v>
      </c>
      <c r="CM14" s="294">
        <v>0.26</v>
      </c>
      <c r="CN14" s="294">
        <v>0.26</v>
      </c>
      <c r="CO14" s="294">
        <v>0.26</v>
      </c>
      <c r="CP14" s="294">
        <v>0.24</v>
      </c>
      <c r="CQ14" s="294">
        <v>0.24</v>
      </c>
      <c r="CR14" s="294">
        <v>0.24</v>
      </c>
      <c r="CS14" s="294">
        <v>0.22</v>
      </c>
      <c r="CT14" s="294">
        <v>0.22</v>
      </c>
      <c r="CU14" s="294">
        <v>0.22</v>
      </c>
      <c r="CV14" s="294">
        <v>0.22</v>
      </c>
      <c r="CW14" s="63">
        <f>CG14</f>
        <v>0.3</v>
      </c>
      <c r="CX14" s="294">
        <f>CI14</f>
        <v>0.28000000000000003</v>
      </c>
      <c r="CY14" s="294">
        <f>CJ14</f>
        <v>0.28000000000000003</v>
      </c>
      <c r="CZ14" s="294">
        <f>CK14</f>
        <v>0.26</v>
      </c>
      <c r="DA14" s="294">
        <f>CM14</f>
        <v>0.26</v>
      </c>
      <c r="DB14" s="294">
        <f t="shared" ref="DB14:DG14" si="9">CO14</f>
        <v>0.26</v>
      </c>
      <c r="DC14" s="294">
        <f t="shared" si="9"/>
        <v>0.24</v>
      </c>
      <c r="DD14" s="294">
        <f t="shared" si="9"/>
        <v>0.24</v>
      </c>
      <c r="DE14" s="294">
        <f t="shared" si="9"/>
        <v>0.24</v>
      </c>
      <c r="DF14" s="294">
        <f t="shared" si="9"/>
        <v>0.22</v>
      </c>
      <c r="DG14" s="294">
        <f t="shared" si="9"/>
        <v>0.22</v>
      </c>
      <c r="DH14" s="294">
        <v>0.22</v>
      </c>
      <c r="DI14" s="294">
        <f t="shared" si="2"/>
        <v>0.22</v>
      </c>
      <c r="DJ14" s="294">
        <f t="shared" si="3"/>
        <v>0.22</v>
      </c>
    </row>
    <row r="15" spans="1:118" ht="20.100000000000001" customHeight="1" x14ac:dyDescent="0.25">
      <c r="B15" s="664" t="s">
        <v>184</v>
      </c>
      <c r="C15" s="665"/>
      <c r="D15" s="665"/>
      <c r="E15" s="665"/>
      <c r="F15" s="666"/>
      <c r="G15" s="967" t="s">
        <v>182</v>
      </c>
      <c r="H15" s="968"/>
      <c r="I15" s="74"/>
      <c r="J15" s="93"/>
      <c r="K15" s="108"/>
      <c r="X15" s="948" t="s">
        <v>189</v>
      </c>
      <c r="Y15" s="949"/>
      <c r="Z15" s="950"/>
      <c r="AA15" s="329" t="s">
        <v>203</v>
      </c>
      <c r="AB15" s="329" t="s">
        <v>203</v>
      </c>
      <c r="AC15" s="7"/>
      <c r="AD15" s="351">
        <v>6</v>
      </c>
      <c r="AE15" s="352">
        <v>999.99</v>
      </c>
      <c r="AF15" s="353">
        <v>1.4730000000000001E-3</v>
      </c>
      <c r="AG15" s="349">
        <f t="shared" si="0"/>
        <v>1.4730147301473016E-6</v>
      </c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339">
        <v>40</v>
      </c>
      <c r="AT15" s="340">
        <v>0.4</v>
      </c>
      <c r="AU15" s="7"/>
      <c r="AV15" s="84"/>
      <c r="AW15" s="84"/>
      <c r="AX15" s="84"/>
      <c r="AY15" s="84"/>
      <c r="AZ15" s="84"/>
      <c r="BA15" s="5"/>
      <c r="BB15" s="84"/>
      <c r="BC15" s="84"/>
      <c r="BD15" s="84"/>
      <c r="BE15" s="84"/>
      <c r="BF15" s="63" t="s">
        <v>248</v>
      </c>
      <c r="BG15" s="324">
        <f>(18*0.0254)^2</f>
        <v>0.20903184</v>
      </c>
      <c r="BH15" s="324">
        <f>18*0.0254</f>
        <v>0.4572</v>
      </c>
      <c r="BI15" s="113"/>
      <c r="BJ15" s="113"/>
      <c r="BK15" s="125"/>
      <c r="BO15" s="30">
        <v>15</v>
      </c>
      <c r="BP15" s="355" t="s">
        <v>281</v>
      </c>
      <c r="BQ15" s="351">
        <v>1.5E-3</v>
      </c>
      <c r="BR15" s="351">
        <v>150</v>
      </c>
      <c r="BS15" s="30">
        <v>15</v>
      </c>
      <c r="BT15" s="63">
        <v>16</v>
      </c>
      <c r="BU15" s="63">
        <f t="shared" si="5"/>
        <v>400</v>
      </c>
      <c r="BV15" s="299">
        <v>16</v>
      </c>
      <c r="BW15" s="299"/>
      <c r="BX15" s="299">
        <v>0.5</v>
      </c>
      <c r="BY15" s="299"/>
      <c r="BZ15" s="299">
        <f t="shared" si="8"/>
        <v>0.38100000000000001</v>
      </c>
      <c r="CA15" s="301">
        <f t="shared" si="4"/>
        <v>32</v>
      </c>
      <c r="CB15" s="199">
        <v>15</v>
      </c>
      <c r="CC15" s="193">
        <v>9</v>
      </c>
      <c r="CD15" s="295"/>
      <c r="CE15" s="63"/>
      <c r="CF15" s="63"/>
      <c r="CG15" s="294"/>
      <c r="CH15" s="294"/>
      <c r="CI15" s="294"/>
      <c r="CJ15" s="294"/>
      <c r="CK15" s="294"/>
      <c r="CL15" s="294"/>
      <c r="CM15" s="294"/>
      <c r="CN15" s="294"/>
      <c r="CO15" s="294"/>
      <c r="CP15" s="294"/>
      <c r="CQ15" s="294"/>
      <c r="CR15" s="294"/>
      <c r="CS15" s="294"/>
      <c r="CT15" s="294"/>
      <c r="CU15" s="294"/>
      <c r="CV15" s="294"/>
      <c r="CW15" s="63"/>
      <c r="CX15" s="294"/>
      <c r="CY15" s="294"/>
      <c r="CZ15" s="294"/>
      <c r="DA15" s="294"/>
      <c r="DB15" s="294"/>
      <c r="DC15" s="294"/>
      <c r="DD15" s="294"/>
      <c r="DE15" s="294"/>
      <c r="DF15" s="294"/>
      <c r="DG15" s="294"/>
      <c r="DH15" s="294"/>
      <c r="DI15" s="294"/>
      <c r="DJ15" s="294"/>
    </row>
    <row r="16" spans="1:118" ht="20.100000000000001" customHeight="1" x14ac:dyDescent="0.25">
      <c r="B16" s="664" t="s">
        <v>185</v>
      </c>
      <c r="C16" s="665"/>
      <c r="D16" s="665"/>
      <c r="E16" s="665"/>
      <c r="F16" s="666"/>
      <c r="G16" s="969" t="str">
        <f>IF($G$15=$AA$8,$AA$9,IF($G$15=$AB$8,$AB$9,""))</f>
        <v>Arena</v>
      </c>
      <c r="H16" s="970"/>
      <c r="I16" s="74"/>
      <c r="J16" s="93"/>
      <c r="K16" s="108"/>
      <c r="X16" s="948" t="s">
        <v>199</v>
      </c>
      <c r="Y16" s="949"/>
      <c r="Z16" s="950"/>
      <c r="AA16" s="329" t="s">
        <v>204</v>
      </c>
      <c r="AB16" s="329">
        <v>6</v>
      </c>
      <c r="AC16" s="7"/>
      <c r="AD16" s="351">
        <v>7</v>
      </c>
      <c r="AE16" s="352">
        <v>999.96</v>
      </c>
      <c r="AF16" s="353">
        <v>1.428E-3</v>
      </c>
      <c r="AG16" s="349">
        <f t="shared" si="0"/>
        <v>1.4280571222848913E-6</v>
      </c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339">
        <v>35</v>
      </c>
      <c r="AT16" s="340">
        <v>0.5</v>
      </c>
      <c r="AU16" s="7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63" t="s">
        <v>249</v>
      </c>
      <c r="BG16" s="324">
        <f>(20*0.0254)^2</f>
        <v>0.25806400000000002</v>
      </c>
      <c r="BH16" s="324">
        <f>20*0.0254</f>
        <v>0.50800000000000001</v>
      </c>
      <c r="BI16" s="113"/>
      <c r="BJ16" s="113"/>
      <c r="BK16" s="125"/>
      <c r="BO16" s="30">
        <v>16</v>
      </c>
      <c r="BP16" s="355" t="s">
        <v>280</v>
      </c>
      <c r="BQ16" s="351">
        <v>1.5E-3</v>
      </c>
      <c r="BR16" s="351">
        <v>150</v>
      </c>
      <c r="BS16" s="30">
        <v>16</v>
      </c>
      <c r="BT16" s="302">
        <v>18</v>
      </c>
      <c r="BU16" s="63">
        <f t="shared" si="5"/>
        <v>450</v>
      </c>
      <c r="BV16" s="303">
        <v>18</v>
      </c>
      <c r="BW16" s="303"/>
      <c r="BX16" s="303">
        <v>0.56200000000000006</v>
      </c>
      <c r="BY16" s="303"/>
      <c r="BZ16" s="303">
        <f t="shared" si="8"/>
        <v>0.42899999999999999</v>
      </c>
      <c r="CA16" s="301">
        <f t="shared" si="4"/>
        <v>32</v>
      </c>
      <c r="CB16" s="199">
        <v>16</v>
      </c>
      <c r="CC16" s="193">
        <v>10</v>
      </c>
      <c r="CD16" s="295" t="s">
        <v>301</v>
      </c>
      <c r="CE16" s="63">
        <v>1</v>
      </c>
      <c r="CF16" s="63">
        <v>2</v>
      </c>
      <c r="CG16" s="294">
        <v>0.9</v>
      </c>
      <c r="CH16" s="294">
        <v>0.9</v>
      </c>
      <c r="CI16" s="294">
        <v>0.84</v>
      </c>
      <c r="CJ16" s="294">
        <v>0.84</v>
      </c>
      <c r="CK16" s="294">
        <v>0.78</v>
      </c>
      <c r="CL16" s="294">
        <v>0.78</v>
      </c>
      <c r="CM16" s="294">
        <v>0.78</v>
      </c>
      <c r="CN16" s="294">
        <v>0.78</v>
      </c>
      <c r="CO16" s="294">
        <v>0.78</v>
      </c>
      <c r="CP16" s="294">
        <v>0.72</v>
      </c>
      <c r="CQ16" s="294">
        <v>0.72</v>
      </c>
      <c r="CR16" s="294">
        <v>0.72</v>
      </c>
      <c r="CS16" s="294">
        <v>0.66</v>
      </c>
      <c r="CT16" s="294">
        <v>0.66</v>
      </c>
      <c r="CU16" s="294">
        <v>0.66</v>
      </c>
      <c r="CV16" s="294">
        <v>0.66</v>
      </c>
      <c r="CW16" s="63">
        <f>CG16</f>
        <v>0.9</v>
      </c>
      <c r="CX16" s="294">
        <f>CI16</f>
        <v>0.84</v>
      </c>
      <c r="CY16" s="294">
        <f>CJ16</f>
        <v>0.84</v>
      </c>
      <c r="CZ16" s="294">
        <f>CK16</f>
        <v>0.78</v>
      </c>
      <c r="DA16" s="294">
        <f>CM16</f>
        <v>0.78</v>
      </c>
      <c r="DB16" s="294">
        <f t="shared" ref="DB16:DG16" si="10">CO16</f>
        <v>0.78</v>
      </c>
      <c r="DC16" s="294">
        <f t="shared" si="10"/>
        <v>0.72</v>
      </c>
      <c r="DD16" s="294">
        <f t="shared" si="10"/>
        <v>0.72</v>
      </c>
      <c r="DE16" s="294">
        <f t="shared" si="10"/>
        <v>0.72</v>
      </c>
      <c r="DF16" s="294">
        <f t="shared" si="10"/>
        <v>0.66</v>
      </c>
      <c r="DG16" s="294">
        <f t="shared" si="10"/>
        <v>0.66</v>
      </c>
      <c r="DH16" s="294">
        <v>0.66</v>
      </c>
      <c r="DI16" s="294">
        <f t="shared" si="2"/>
        <v>0.66</v>
      </c>
      <c r="DJ16" s="294">
        <f t="shared" si="3"/>
        <v>0.66</v>
      </c>
    </row>
    <row r="17" spans="2:114" ht="20.100000000000001" customHeight="1" x14ac:dyDescent="0.25">
      <c r="B17" s="664" t="s">
        <v>186</v>
      </c>
      <c r="C17" s="665"/>
      <c r="D17" s="665"/>
      <c r="E17" s="665"/>
      <c r="F17" s="666"/>
      <c r="G17" s="969" t="str">
        <f>IF($G$15=$AA$8,AA10,IF($G$15=$AB$8,AB10,""))</f>
        <v>Estratificado fino a grueso</v>
      </c>
      <c r="H17" s="970"/>
      <c r="I17" s="74"/>
      <c r="J17" s="93"/>
      <c r="K17" s="108"/>
      <c r="X17" s="948" t="s">
        <v>190</v>
      </c>
      <c r="Y17" s="949"/>
      <c r="Z17" s="950"/>
      <c r="AA17" s="329" t="s">
        <v>205</v>
      </c>
      <c r="AB17" s="329" t="s">
        <v>211</v>
      </c>
      <c r="AC17" s="7"/>
      <c r="AD17" s="351">
        <v>8</v>
      </c>
      <c r="AE17" s="352">
        <v>999.91</v>
      </c>
      <c r="AF17" s="353">
        <v>1.3859999999999999E-3</v>
      </c>
      <c r="AG17" s="349">
        <f t="shared" si="0"/>
        <v>1.3861247512276103E-6</v>
      </c>
      <c r="AH17" s="7"/>
      <c r="AI17" s="7"/>
      <c r="AJ17" s="7"/>
      <c r="AK17" s="7"/>
      <c r="AL17" s="7"/>
      <c r="AM17" s="7"/>
      <c r="AN17" s="7"/>
      <c r="AO17" s="7"/>
      <c r="AP17" s="7"/>
      <c r="AQ17" s="61"/>
      <c r="AR17" s="61"/>
      <c r="AS17" s="339">
        <v>30</v>
      </c>
      <c r="AT17" s="340">
        <v>0.59499999999999997</v>
      </c>
      <c r="AU17" s="7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G17" s="113"/>
      <c r="BH17" s="34"/>
      <c r="BI17" s="34"/>
      <c r="BJ17" s="34"/>
      <c r="BK17" s="34"/>
      <c r="BP17" s="152"/>
      <c r="BQ17" s="21"/>
      <c r="BR17" s="21"/>
      <c r="BS17" s="30">
        <v>17</v>
      </c>
      <c r="BT17" s="63">
        <v>20</v>
      </c>
      <c r="BU17" s="63">
        <f t="shared" si="5"/>
        <v>500</v>
      </c>
      <c r="BV17" s="299">
        <v>20</v>
      </c>
      <c r="BW17" s="299"/>
      <c r="BX17" s="299">
        <v>0.59399999999999997</v>
      </c>
      <c r="BY17" s="299"/>
      <c r="BZ17" s="299">
        <f t="shared" si="8"/>
        <v>0.47799999999999998</v>
      </c>
      <c r="CA17" s="301">
        <f t="shared" si="4"/>
        <v>34</v>
      </c>
      <c r="CB17" s="199">
        <v>17</v>
      </c>
      <c r="CC17" s="193">
        <v>11</v>
      </c>
      <c r="CD17" s="295"/>
      <c r="CE17" s="63"/>
      <c r="CF17" s="63"/>
      <c r="CG17" s="294"/>
      <c r="CH17" s="294"/>
      <c r="CI17" s="294"/>
      <c r="CJ17" s="294"/>
      <c r="CK17" s="294"/>
      <c r="CL17" s="294"/>
      <c r="CM17" s="294"/>
      <c r="CN17" s="294"/>
      <c r="CO17" s="294"/>
      <c r="CP17" s="294"/>
      <c r="CQ17" s="294"/>
      <c r="CR17" s="294"/>
      <c r="CS17" s="294"/>
      <c r="CT17" s="294"/>
      <c r="CU17" s="294"/>
      <c r="CV17" s="294"/>
      <c r="CW17" s="63"/>
      <c r="CX17" s="294"/>
      <c r="CY17" s="294"/>
      <c r="CZ17" s="294"/>
      <c r="DA17" s="294"/>
      <c r="DB17" s="294"/>
      <c r="DC17" s="294"/>
      <c r="DD17" s="294"/>
      <c r="DE17" s="294"/>
      <c r="DF17" s="294"/>
      <c r="DG17" s="294"/>
      <c r="DH17" s="294"/>
      <c r="DI17" s="294"/>
      <c r="DJ17" s="294"/>
    </row>
    <row r="18" spans="2:114" ht="20.100000000000001" customHeight="1" x14ac:dyDescent="0.25">
      <c r="B18" s="664" t="s">
        <v>192</v>
      </c>
      <c r="C18" s="665"/>
      <c r="D18" s="665"/>
      <c r="E18" s="665"/>
      <c r="F18" s="666"/>
      <c r="G18" s="967" t="s">
        <v>197</v>
      </c>
      <c r="H18" s="968"/>
      <c r="I18" s="74"/>
      <c r="J18" s="93"/>
      <c r="K18" s="108"/>
      <c r="X18" s="948"/>
      <c r="Y18" s="949"/>
      <c r="Z18" s="950"/>
      <c r="AA18" s="332"/>
      <c r="AB18" s="329" t="s">
        <v>212</v>
      </c>
      <c r="AC18" s="7"/>
      <c r="AD18" s="351">
        <v>9</v>
      </c>
      <c r="AE18" s="352">
        <v>999.85</v>
      </c>
      <c r="AF18" s="353">
        <v>1.3460000000000002E-3</v>
      </c>
      <c r="AG18" s="349">
        <f t="shared" si="0"/>
        <v>1.3462019302895435E-6</v>
      </c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339">
        <v>25</v>
      </c>
      <c r="AT18" s="340">
        <v>0.70699999999999996</v>
      </c>
      <c r="AU18" s="7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P18" s="152"/>
      <c r="BQ18" s="21"/>
      <c r="BR18" s="21"/>
      <c r="BS18" s="30">
        <v>18</v>
      </c>
      <c r="BT18" s="63">
        <v>24</v>
      </c>
      <c r="BU18" s="63">
        <f t="shared" si="5"/>
        <v>600</v>
      </c>
      <c r="BV18" s="299">
        <v>24</v>
      </c>
      <c r="BW18" s="299"/>
      <c r="BX18" s="299">
        <v>0.68799999999999994</v>
      </c>
      <c r="BY18" s="299"/>
      <c r="BZ18" s="299">
        <f t="shared" si="8"/>
        <v>0.57499999999999996</v>
      </c>
      <c r="CA18" s="301">
        <f t="shared" si="4"/>
        <v>35</v>
      </c>
      <c r="CB18" s="199">
        <v>18</v>
      </c>
      <c r="CC18" s="193">
        <v>12</v>
      </c>
      <c r="CD18" s="295" t="s">
        <v>304</v>
      </c>
      <c r="CE18" s="63">
        <v>0</v>
      </c>
      <c r="CF18" s="63" t="e">
        <f>ROUND(#REF!/6,0)</f>
        <v>#REF!</v>
      </c>
      <c r="CG18" s="294">
        <v>0.3</v>
      </c>
      <c r="CH18" s="294">
        <v>0.3</v>
      </c>
      <c r="CI18" s="294">
        <v>0.3</v>
      </c>
      <c r="CJ18" s="294">
        <v>0.3</v>
      </c>
      <c r="CK18" s="294">
        <v>0.3</v>
      </c>
      <c r="CL18" s="294">
        <v>0.3</v>
      </c>
      <c r="CM18" s="294">
        <v>0.3</v>
      </c>
      <c r="CN18" s="294">
        <v>0.3</v>
      </c>
      <c r="CO18" s="294">
        <v>0.3</v>
      </c>
      <c r="CP18" s="294">
        <v>0.3</v>
      </c>
      <c r="CQ18" s="294">
        <v>0.3</v>
      </c>
      <c r="CR18" s="294">
        <v>0.3</v>
      </c>
      <c r="CS18" s="294">
        <v>0.3</v>
      </c>
      <c r="CT18" s="294">
        <v>0.3</v>
      </c>
      <c r="CU18" s="294">
        <v>0.3</v>
      </c>
      <c r="CV18" s="294">
        <v>0.3</v>
      </c>
      <c r="CW18" s="63">
        <f>CG18</f>
        <v>0.3</v>
      </c>
      <c r="CX18" s="294">
        <f>CI18</f>
        <v>0.3</v>
      </c>
      <c r="CY18" s="294">
        <f>CJ18</f>
        <v>0.3</v>
      </c>
      <c r="CZ18" s="294">
        <f>CK18</f>
        <v>0.3</v>
      </c>
      <c r="DA18" s="294">
        <f>CM18</f>
        <v>0.3</v>
      </c>
      <c r="DB18" s="294">
        <f t="shared" ref="DB18:DG18" si="11">CO18</f>
        <v>0.3</v>
      </c>
      <c r="DC18" s="294">
        <f t="shared" si="11"/>
        <v>0.3</v>
      </c>
      <c r="DD18" s="294">
        <f t="shared" si="11"/>
        <v>0.3</v>
      </c>
      <c r="DE18" s="294">
        <f t="shared" si="11"/>
        <v>0.3</v>
      </c>
      <c r="DF18" s="294">
        <f t="shared" si="11"/>
        <v>0.3</v>
      </c>
      <c r="DG18" s="294">
        <f t="shared" si="11"/>
        <v>0.3</v>
      </c>
      <c r="DH18" s="294">
        <v>0.3</v>
      </c>
      <c r="DI18" s="294">
        <f t="shared" si="2"/>
        <v>0.3</v>
      </c>
      <c r="DJ18" s="294">
        <f t="shared" si="3"/>
        <v>0.3</v>
      </c>
    </row>
    <row r="19" spans="2:114" ht="20.100000000000001" customHeight="1" x14ac:dyDescent="0.25">
      <c r="B19" s="664" t="s">
        <v>486</v>
      </c>
      <c r="C19" s="665"/>
      <c r="D19" s="665"/>
      <c r="E19" s="665"/>
      <c r="F19" s="666"/>
      <c r="G19" s="946">
        <f>IF($G$15=$AA$8,AA11,IF($G$15=$AB$8,AB11,""))</f>
        <v>120</v>
      </c>
      <c r="H19" s="947"/>
      <c r="I19" s="74"/>
      <c r="J19" s="93"/>
      <c r="K19" s="108"/>
      <c r="L19" s="89"/>
      <c r="M19" s="89"/>
      <c r="X19" s="948" t="s">
        <v>191</v>
      </c>
      <c r="Y19" s="949"/>
      <c r="Z19" s="950"/>
      <c r="AA19" s="332" t="s">
        <v>206</v>
      </c>
      <c r="AB19" s="329" t="s">
        <v>206</v>
      </c>
      <c r="AC19" s="85"/>
      <c r="AD19" s="351">
        <v>10</v>
      </c>
      <c r="AE19" s="352">
        <v>999.77</v>
      </c>
      <c r="AF19" s="353">
        <v>1.3080000000000001E-3</v>
      </c>
      <c r="AG19" s="349">
        <f t="shared" si="0"/>
        <v>1.3083009092091183E-6</v>
      </c>
      <c r="AH19" s="136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339">
        <v>20</v>
      </c>
      <c r="AT19" s="340">
        <v>0.84099999999999997</v>
      </c>
      <c r="AU19" s="7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P19" s="34"/>
      <c r="BQ19" s="34"/>
      <c r="BR19" s="34"/>
      <c r="BS19" s="30">
        <v>19</v>
      </c>
      <c r="BT19" s="904" t="str">
        <f>BP10</f>
        <v>Acero al carbono API 5L SCH-80</v>
      </c>
      <c r="BU19" s="905"/>
      <c r="BV19" s="905"/>
      <c r="BW19" s="905"/>
      <c r="BX19" s="905"/>
      <c r="BY19" s="905"/>
      <c r="BZ19" s="905"/>
      <c r="CA19" s="906"/>
      <c r="CB19" s="199">
        <v>19</v>
      </c>
      <c r="CC19" s="193">
        <v>13</v>
      </c>
      <c r="CD19" s="295"/>
      <c r="CE19" s="63"/>
      <c r="CF19" s="63"/>
      <c r="CG19" s="294"/>
      <c r="CH19" s="294"/>
      <c r="CI19" s="294"/>
      <c r="CJ19" s="294"/>
      <c r="CK19" s="294"/>
      <c r="CL19" s="294"/>
      <c r="CM19" s="294"/>
      <c r="CN19" s="294"/>
      <c r="CO19" s="294"/>
      <c r="CP19" s="294"/>
      <c r="CQ19" s="294"/>
      <c r="CR19" s="294"/>
      <c r="CS19" s="294"/>
      <c r="CT19" s="294"/>
      <c r="CU19" s="294"/>
      <c r="CV19" s="294"/>
      <c r="CW19" s="63"/>
      <c r="CX19" s="294"/>
      <c r="CY19" s="294"/>
      <c r="CZ19" s="294"/>
      <c r="DA19" s="294"/>
      <c r="DB19" s="294"/>
      <c r="DC19" s="294"/>
      <c r="DD19" s="294"/>
      <c r="DE19" s="294"/>
      <c r="DF19" s="294"/>
      <c r="DG19" s="294"/>
      <c r="DH19" s="294"/>
      <c r="DI19" s="294"/>
      <c r="DJ19" s="294"/>
    </row>
    <row r="20" spans="2:114" ht="20.100000000000001" customHeight="1" x14ac:dyDescent="0.25">
      <c r="B20" s="664" t="s">
        <v>223</v>
      </c>
      <c r="C20" s="665"/>
      <c r="D20" s="665"/>
      <c r="E20" s="665"/>
      <c r="F20" s="666"/>
      <c r="G20" s="946">
        <f>IF($G$15=$AA$8,AA12,IF($G$15=$AB$8,AB12,""))</f>
        <v>150</v>
      </c>
      <c r="H20" s="947"/>
      <c r="I20" s="74"/>
      <c r="J20" s="93"/>
      <c r="K20" s="108"/>
      <c r="L20" s="89"/>
      <c r="M20" s="89"/>
      <c r="X20" s="974" t="s">
        <v>192</v>
      </c>
      <c r="Y20" s="975"/>
      <c r="Z20" s="976"/>
      <c r="AA20" s="333"/>
      <c r="AB20" s="334" t="s">
        <v>198</v>
      </c>
      <c r="AC20" s="85"/>
      <c r="AD20" s="351">
        <v>11</v>
      </c>
      <c r="AE20" s="352">
        <v>999.68</v>
      </c>
      <c r="AF20" s="353">
        <v>1.271E-3</v>
      </c>
      <c r="AG20" s="349">
        <f t="shared" si="0"/>
        <v>1.2714068501920614E-6</v>
      </c>
      <c r="AH20" s="136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339">
        <v>18</v>
      </c>
      <c r="AT20" s="340">
        <v>1</v>
      </c>
      <c r="AU20" s="7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P20" s="34"/>
      <c r="BQ20" s="34"/>
      <c r="BR20" s="34"/>
      <c r="BS20" s="30">
        <v>20</v>
      </c>
      <c r="BT20" s="304"/>
      <c r="BU20" s="304"/>
      <c r="BV20" s="304"/>
      <c r="BW20" s="304"/>
      <c r="BX20" s="304"/>
      <c r="BY20" s="304"/>
      <c r="BZ20" s="304"/>
      <c r="CA20" s="304"/>
      <c r="CB20" s="199">
        <v>20</v>
      </c>
      <c r="CC20" s="193">
        <v>14</v>
      </c>
      <c r="CD20" s="295" t="s">
        <v>302</v>
      </c>
      <c r="CE20" s="63">
        <v>0</v>
      </c>
      <c r="CF20" s="63">
        <v>1</v>
      </c>
      <c r="CG20" s="294">
        <v>0.5</v>
      </c>
      <c r="CH20" s="294">
        <v>0.5</v>
      </c>
      <c r="CI20" s="294">
        <v>0.5</v>
      </c>
      <c r="CJ20" s="294">
        <v>0.5</v>
      </c>
      <c r="CK20" s="294">
        <v>0.5</v>
      </c>
      <c r="CL20" s="294">
        <v>0.5</v>
      </c>
      <c r="CM20" s="294">
        <v>0.5</v>
      </c>
      <c r="CN20" s="294">
        <v>0.5</v>
      </c>
      <c r="CO20" s="294">
        <v>0.5</v>
      </c>
      <c r="CP20" s="294">
        <v>0.5</v>
      </c>
      <c r="CQ20" s="294">
        <v>0.5</v>
      </c>
      <c r="CR20" s="294">
        <v>0.5</v>
      </c>
      <c r="CS20" s="294">
        <v>0.5</v>
      </c>
      <c r="CT20" s="294">
        <v>0.5</v>
      </c>
      <c r="CU20" s="294">
        <v>0.5</v>
      </c>
      <c r="CV20" s="294">
        <v>0.5</v>
      </c>
      <c r="CW20" s="63">
        <f>CG20</f>
        <v>0.5</v>
      </c>
      <c r="CX20" s="294">
        <f t="shared" ref="CX20:CZ21" si="12">CI20</f>
        <v>0.5</v>
      </c>
      <c r="CY20" s="294">
        <f t="shared" si="12"/>
        <v>0.5</v>
      </c>
      <c r="CZ20" s="294">
        <f t="shared" si="12"/>
        <v>0.5</v>
      </c>
      <c r="DA20" s="294">
        <f>CM20</f>
        <v>0.5</v>
      </c>
      <c r="DB20" s="294">
        <f t="shared" ref="DB20:DG21" si="13">CO20</f>
        <v>0.5</v>
      </c>
      <c r="DC20" s="294">
        <f t="shared" si="13"/>
        <v>0.5</v>
      </c>
      <c r="DD20" s="294">
        <f t="shared" si="13"/>
        <v>0.5</v>
      </c>
      <c r="DE20" s="294">
        <f t="shared" si="13"/>
        <v>0.5</v>
      </c>
      <c r="DF20" s="294">
        <f t="shared" si="13"/>
        <v>0.5</v>
      </c>
      <c r="DG20" s="294">
        <f t="shared" si="13"/>
        <v>0.5</v>
      </c>
      <c r="DH20" s="294">
        <v>0.5</v>
      </c>
      <c r="DI20" s="294">
        <f t="shared" si="2"/>
        <v>0.5</v>
      </c>
      <c r="DJ20" s="294">
        <f t="shared" si="3"/>
        <v>0.5</v>
      </c>
    </row>
    <row r="21" spans="2:114" ht="20.100000000000001" customHeight="1" x14ac:dyDescent="0.25">
      <c r="B21" s="664" t="s">
        <v>187</v>
      </c>
      <c r="C21" s="665"/>
      <c r="D21" s="665"/>
      <c r="E21" s="665"/>
      <c r="F21" s="666"/>
      <c r="G21" s="946" t="str">
        <f>IF($G$15=$AA$8,AA13,IF($G$15=$AB$8,AB13,""))</f>
        <v>12 - 36</v>
      </c>
      <c r="H21" s="947"/>
      <c r="I21" s="74"/>
      <c r="J21" s="93"/>
      <c r="K21" s="108"/>
      <c r="L21" s="89"/>
      <c r="M21" s="89"/>
      <c r="X21" s="977"/>
      <c r="Y21" s="978"/>
      <c r="Z21" s="979"/>
      <c r="AA21" s="335" t="s">
        <v>197</v>
      </c>
      <c r="AB21" s="336"/>
      <c r="AC21" s="85"/>
      <c r="AD21" s="351">
        <v>12</v>
      </c>
      <c r="AE21" s="352">
        <v>999.58</v>
      </c>
      <c r="AF21" s="353">
        <v>1.2359999999999999E-3</v>
      </c>
      <c r="AG21" s="349">
        <f t="shared" si="0"/>
        <v>1.2365193381220111E-6</v>
      </c>
      <c r="AH21" s="136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339">
        <v>14</v>
      </c>
      <c r="AT21" s="340">
        <v>1.41</v>
      </c>
      <c r="AU21" s="7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S21" s="30">
        <v>21</v>
      </c>
      <c r="BT21" s="63">
        <v>6</v>
      </c>
      <c r="BU21" s="63">
        <f>IF(BT21=6,150,IF(BT21=8,200,IF(BT21=10,250,IF(BT21=12,300,IF(BT21=14,350,IF(BT21=16,400,IF(BT21=18,450,IF(BT21=20,500,IF(BT21=24,600)))))))))</f>
        <v>150</v>
      </c>
      <c r="BV21" s="299">
        <v>6.625</v>
      </c>
      <c r="BW21" s="299"/>
      <c r="BX21" s="299">
        <v>0.432</v>
      </c>
      <c r="BY21" s="299"/>
      <c r="BZ21" s="299">
        <f>ROUND((BV21-(2*BX21))*0.0254,3)</f>
        <v>0.14599999999999999</v>
      </c>
      <c r="CA21" s="301">
        <f t="shared" ref="CA21:CA30" si="14">ROUND(BV21/BX21,0)</f>
        <v>15</v>
      </c>
      <c r="CB21" s="199">
        <v>21</v>
      </c>
      <c r="CC21" s="193">
        <v>15</v>
      </c>
      <c r="CD21" s="295" t="s">
        <v>303</v>
      </c>
      <c r="CE21" s="63">
        <v>0</v>
      </c>
      <c r="CF21" s="63">
        <v>1</v>
      </c>
      <c r="CG21" s="294">
        <v>0.1</v>
      </c>
      <c r="CH21" s="294">
        <v>0.1</v>
      </c>
      <c r="CI21" s="294">
        <v>0.1</v>
      </c>
      <c r="CJ21" s="294">
        <v>0.1</v>
      </c>
      <c r="CK21" s="294">
        <v>0.1</v>
      </c>
      <c r="CL21" s="294">
        <v>0.1</v>
      </c>
      <c r="CM21" s="294">
        <v>0.1</v>
      </c>
      <c r="CN21" s="294">
        <v>0.1</v>
      </c>
      <c r="CO21" s="294">
        <v>0.1</v>
      </c>
      <c r="CP21" s="294">
        <v>0.1</v>
      </c>
      <c r="CQ21" s="294">
        <v>0.1</v>
      </c>
      <c r="CR21" s="294">
        <v>0.1</v>
      </c>
      <c r="CS21" s="294">
        <v>0.1</v>
      </c>
      <c r="CT21" s="294">
        <v>0.1</v>
      </c>
      <c r="CU21" s="294">
        <v>0.1</v>
      </c>
      <c r="CV21" s="294">
        <v>0.1</v>
      </c>
      <c r="CW21" s="63">
        <f>CG21</f>
        <v>0.1</v>
      </c>
      <c r="CX21" s="294">
        <f t="shared" si="12"/>
        <v>0.1</v>
      </c>
      <c r="CY21" s="294">
        <f t="shared" si="12"/>
        <v>0.1</v>
      </c>
      <c r="CZ21" s="294">
        <f t="shared" si="12"/>
        <v>0.1</v>
      </c>
      <c r="DA21" s="294">
        <f>CM21</f>
        <v>0.1</v>
      </c>
      <c r="DB21" s="294">
        <f t="shared" si="13"/>
        <v>0.1</v>
      </c>
      <c r="DC21" s="294">
        <f t="shared" si="13"/>
        <v>0.1</v>
      </c>
      <c r="DD21" s="294">
        <f t="shared" si="13"/>
        <v>0.1</v>
      </c>
      <c r="DE21" s="294">
        <f t="shared" si="13"/>
        <v>0.1</v>
      </c>
      <c r="DF21" s="294">
        <f t="shared" si="13"/>
        <v>0.1</v>
      </c>
      <c r="DG21" s="294">
        <f t="shared" si="13"/>
        <v>0.1</v>
      </c>
      <c r="DH21" s="294">
        <v>0.1</v>
      </c>
      <c r="DI21" s="294">
        <f t="shared" si="2"/>
        <v>0.1</v>
      </c>
      <c r="DJ21" s="294">
        <f t="shared" si="3"/>
        <v>0.1</v>
      </c>
    </row>
    <row r="22" spans="2:114" ht="20.100000000000001" customHeight="1" x14ac:dyDescent="0.25">
      <c r="B22" s="664" t="s">
        <v>188</v>
      </c>
      <c r="C22" s="665"/>
      <c r="D22" s="665"/>
      <c r="E22" s="665"/>
      <c r="F22" s="666"/>
      <c r="G22" s="946">
        <f>IF($G$15=$AA$8,AA14,IF($G$15=$AB$8,AB14,""))</f>
        <v>0.3</v>
      </c>
      <c r="H22" s="947"/>
      <c r="I22" s="74"/>
      <c r="J22" s="93"/>
      <c r="K22" s="108"/>
      <c r="L22" s="89"/>
      <c r="M22" s="89"/>
      <c r="X22" s="980"/>
      <c r="Y22" s="981"/>
      <c r="Z22" s="982"/>
      <c r="AA22" s="337" t="s">
        <v>198</v>
      </c>
      <c r="AB22" s="338"/>
      <c r="AC22" s="85"/>
      <c r="AD22" s="351">
        <v>13</v>
      </c>
      <c r="AE22" s="352">
        <v>999.46</v>
      </c>
      <c r="AF22" s="353">
        <v>1.2030000000000001E-3</v>
      </c>
      <c r="AG22" s="349">
        <f t="shared" si="0"/>
        <v>1.2036499709843315E-6</v>
      </c>
      <c r="AH22" s="136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339">
        <v>12</v>
      </c>
      <c r="AT22" s="340">
        <v>1.68</v>
      </c>
      <c r="AU22" s="87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S22" s="30">
        <v>22</v>
      </c>
      <c r="BT22" s="63">
        <v>8</v>
      </c>
      <c r="BU22" s="63">
        <f t="shared" ref="BU22:BU28" si="15">IF(BT22=6,150,IF(BT22=8,200,IF(BT22=10,250,IF(BT22=12,300,IF(BT22=14,350,IF(BT22=16,400,IF(BT22=18,450,IF(BT22=20,500,IF(BT22=24,600)))))))))</f>
        <v>200</v>
      </c>
      <c r="BV22" s="299">
        <v>8.625</v>
      </c>
      <c r="BW22" s="299"/>
      <c r="BX22" s="299">
        <v>0.5</v>
      </c>
      <c r="BY22" s="299"/>
      <c r="BZ22" s="299">
        <f>ROUND((BV22-(2*BX22))*0.0254,3)</f>
        <v>0.19400000000000001</v>
      </c>
      <c r="CA22" s="301">
        <f t="shared" si="14"/>
        <v>17</v>
      </c>
      <c r="CB22" s="199">
        <v>22</v>
      </c>
      <c r="CC22" s="193">
        <v>16</v>
      </c>
      <c r="CD22" s="295"/>
      <c r="CE22" s="63"/>
      <c r="CF22" s="63"/>
      <c r="CG22" s="294"/>
      <c r="CH22" s="294"/>
      <c r="CI22" s="294"/>
      <c r="CJ22" s="294"/>
      <c r="CK22" s="294"/>
      <c r="CL22" s="294"/>
      <c r="CM22" s="294"/>
      <c r="CN22" s="294"/>
      <c r="CO22" s="294"/>
      <c r="CP22" s="294"/>
      <c r="CQ22" s="294"/>
      <c r="CR22" s="294"/>
      <c r="CS22" s="294"/>
      <c r="CT22" s="294"/>
      <c r="CU22" s="294"/>
      <c r="CV22" s="294"/>
      <c r="CW22" s="63"/>
      <c r="CX22" s="294"/>
      <c r="CY22" s="294"/>
      <c r="CZ22" s="294"/>
      <c r="DA22" s="294"/>
      <c r="DB22" s="294"/>
      <c r="DC22" s="294"/>
      <c r="DD22" s="294"/>
      <c r="DE22" s="294"/>
      <c r="DF22" s="294"/>
      <c r="DG22" s="294"/>
      <c r="DH22" s="294"/>
      <c r="DI22" s="294"/>
      <c r="DJ22" s="294"/>
    </row>
    <row r="23" spans="2:114" ht="20.100000000000001" customHeight="1" x14ac:dyDescent="0.25">
      <c r="B23" s="664" t="s">
        <v>189</v>
      </c>
      <c r="C23" s="665"/>
      <c r="D23" s="665"/>
      <c r="E23" s="665"/>
      <c r="F23" s="666"/>
      <c r="G23" s="946" t="str">
        <f>IF($G$15=$AA$8,AA15,IF($G$15=$AB$8,AB15,""))</f>
        <v>2,4 - 3,0</v>
      </c>
      <c r="H23" s="947"/>
      <c r="I23" s="74"/>
      <c r="J23" s="93"/>
      <c r="K23" s="108"/>
      <c r="L23" s="89"/>
      <c r="M23" s="89"/>
      <c r="X23" s="91"/>
      <c r="Y23" s="91"/>
      <c r="Z23" s="80"/>
      <c r="AA23" s="85"/>
      <c r="AB23" s="87"/>
      <c r="AC23" s="34"/>
      <c r="AD23" s="351">
        <v>14</v>
      </c>
      <c r="AE23" s="352">
        <v>999.33</v>
      </c>
      <c r="AF23" s="353">
        <v>1.1709999999999999E-3</v>
      </c>
      <c r="AG23" s="349">
        <f t="shared" si="0"/>
        <v>1.1717850960143296E-6</v>
      </c>
      <c r="AH23" s="3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339">
        <v>8</v>
      </c>
      <c r="AT23" s="340">
        <v>2.38</v>
      </c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S23" s="30">
        <v>23</v>
      </c>
      <c r="BT23" s="63">
        <v>10</v>
      </c>
      <c r="BU23" s="63">
        <f t="shared" si="15"/>
        <v>250</v>
      </c>
      <c r="BV23" s="299">
        <v>10.75</v>
      </c>
      <c r="BW23" s="299"/>
      <c r="BX23" s="299">
        <v>0.59399999999999997</v>
      </c>
      <c r="BY23" s="299"/>
      <c r="BZ23" s="299">
        <f t="shared" ref="BZ23:BZ30" si="16">ROUND((BV23-(2*BX23))*0.0254,3)</f>
        <v>0.24299999999999999</v>
      </c>
      <c r="CA23" s="301">
        <f t="shared" si="14"/>
        <v>18</v>
      </c>
      <c r="CB23" s="199">
        <v>23</v>
      </c>
      <c r="CC23" s="193">
        <v>17</v>
      </c>
      <c r="CD23" s="295" t="s">
        <v>340</v>
      </c>
      <c r="CE23" s="63">
        <v>1</v>
      </c>
      <c r="CF23" s="63">
        <v>1</v>
      </c>
      <c r="CG23" s="294">
        <v>1</v>
      </c>
      <c r="CH23" s="294">
        <v>1</v>
      </c>
      <c r="CI23" s="294">
        <v>1</v>
      </c>
      <c r="CJ23" s="294">
        <v>1</v>
      </c>
      <c r="CK23" s="294">
        <v>1</v>
      </c>
      <c r="CL23" s="294">
        <v>1</v>
      </c>
      <c r="CM23" s="294">
        <v>1</v>
      </c>
      <c r="CN23" s="294">
        <v>1</v>
      </c>
      <c r="CO23" s="294">
        <v>1</v>
      </c>
      <c r="CP23" s="294">
        <v>1</v>
      </c>
      <c r="CQ23" s="294">
        <v>1</v>
      </c>
      <c r="CR23" s="294">
        <v>1</v>
      </c>
      <c r="CS23" s="294">
        <v>1</v>
      </c>
      <c r="CT23" s="294">
        <v>1</v>
      </c>
      <c r="CU23" s="294">
        <v>1</v>
      </c>
      <c r="CV23" s="294">
        <v>1</v>
      </c>
      <c r="CW23" s="63">
        <f>CG23</f>
        <v>1</v>
      </c>
      <c r="CX23" s="294">
        <f>CI23</f>
        <v>1</v>
      </c>
      <c r="CY23" s="294">
        <f>CJ23</f>
        <v>1</v>
      </c>
      <c r="CZ23" s="294">
        <f>CK23</f>
        <v>1</v>
      </c>
      <c r="DA23" s="294">
        <f>CM23</f>
        <v>1</v>
      </c>
      <c r="DB23" s="294">
        <f t="shared" ref="DB23:DG23" si="17">CO23</f>
        <v>1</v>
      </c>
      <c r="DC23" s="294">
        <f t="shared" si="17"/>
        <v>1</v>
      </c>
      <c r="DD23" s="294">
        <f t="shared" si="17"/>
        <v>1</v>
      </c>
      <c r="DE23" s="294">
        <f t="shared" si="17"/>
        <v>1</v>
      </c>
      <c r="DF23" s="294">
        <f t="shared" si="17"/>
        <v>1</v>
      </c>
      <c r="DG23" s="294">
        <f t="shared" si="17"/>
        <v>1</v>
      </c>
      <c r="DH23" s="294">
        <v>1</v>
      </c>
      <c r="DI23" s="294">
        <f t="shared" si="2"/>
        <v>1</v>
      </c>
      <c r="DJ23" s="294">
        <f t="shared" si="3"/>
        <v>1</v>
      </c>
    </row>
    <row r="24" spans="2:114" ht="20.100000000000001" customHeight="1" x14ac:dyDescent="0.25">
      <c r="B24" s="664" t="s">
        <v>199</v>
      </c>
      <c r="C24" s="665"/>
      <c r="D24" s="665"/>
      <c r="E24" s="665"/>
      <c r="F24" s="666"/>
      <c r="G24" s="946" t="str">
        <f>IF($G$15=$AA$8,AA16,IF($G$15=$AB$8,AB16,""))</f>
        <v>2 - 4</v>
      </c>
      <c r="H24" s="947"/>
      <c r="I24" s="74"/>
      <c r="J24" s="93"/>
      <c r="K24" s="108"/>
      <c r="L24" s="89"/>
      <c r="M24" s="89"/>
      <c r="X24" s="758"/>
      <c r="Y24" s="758"/>
      <c r="Z24" s="80"/>
      <c r="AA24" s="945"/>
      <c r="AB24" s="945"/>
      <c r="AC24" s="34"/>
      <c r="AD24" s="351">
        <v>15</v>
      </c>
      <c r="AE24" s="352">
        <v>999.19</v>
      </c>
      <c r="AF24" s="353">
        <v>1.14E-3</v>
      </c>
      <c r="AG24" s="349">
        <f t="shared" si="0"/>
        <v>1.1409241485603338E-6</v>
      </c>
      <c r="AH24" s="3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339">
        <v>6</v>
      </c>
      <c r="AT24" s="340">
        <v>3.35</v>
      </c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S24" s="30">
        <v>24</v>
      </c>
      <c r="BT24" s="63">
        <v>12</v>
      </c>
      <c r="BU24" s="63">
        <f t="shared" si="15"/>
        <v>300</v>
      </c>
      <c r="BV24" s="299">
        <v>12.75</v>
      </c>
      <c r="BW24" s="299"/>
      <c r="BX24" s="299">
        <v>0.68799999999999994</v>
      </c>
      <c r="BY24" s="299"/>
      <c r="BZ24" s="299">
        <f t="shared" si="16"/>
        <v>0.28899999999999998</v>
      </c>
      <c r="CA24" s="301">
        <f t="shared" si="14"/>
        <v>19</v>
      </c>
      <c r="CB24" s="146"/>
      <c r="CC24" s="170"/>
      <c r="CD24" s="34"/>
      <c r="CE24" s="34"/>
      <c r="CF24" s="34"/>
      <c r="CG24" s="34"/>
      <c r="CH24" s="34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</row>
    <row r="25" spans="2:114" ht="20.100000000000001" customHeight="1" x14ac:dyDescent="0.25">
      <c r="B25" s="664" t="str">
        <f>IF($G$15=$AA$8,$X$17,IF($G$15=$AB$8,X17&amp;" (antracita)",IF($G$15="",X17&amp;" (antracita)")))</f>
        <v>Profundidad del medio</v>
      </c>
      <c r="C25" s="665"/>
      <c r="D25" s="665"/>
      <c r="E25" s="665"/>
      <c r="F25" s="666"/>
      <c r="G25" s="946" t="str">
        <f>IF($G$15=$AA$8,AA17,IF($G$15=$AB$8,AB17,""))</f>
        <v>0,60 - 0,75</v>
      </c>
      <c r="H25" s="947"/>
      <c r="I25" s="74"/>
      <c r="J25" s="93"/>
      <c r="K25" s="108"/>
      <c r="L25" s="89"/>
      <c r="M25" s="89"/>
      <c r="X25" s="758"/>
      <c r="Y25" s="758"/>
      <c r="Z25" s="80"/>
      <c r="AA25" s="945"/>
      <c r="AB25" s="945"/>
      <c r="AC25" s="34"/>
      <c r="AD25" s="351">
        <v>16</v>
      </c>
      <c r="AE25" s="352">
        <v>999.03</v>
      </c>
      <c r="AF25" s="353">
        <v>1.111E-3</v>
      </c>
      <c r="AG25" s="349">
        <f t="shared" si="0"/>
        <v>1.1120787163548642E-6</v>
      </c>
      <c r="AH25" s="3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339">
        <v>4</v>
      </c>
      <c r="AT25" s="340">
        <v>4.76</v>
      </c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S25" s="30">
        <v>25</v>
      </c>
      <c r="BT25" s="63">
        <v>14</v>
      </c>
      <c r="BU25" s="63">
        <f t="shared" si="15"/>
        <v>350</v>
      </c>
      <c r="BV25" s="299">
        <v>14</v>
      </c>
      <c r="BW25" s="299"/>
      <c r="BX25" s="299">
        <v>0.75</v>
      </c>
      <c r="BY25" s="299"/>
      <c r="BZ25" s="299">
        <f t="shared" si="16"/>
        <v>0.318</v>
      </c>
      <c r="CA25" s="301">
        <f t="shared" si="14"/>
        <v>19</v>
      </c>
      <c r="CB25" s="146"/>
      <c r="CC25" s="170"/>
      <c r="CD25" s="34"/>
      <c r="CE25" s="34"/>
      <c r="CF25" s="34"/>
      <c r="CG25" s="34"/>
      <c r="CH25" s="34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</row>
    <row r="26" spans="2:114" ht="20.100000000000001" customHeight="1" x14ac:dyDescent="0.25">
      <c r="B26" s="664" t="str">
        <f>IF($G$15=$AA$8,$X$19,IF($G$15=$AB$8,X17&amp;" (arena)",IF($G$15="",X17&amp;" (arena)")))</f>
        <v>Profundidad de grava</v>
      </c>
      <c r="C26" s="665"/>
      <c r="D26" s="665"/>
      <c r="E26" s="665"/>
      <c r="F26" s="666"/>
      <c r="G26" s="946" t="str">
        <f>IF($G$15=$AA$8,AA19,IF($G$15=$AB$8,AB18,""))</f>
        <v>0,30 - 0,45</v>
      </c>
      <c r="H26" s="947"/>
      <c r="I26" s="74"/>
      <c r="J26" s="93"/>
      <c r="K26" s="108"/>
      <c r="L26" s="89"/>
      <c r="M26" s="89"/>
      <c r="X26" s="758"/>
      <c r="Y26" s="758"/>
      <c r="Z26" s="80"/>
      <c r="AA26" s="945"/>
      <c r="AB26" s="945"/>
      <c r="AD26" s="351">
        <v>17</v>
      </c>
      <c r="AE26" s="352">
        <v>998.86</v>
      </c>
      <c r="AF26" s="353">
        <v>1.083E-3</v>
      </c>
      <c r="AG26" s="349">
        <f t="shared" si="0"/>
        <v>1.0842360290731433E-6</v>
      </c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S26" s="30">
        <v>26</v>
      </c>
      <c r="BT26" s="63">
        <v>16</v>
      </c>
      <c r="BU26" s="63">
        <f t="shared" si="15"/>
        <v>400</v>
      </c>
      <c r="BV26" s="299">
        <v>16</v>
      </c>
      <c r="BW26" s="299"/>
      <c r="BX26" s="299">
        <v>0.84399999999999997</v>
      </c>
      <c r="BY26" s="299"/>
      <c r="BZ26" s="299">
        <f t="shared" si="16"/>
        <v>0.36399999999999999</v>
      </c>
      <c r="CA26" s="301">
        <f t="shared" si="14"/>
        <v>19</v>
      </c>
      <c r="CB26" s="146"/>
      <c r="CC26" s="170"/>
      <c r="CL26" s="173"/>
    </row>
    <row r="27" spans="2:114" ht="20.100000000000001" customHeight="1" x14ac:dyDescent="0.25">
      <c r="B27" s="664" t="str">
        <f>IF($G$15=$AA$8,"",IF($G$15=$AB$8,$X$19,IF($G$15="",$X$19)))</f>
        <v/>
      </c>
      <c r="C27" s="665"/>
      <c r="D27" s="665"/>
      <c r="E27" s="665"/>
      <c r="F27" s="665"/>
      <c r="G27" s="954" t="str">
        <f>IF($G$15=$AA$8,"",IF($G$15=$AB$8,$AB$19,IF($G$15="","")))</f>
        <v/>
      </c>
      <c r="H27" s="955"/>
      <c r="I27" s="74"/>
      <c r="J27" s="93"/>
      <c r="K27" s="108"/>
      <c r="L27" s="89"/>
      <c r="M27" s="89"/>
      <c r="X27" s="81"/>
      <c r="Y27" s="81"/>
      <c r="Z27" s="80"/>
      <c r="AA27" s="82"/>
      <c r="AB27" s="82"/>
      <c r="AD27" s="351">
        <v>18</v>
      </c>
      <c r="AE27" s="352">
        <v>998.68</v>
      </c>
      <c r="AF27" s="353">
        <v>1.0560000000000001E-3</v>
      </c>
      <c r="AG27" s="349">
        <f t="shared" si="0"/>
        <v>1.0573957624063765E-6</v>
      </c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S27" s="30">
        <v>27</v>
      </c>
      <c r="BT27" s="302">
        <v>18</v>
      </c>
      <c r="BU27" s="63">
        <f t="shared" si="15"/>
        <v>450</v>
      </c>
      <c r="BV27" s="303">
        <v>18</v>
      </c>
      <c r="BW27" s="303"/>
      <c r="BX27" s="303">
        <v>0.93799999999999994</v>
      </c>
      <c r="BY27" s="303"/>
      <c r="BZ27" s="303">
        <f t="shared" si="16"/>
        <v>0.41</v>
      </c>
      <c r="CA27" s="301">
        <f t="shared" si="14"/>
        <v>19</v>
      </c>
      <c r="CB27" s="146"/>
      <c r="CC27" s="170"/>
    </row>
    <row r="28" spans="2:114" ht="20.100000000000001" customHeight="1" x14ac:dyDescent="0.25">
      <c r="B28" s="91"/>
      <c r="C28" s="91"/>
      <c r="D28" s="91"/>
      <c r="E28" s="91"/>
      <c r="F28" s="91"/>
      <c r="G28" s="91"/>
      <c r="H28" s="91"/>
      <c r="I28" s="74"/>
      <c r="J28" s="93"/>
      <c r="K28" s="108"/>
      <c r="X28" s="81"/>
      <c r="Y28" s="81"/>
      <c r="Z28" s="80"/>
      <c r="AA28" s="82"/>
      <c r="AB28" s="82"/>
      <c r="AD28" s="351">
        <v>19</v>
      </c>
      <c r="AE28" s="352">
        <v>998.49</v>
      </c>
      <c r="AF28" s="353">
        <v>1.0300000000000001E-3</v>
      </c>
      <c r="AG28" s="349">
        <f t="shared" si="0"/>
        <v>1.0315576520546026E-6</v>
      </c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S28" s="30">
        <v>28</v>
      </c>
      <c r="BT28" s="63">
        <v>20</v>
      </c>
      <c r="BU28" s="63">
        <f t="shared" si="15"/>
        <v>500</v>
      </c>
      <c r="BV28" s="299">
        <v>20</v>
      </c>
      <c r="BW28" s="299"/>
      <c r="BX28" s="299">
        <v>1.0309999999999999</v>
      </c>
      <c r="BY28" s="299"/>
      <c r="BZ28" s="299">
        <f t="shared" si="16"/>
        <v>0.45600000000000002</v>
      </c>
      <c r="CA28" s="301">
        <f t="shared" si="14"/>
        <v>19</v>
      </c>
      <c r="CB28" s="146"/>
      <c r="CC28" s="170"/>
    </row>
    <row r="29" spans="2:114" ht="20.100000000000001" customHeight="1" x14ac:dyDescent="0.25">
      <c r="B29" s="22" t="s">
        <v>154</v>
      </c>
      <c r="C29" s="91"/>
      <c r="D29" s="91"/>
      <c r="E29" s="91"/>
      <c r="F29" s="91"/>
      <c r="G29" s="91"/>
      <c r="H29" s="74"/>
      <c r="I29" s="74"/>
      <c r="J29" s="93"/>
      <c r="K29" s="108"/>
      <c r="X29" s="80"/>
      <c r="Y29" s="70"/>
      <c r="Z29" s="80"/>
      <c r="AA29" s="80"/>
      <c r="AB29" s="80"/>
      <c r="AD29" s="351">
        <v>20</v>
      </c>
      <c r="AE29" s="352">
        <v>998.29</v>
      </c>
      <c r="AF29" s="353">
        <v>1.005E-3</v>
      </c>
      <c r="AG29" s="349">
        <f t="shared" si="0"/>
        <v>1.0067214937543199E-6</v>
      </c>
      <c r="BS29" s="30">
        <v>29</v>
      </c>
      <c r="BT29" s="63">
        <v>22</v>
      </c>
      <c r="BU29" s="63">
        <f>IF(BT29=6,150,IF(BT29=8,200,IF(BT29=10,250,IF(BT29=12,300,IF(BT29=14,350,IF(BT29=16,400,IF(BT29=18,450,IF(BT29=20,500,IF(BT29=22,550,IF(BT29=24,600))))))))))</f>
        <v>550</v>
      </c>
      <c r="BV29" s="299">
        <v>22</v>
      </c>
      <c r="BW29" s="299"/>
      <c r="BX29" s="299">
        <v>1.125</v>
      </c>
      <c r="BY29" s="299"/>
      <c r="BZ29" s="299">
        <f t="shared" si="16"/>
        <v>0.502</v>
      </c>
      <c r="CA29" s="301">
        <f t="shared" si="14"/>
        <v>20</v>
      </c>
      <c r="CB29" s="146"/>
      <c r="CC29" s="170"/>
      <c r="CM29" s="144"/>
      <c r="CN29" s="168"/>
      <c r="CO29" s="144"/>
      <c r="CP29" s="144"/>
      <c r="CQ29" s="144"/>
      <c r="CR29" s="144"/>
      <c r="CS29" s="144"/>
      <c r="CT29" s="144"/>
      <c r="CU29" s="144"/>
    </row>
    <row r="30" spans="2:114" ht="20.100000000000001" customHeight="1" x14ac:dyDescent="0.25">
      <c r="B30" s="752" t="s">
        <v>135</v>
      </c>
      <c r="C30" s="752"/>
      <c r="D30" s="752"/>
      <c r="E30" s="752"/>
      <c r="F30" s="752"/>
      <c r="G30" s="752"/>
      <c r="H30" s="106" t="s">
        <v>132</v>
      </c>
      <c r="I30" s="106" t="s">
        <v>136</v>
      </c>
      <c r="J30" s="93"/>
      <c r="K30" s="108"/>
      <c r="X30" s="80"/>
      <c r="Y30" s="70"/>
      <c r="Z30" s="80"/>
      <c r="AA30" s="80"/>
      <c r="AB30" s="80"/>
      <c r="AD30" s="351">
        <v>21</v>
      </c>
      <c r="AE30" s="352">
        <v>998.08</v>
      </c>
      <c r="AF30" s="353">
        <v>9.810000000000001E-4</v>
      </c>
      <c r="AG30" s="349">
        <f t="shared" si="0"/>
        <v>9.8288714331516507E-7</v>
      </c>
      <c r="BS30" s="30">
        <v>30</v>
      </c>
      <c r="BT30" s="63">
        <v>24</v>
      </c>
      <c r="BU30" s="63">
        <f>IF(BT30=6,150,IF(BT30=8,200,IF(BT30=10,250,IF(BT30=12,300,IF(BT30=14,350,IF(BT30=16,400,IF(BT30=18,450,IF(BT30=20,500,IF(BT30=24,600)))))))))</f>
        <v>600</v>
      </c>
      <c r="BV30" s="299">
        <v>24</v>
      </c>
      <c r="BW30" s="299"/>
      <c r="BX30" s="299">
        <v>1.2190000000000001</v>
      </c>
      <c r="BY30" s="299"/>
      <c r="BZ30" s="299">
        <f t="shared" si="16"/>
        <v>0.54800000000000004</v>
      </c>
      <c r="CA30" s="301">
        <f t="shared" si="14"/>
        <v>20</v>
      </c>
      <c r="CB30" s="146"/>
      <c r="CC30" s="170"/>
      <c r="CM30" s="144"/>
      <c r="CN30" s="168"/>
      <c r="CO30" s="144"/>
      <c r="CP30" s="144"/>
      <c r="CQ30" s="144"/>
      <c r="CR30" s="144"/>
      <c r="CS30" s="144"/>
      <c r="CT30" s="144"/>
      <c r="CU30" s="144"/>
    </row>
    <row r="31" spans="2:114" ht="20.100000000000001" customHeight="1" x14ac:dyDescent="0.25">
      <c r="B31" s="752" t="e">
        <f>"Densidad del agua a "&amp;#REF!&amp;" °C"</f>
        <v>#REF!</v>
      </c>
      <c r="C31" s="752"/>
      <c r="D31" s="752"/>
      <c r="E31" s="752"/>
      <c r="F31" s="752"/>
      <c r="G31" s="752"/>
      <c r="H31" s="106" t="s">
        <v>131</v>
      </c>
      <c r="I31" s="106" t="s">
        <v>162</v>
      </c>
      <c r="J31" s="93"/>
      <c r="K31" s="108"/>
      <c r="X31" s="80"/>
      <c r="Y31" s="70"/>
      <c r="Z31" s="951"/>
      <c r="AA31" s="951"/>
      <c r="AB31" s="70"/>
      <c r="AD31" s="351">
        <v>22</v>
      </c>
      <c r="AE31" s="352">
        <v>997.86</v>
      </c>
      <c r="AF31" s="353">
        <v>9.5790000000000003E-4</v>
      </c>
      <c r="AG31" s="349">
        <f t="shared" si="0"/>
        <v>9.5995430220672237E-7</v>
      </c>
      <c r="BS31" s="30">
        <v>31</v>
      </c>
      <c r="BT31" s="901" t="str">
        <f>BP11</f>
        <v>Hierro dúctil C30</v>
      </c>
      <c r="BU31" s="902"/>
      <c r="BV31" s="902"/>
      <c r="BW31" s="902"/>
      <c r="BX31" s="902"/>
      <c r="BY31" s="902"/>
      <c r="BZ31" s="902"/>
      <c r="CA31" s="903"/>
      <c r="CB31" s="146"/>
      <c r="CC31" s="170"/>
      <c r="CM31" s="144"/>
      <c r="CN31" s="168"/>
      <c r="CO31" s="144"/>
      <c r="CP31" s="144"/>
      <c r="CQ31" s="144"/>
      <c r="CR31" s="144"/>
      <c r="CS31" s="144"/>
      <c r="CT31" s="144"/>
      <c r="CU31" s="144"/>
    </row>
    <row r="32" spans="2:114" ht="20.100000000000001" customHeight="1" x14ac:dyDescent="0.25">
      <c r="B32" s="752" t="e">
        <f>"Viscocidad dinámica del agua a "&amp;#REF!&amp;" °C"</f>
        <v>#REF!</v>
      </c>
      <c r="C32" s="752"/>
      <c r="D32" s="752"/>
      <c r="E32" s="752"/>
      <c r="F32" s="752"/>
      <c r="G32" s="752"/>
      <c r="H32" s="106" t="s">
        <v>101</v>
      </c>
      <c r="I32" s="78" t="s">
        <v>163</v>
      </c>
      <c r="J32" s="93"/>
      <c r="K32" s="108"/>
      <c r="X32" s="70"/>
      <c r="Y32" s="70"/>
      <c r="Z32" s="951"/>
      <c r="AA32" s="951"/>
      <c r="AB32" s="70"/>
      <c r="AD32" s="351">
        <v>23</v>
      </c>
      <c r="AE32" s="352">
        <v>997.62</v>
      </c>
      <c r="AF32" s="353">
        <v>9.3579999999999998E-4</v>
      </c>
      <c r="AG32" s="349">
        <f t="shared" si="0"/>
        <v>9.3803251739139144E-7</v>
      </c>
      <c r="BS32" s="30">
        <v>32</v>
      </c>
      <c r="BT32" s="305"/>
      <c r="BU32" s="305"/>
      <c r="BV32" s="305"/>
      <c r="BW32" s="305"/>
      <c r="BX32" s="305"/>
      <c r="BY32" s="305"/>
      <c r="BZ32" s="305"/>
      <c r="CA32" s="305"/>
      <c r="CB32" s="146"/>
      <c r="CC32" s="170"/>
      <c r="CM32" s="144"/>
      <c r="CN32" s="168"/>
      <c r="CO32" s="144"/>
      <c r="CP32" s="144"/>
      <c r="CQ32" s="144"/>
      <c r="CR32" s="144"/>
      <c r="CS32" s="144"/>
      <c r="CT32" s="144"/>
      <c r="CU32" s="144"/>
    </row>
    <row r="33" spans="2:99" ht="20.100000000000001" customHeight="1" x14ac:dyDescent="0.25">
      <c r="B33" s="957" t="e">
        <f>"Viscocidad cinemática del agua a "&amp;#REF!&amp;" °C"</f>
        <v>#REF!</v>
      </c>
      <c r="C33" s="957"/>
      <c r="D33" s="957"/>
      <c r="E33" s="957"/>
      <c r="F33" s="957"/>
      <c r="G33" s="957"/>
      <c r="H33" s="17" t="s">
        <v>2</v>
      </c>
      <c r="I33" s="78" t="s">
        <v>164</v>
      </c>
      <c r="J33" s="69"/>
      <c r="K33" s="69"/>
      <c r="X33" s="70"/>
      <c r="Y33" s="70"/>
      <c r="Z33" s="138"/>
      <c r="AA33" s="70"/>
      <c r="AB33" s="65"/>
      <c r="AC33" s="58"/>
      <c r="AD33" s="351">
        <v>24</v>
      </c>
      <c r="AE33" s="352">
        <v>997.38</v>
      </c>
      <c r="AF33" s="353">
        <v>9.142E-4</v>
      </c>
      <c r="AG33" s="349">
        <f t="shared" si="0"/>
        <v>9.1660149591930864E-7</v>
      </c>
      <c r="AH33" s="58"/>
      <c r="BS33" s="30">
        <v>33</v>
      </c>
      <c r="BT33" s="306"/>
      <c r="BU33" s="63">
        <v>300</v>
      </c>
      <c r="BV33" s="63"/>
      <c r="BW33" s="307">
        <v>326</v>
      </c>
      <c r="BX33" s="63"/>
      <c r="BY33" s="63">
        <v>5.0999999999999996</v>
      </c>
      <c r="BZ33" s="299">
        <f t="shared" ref="BZ33:BZ38" si="18">ROUND((BW33-2*BY33)/1000,3)</f>
        <v>0.316</v>
      </c>
      <c r="CA33" s="308">
        <f t="shared" ref="CA33:CA38" si="19">ROUND(BW33/BY33,0)</f>
        <v>64</v>
      </c>
      <c r="CB33" s="146"/>
      <c r="CC33" s="170"/>
      <c r="CM33" s="144"/>
      <c r="CN33" s="168"/>
      <c r="CO33" s="144"/>
      <c r="CP33" s="144"/>
      <c r="CQ33" s="144"/>
      <c r="CR33" s="144"/>
      <c r="CS33" s="144"/>
      <c r="CT33" s="144"/>
      <c r="CU33" s="144"/>
    </row>
    <row r="34" spans="2:99" ht="20.100000000000001" customHeight="1" x14ac:dyDescent="0.25">
      <c r="B34" s="96"/>
      <c r="C34" s="96"/>
      <c r="D34" s="96"/>
      <c r="E34" s="96"/>
      <c r="F34" s="96"/>
      <c r="G34" s="96"/>
      <c r="H34" s="96"/>
      <c r="I34" s="96"/>
      <c r="J34" s="96"/>
      <c r="K34" s="96"/>
      <c r="X34" s="21"/>
      <c r="Y34" s="137"/>
      <c r="Z34" s="34"/>
      <c r="AA34" s="139"/>
      <c r="AB34" s="60"/>
      <c r="AD34" s="351">
        <v>25</v>
      </c>
      <c r="AE34" s="352">
        <v>997.13</v>
      </c>
      <c r="AF34" s="353">
        <v>8.9370000000000009E-4</v>
      </c>
      <c r="AG34" s="349">
        <f t="shared" si="0"/>
        <v>8.9627230150532037E-7</v>
      </c>
      <c r="BS34" s="30">
        <v>34</v>
      </c>
      <c r="BT34" s="63"/>
      <c r="BU34" s="63">
        <v>350</v>
      </c>
      <c r="BV34" s="63"/>
      <c r="BW34" s="307">
        <v>378</v>
      </c>
      <c r="BX34" s="63"/>
      <c r="BY34" s="63">
        <v>6.3</v>
      </c>
      <c r="BZ34" s="299">
        <f t="shared" si="18"/>
        <v>0.36499999999999999</v>
      </c>
      <c r="CA34" s="308">
        <f t="shared" si="19"/>
        <v>60</v>
      </c>
      <c r="CB34" s="195"/>
      <c r="CC34" s="170"/>
      <c r="CM34" s="144"/>
      <c r="CN34" s="168"/>
      <c r="CO34" s="144"/>
      <c r="CP34" s="144"/>
      <c r="CQ34" s="144"/>
      <c r="CR34" s="144"/>
      <c r="CS34" s="144"/>
      <c r="CT34" s="144"/>
      <c r="CU34" s="144"/>
    </row>
    <row r="35" spans="2:99" ht="20.100000000000001" customHeight="1" x14ac:dyDescent="0.25">
      <c r="B35" s="98" t="s">
        <v>102</v>
      </c>
      <c r="C35" s="99"/>
      <c r="D35" s="93"/>
      <c r="E35" s="93"/>
      <c r="F35" s="93"/>
      <c r="G35" s="93"/>
      <c r="H35" s="50"/>
      <c r="I35" s="75"/>
      <c r="J35" s="96"/>
      <c r="K35" s="96"/>
      <c r="X35" s="21"/>
      <c r="Y35" s="137"/>
      <c r="Z35" s="140"/>
      <c r="AA35" s="139"/>
      <c r="AB35" s="60"/>
      <c r="AD35" s="351">
        <v>26</v>
      </c>
      <c r="AE35" s="352">
        <v>996.86</v>
      </c>
      <c r="AF35" s="353">
        <v>8.7370000000000004E-4</v>
      </c>
      <c r="AG35" s="349">
        <f t="shared" si="0"/>
        <v>8.7645205946672558E-7</v>
      </c>
      <c r="BS35" s="30">
        <v>35</v>
      </c>
      <c r="BT35" s="63"/>
      <c r="BU35" s="302">
        <v>400</v>
      </c>
      <c r="BV35" s="302"/>
      <c r="BW35" s="309">
        <v>429</v>
      </c>
      <c r="BX35" s="302"/>
      <c r="BY35" s="302">
        <v>6.5</v>
      </c>
      <c r="BZ35" s="303">
        <f t="shared" si="18"/>
        <v>0.41599999999999998</v>
      </c>
      <c r="CA35" s="308">
        <f t="shared" si="19"/>
        <v>66</v>
      </c>
      <c r="CB35" s="196"/>
      <c r="CC35" s="170"/>
      <c r="CM35" s="144"/>
      <c r="CN35" s="168"/>
      <c r="CO35" s="144"/>
      <c r="CP35" s="144"/>
      <c r="CQ35" s="144"/>
      <c r="CR35" s="144"/>
      <c r="CS35" s="144"/>
      <c r="CT35" s="144"/>
      <c r="CU35" s="144"/>
    </row>
    <row r="36" spans="2:99" ht="20.100000000000001" customHeight="1" x14ac:dyDescent="0.25">
      <c r="B36" s="98"/>
      <c r="C36" s="99"/>
      <c r="D36" s="93"/>
      <c r="E36" s="93"/>
      <c r="F36" s="93"/>
      <c r="G36" s="93"/>
      <c r="H36" s="50"/>
      <c r="I36" s="75"/>
      <c r="J36" s="96"/>
      <c r="K36" s="96"/>
      <c r="X36" s="21"/>
      <c r="Y36" s="137"/>
      <c r="Z36" s="140"/>
      <c r="AA36" s="139"/>
      <c r="AB36" s="60"/>
      <c r="AD36" s="351">
        <v>27</v>
      </c>
      <c r="AE36" s="352">
        <v>996.59</v>
      </c>
      <c r="AF36" s="353">
        <v>8.5450000000000001E-4</v>
      </c>
      <c r="AG36" s="349">
        <f t="shared" si="0"/>
        <v>8.5742381520986557E-7</v>
      </c>
      <c r="BS36" s="30">
        <v>36</v>
      </c>
      <c r="BT36" s="63"/>
      <c r="BU36" s="63">
        <v>450</v>
      </c>
      <c r="BV36" s="63"/>
      <c r="BW36" s="307">
        <v>480</v>
      </c>
      <c r="BX36" s="63"/>
      <c r="BY36" s="63">
        <v>6.9</v>
      </c>
      <c r="BZ36" s="299">
        <f t="shared" si="18"/>
        <v>0.46600000000000003</v>
      </c>
      <c r="CA36" s="308">
        <f t="shared" si="19"/>
        <v>70</v>
      </c>
      <c r="CB36" s="148"/>
      <c r="CC36" s="170"/>
    </row>
    <row r="37" spans="2:99" ht="20.100000000000001" customHeight="1" x14ac:dyDescent="0.25">
      <c r="B37" s="98" t="s">
        <v>158</v>
      </c>
      <c r="C37" s="99"/>
      <c r="D37" s="93"/>
      <c r="E37" s="93"/>
      <c r="F37" s="93"/>
      <c r="G37" s="93"/>
      <c r="H37" s="50"/>
      <c r="I37" s="75"/>
      <c r="J37" s="96"/>
      <c r="K37" s="96"/>
      <c r="X37" s="21"/>
      <c r="Y37" s="137"/>
      <c r="Z37" s="140"/>
      <c r="AA37" s="139"/>
      <c r="AB37" s="60"/>
      <c r="AD37" s="351">
        <v>28</v>
      </c>
      <c r="AE37" s="352">
        <v>996.31</v>
      </c>
      <c r="AF37" s="353">
        <v>8.3599999999999994E-4</v>
      </c>
      <c r="AG37" s="349">
        <f t="shared" si="0"/>
        <v>8.3909626521865684E-7</v>
      </c>
      <c r="BS37" s="30">
        <v>37</v>
      </c>
      <c r="BT37" s="63"/>
      <c r="BU37" s="63">
        <v>500</v>
      </c>
      <c r="BV37" s="63"/>
      <c r="BW37" s="307">
        <v>532</v>
      </c>
      <c r="BX37" s="63"/>
      <c r="BY37" s="63">
        <v>7.5</v>
      </c>
      <c r="BZ37" s="299">
        <f t="shared" si="18"/>
        <v>0.51700000000000002</v>
      </c>
      <c r="CA37" s="308">
        <f t="shared" si="19"/>
        <v>71</v>
      </c>
      <c r="CB37" s="148"/>
      <c r="CC37" s="170"/>
    </row>
    <row r="38" spans="2:99" ht="20.100000000000001" customHeight="1" x14ac:dyDescent="0.25">
      <c r="B38" s="931" t="s">
        <v>82</v>
      </c>
      <c r="C38" s="18"/>
      <c r="D38" s="92"/>
      <c r="E38" s="935" t="s">
        <v>93</v>
      </c>
      <c r="F38" s="935" t="s">
        <v>92</v>
      </c>
      <c r="G38" s="952" t="s">
        <v>98</v>
      </c>
      <c r="H38" s="953"/>
      <c r="I38" s="648"/>
      <c r="J38" s="96"/>
      <c r="K38" s="96"/>
      <c r="X38" s="21"/>
      <c r="Y38" s="137"/>
      <c r="Z38" s="140"/>
      <c r="AA38" s="139"/>
      <c r="AB38" s="60"/>
      <c r="AD38" s="351">
        <v>29</v>
      </c>
      <c r="AE38" s="352">
        <v>996.02</v>
      </c>
      <c r="AF38" s="353">
        <v>8.1799999999999993E-4</v>
      </c>
      <c r="AG38" s="349">
        <f t="shared" si="0"/>
        <v>8.2126864922391111E-7</v>
      </c>
      <c r="BS38" s="30">
        <v>38</v>
      </c>
      <c r="BT38" s="63"/>
      <c r="BU38" s="63">
        <v>600</v>
      </c>
      <c r="BV38" s="63"/>
      <c r="BW38" s="307">
        <v>635</v>
      </c>
      <c r="BX38" s="63"/>
      <c r="BY38" s="63">
        <v>8.6999999999999993</v>
      </c>
      <c r="BZ38" s="299">
        <f t="shared" si="18"/>
        <v>0.61799999999999999</v>
      </c>
      <c r="CA38" s="308">
        <f t="shared" si="19"/>
        <v>73</v>
      </c>
      <c r="CB38" s="148"/>
      <c r="CC38" s="170"/>
    </row>
    <row r="39" spans="2:99" ht="20.100000000000001" customHeight="1" x14ac:dyDescent="0.25">
      <c r="B39" s="932"/>
      <c r="C39" s="18"/>
      <c r="D39" s="92"/>
      <c r="E39" s="937"/>
      <c r="F39" s="937"/>
      <c r="G39" s="935" t="s">
        <v>79</v>
      </c>
      <c r="H39" s="935" t="s">
        <v>96</v>
      </c>
      <c r="I39" s="935" t="s">
        <v>96</v>
      </c>
      <c r="J39" s="96"/>
      <c r="K39" s="96"/>
      <c r="X39" s="21"/>
      <c r="Y39" s="137"/>
      <c r="Z39" s="140"/>
      <c r="AA39" s="139"/>
      <c r="AB39" s="60"/>
      <c r="AD39" s="351">
        <v>30</v>
      </c>
      <c r="AE39" s="352">
        <v>995.71</v>
      </c>
      <c r="AF39" s="353">
        <v>8.007E-4</v>
      </c>
      <c r="AG39" s="349">
        <f t="shared" si="0"/>
        <v>8.0414980265338299E-7</v>
      </c>
      <c r="BS39" s="30">
        <v>39</v>
      </c>
      <c r="BT39" s="901" t="str">
        <f>BP12</f>
        <v>Hierro dúctil C40</v>
      </c>
      <c r="BU39" s="902"/>
      <c r="BV39" s="902"/>
      <c r="BW39" s="902"/>
      <c r="BX39" s="902"/>
      <c r="BY39" s="902"/>
      <c r="BZ39" s="902"/>
      <c r="CA39" s="903"/>
      <c r="CB39" s="148"/>
      <c r="CC39" s="170"/>
    </row>
    <row r="40" spans="2:99" ht="20.100000000000001" customHeight="1" x14ac:dyDescent="0.25">
      <c r="B40" s="932"/>
      <c r="C40" s="18"/>
      <c r="D40" s="92"/>
      <c r="E40" s="937"/>
      <c r="F40" s="937"/>
      <c r="G40" s="937"/>
      <c r="H40" s="937"/>
      <c r="I40" s="937"/>
      <c r="J40" s="96"/>
      <c r="K40" s="96"/>
      <c r="X40" s="21"/>
      <c r="Y40" s="137"/>
      <c r="Z40" s="140"/>
      <c r="AA40" s="139"/>
      <c r="AB40" s="60"/>
      <c r="AD40" s="351">
        <v>31</v>
      </c>
      <c r="AE40" s="352">
        <v>995.41</v>
      </c>
      <c r="AF40" s="353">
        <v>7.8400000000000008E-4</v>
      </c>
      <c r="AG40" s="349">
        <f t="shared" si="0"/>
        <v>7.8761515355481675E-7</v>
      </c>
      <c r="BS40" s="30">
        <v>40</v>
      </c>
      <c r="BT40" s="63"/>
      <c r="BU40" s="305"/>
      <c r="BV40" s="305"/>
      <c r="BW40" s="305"/>
      <c r="BX40" s="305"/>
      <c r="BY40" s="305"/>
      <c r="BZ40" s="305"/>
      <c r="CA40" s="305"/>
      <c r="CB40" s="148"/>
      <c r="CC40" s="170"/>
    </row>
    <row r="41" spans="2:99" ht="20.100000000000001" customHeight="1" x14ac:dyDescent="0.25">
      <c r="B41" s="933"/>
      <c r="C41" s="18"/>
      <c r="D41" s="92"/>
      <c r="E41" s="936"/>
      <c r="F41" s="936"/>
      <c r="G41" s="936"/>
      <c r="H41" s="936"/>
      <c r="I41" s="936"/>
      <c r="J41" s="96"/>
      <c r="K41" s="96"/>
      <c r="X41" s="21"/>
      <c r="Y41" s="137"/>
      <c r="Z41" s="140"/>
      <c r="AA41" s="139"/>
      <c r="AB41" s="60"/>
      <c r="AD41" s="351">
        <v>32</v>
      </c>
      <c r="AE41" s="352">
        <v>995.09</v>
      </c>
      <c r="AF41" s="353">
        <v>7.6790000000000007E-4</v>
      </c>
      <c r="AG41" s="349">
        <f t="shared" si="0"/>
        <v>7.7168899295541107E-7</v>
      </c>
      <c r="BS41" s="30">
        <v>41</v>
      </c>
      <c r="BT41" s="63"/>
      <c r="BU41" s="63">
        <v>150</v>
      </c>
      <c r="BV41" s="63"/>
      <c r="BW41" s="307">
        <v>170</v>
      </c>
      <c r="BX41" s="63"/>
      <c r="BY41" s="63">
        <v>4.5</v>
      </c>
      <c r="BZ41" s="299">
        <f>ROUND((BW41-2*BY41)/1000,3)</f>
        <v>0.161</v>
      </c>
      <c r="CA41" s="308">
        <f t="shared" ref="CA41:CA49" si="20">ROUND(BW41/BY41,0)</f>
        <v>38</v>
      </c>
      <c r="CB41" s="148"/>
      <c r="CC41" s="170"/>
    </row>
    <row r="42" spans="2:99" ht="20.100000000000001" customHeight="1" x14ac:dyDescent="0.25">
      <c r="B42" s="287" t="s">
        <v>83</v>
      </c>
      <c r="C42" s="288"/>
      <c r="D42" s="289"/>
      <c r="E42" s="289">
        <v>16.2</v>
      </c>
      <c r="F42" s="245">
        <f t="shared" ref="F42:F50" si="21">MID(B42,4,3)+0</f>
        <v>20</v>
      </c>
      <c r="G42" s="246">
        <f>VLOOKUP(F42,AS$5:AT$25,2,FALSE)</f>
        <v>0.84099999999999997</v>
      </c>
      <c r="H42" s="257">
        <f>SUM(E$42:E$50)-SUM(E$42:E42)</f>
        <v>83.8</v>
      </c>
      <c r="I42" s="257">
        <f>H50</f>
        <v>0</v>
      </c>
      <c r="J42" s="96"/>
      <c r="K42" s="96"/>
      <c r="L42" s="72"/>
      <c r="M42" s="88"/>
      <c r="X42" s="21"/>
      <c r="Y42" s="137"/>
      <c r="Z42" s="140"/>
      <c r="AA42" s="139"/>
      <c r="AB42" s="60"/>
      <c r="AD42" s="351">
        <v>33</v>
      </c>
      <c r="AE42" s="352">
        <v>994.76</v>
      </c>
      <c r="AF42" s="353">
        <v>7.5230000000000002E-4</v>
      </c>
      <c r="AG42" s="349">
        <f t="shared" si="0"/>
        <v>7.5626281716192853E-7</v>
      </c>
      <c r="BS42" s="30">
        <v>42</v>
      </c>
      <c r="BT42" s="63"/>
      <c r="BU42" s="63">
        <v>200</v>
      </c>
      <c r="BV42" s="63"/>
      <c r="BW42" s="307">
        <v>222</v>
      </c>
      <c r="BX42" s="63"/>
      <c r="BY42" s="310">
        <v>4.7</v>
      </c>
      <c r="BZ42" s="299">
        <f>ROUND((BW42-2*BY42)/1000,3)</f>
        <v>0.21299999999999999</v>
      </c>
      <c r="CA42" s="308">
        <f t="shared" si="20"/>
        <v>47</v>
      </c>
      <c r="CB42" s="148"/>
      <c r="CC42" s="170"/>
    </row>
    <row r="43" spans="2:99" ht="20.100000000000001" customHeight="1" x14ac:dyDescent="0.25">
      <c r="B43" s="287" t="s">
        <v>84</v>
      </c>
      <c r="C43" s="288"/>
      <c r="D43" s="289"/>
      <c r="E43" s="289">
        <v>33.700000000000003</v>
      </c>
      <c r="F43" s="245">
        <f t="shared" si="21"/>
        <v>25</v>
      </c>
      <c r="G43" s="278">
        <f>VLOOKUP(F43,AS$5:AT$25,2,FALSE)</f>
        <v>0.70699999999999996</v>
      </c>
      <c r="H43" s="257">
        <f>SUM(E$42:E$50)-SUM(E$42:E43)</f>
        <v>50.099999999999994</v>
      </c>
      <c r="I43" s="257">
        <f>H49</f>
        <v>0.49999999999998579</v>
      </c>
      <c r="J43" s="96"/>
      <c r="K43" s="96"/>
      <c r="L43" s="88"/>
      <c r="M43" s="72"/>
      <c r="X43" s="21"/>
      <c r="Y43" s="137"/>
      <c r="Z43" s="140"/>
      <c r="AA43" s="139"/>
      <c r="AB43" s="60"/>
      <c r="AD43" s="351">
        <v>34</v>
      </c>
      <c r="AE43" s="352">
        <v>994.43</v>
      </c>
      <c r="AF43" s="353">
        <v>7.3709999999999997E-4</v>
      </c>
      <c r="AG43" s="349">
        <f t="shared" si="0"/>
        <v>7.4122864354454311E-7</v>
      </c>
      <c r="BS43" s="30">
        <v>43</v>
      </c>
      <c r="BT43" s="63"/>
      <c r="BU43" s="63">
        <v>250</v>
      </c>
      <c r="BV43" s="63"/>
      <c r="BW43" s="307">
        <v>274</v>
      </c>
      <c r="BX43" s="63"/>
      <c r="BY43" s="310">
        <v>5.5</v>
      </c>
      <c r="BZ43" s="299">
        <f t="shared" ref="BZ43:BZ49" si="22">ROUND((BW43-2*BY43)/1000,3)</f>
        <v>0.26300000000000001</v>
      </c>
      <c r="CA43" s="308">
        <f t="shared" si="20"/>
        <v>50</v>
      </c>
      <c r="CB43" s="148"/>
      <c r="CC43" s="170"/>
    </row>
    <row r="44" spans="2:99" ht="20.100000000000001" customHeight="1" x14ac:dyDescent="0.25">
      <c r="B44" s="287" t="s">
        <v>85</v>
      </c>
      <c r="C44" s="288"/>
      <c r="D44" s="289"/>
      <c r="E44" s="289">
        <v>33.9</v>
      </c>
      <c r="F44" s="245">
        <f t="shared" si="21"/>
        <v>30</v>
      </c>
      <c r="G44" s="590">
        <f>VLOOKUP(F44,AS$5:AT$25,2,FALSE)</f>
        <v>0.59499999999999997</v>
      </c>
      <c r="H44" s="257">
        <f>SUM(E$42:E$50)-SUM(E$42:E44)</f>
        <v>16.199999999999989</v>
      </c>
      <c r="I44" s="257">
        <f>H48</f>
        <v>1.4999999999999858</v>
      </c>
      <c r="J44" s="96"/>
      <c r="K44" s="96"/>
      <c r="L44" s="88"/>
      <c r="M44" s="72"/>
      <c r="X44" s="21"/>
      <c r="Y44" s="137"/>
      <c r="Z44" s="140"/>
      <c r="AA44" s="139"/>
      <c r="AB44" s="60"/>
      <c r="AD44" s="351">
        <v>35</v>
      </c>
      <c r="AE44" s="352">
        <v>994.08</v>
      </c>
      <c r="AF44" s="353">
        <v>7.2250000000000005E-4</v>
      </c>
      <c r="AG44" s="349">
        <f t="shared" si="0"/>
        <v>7.2680267181715759E-7</v>
      </c>
      <c r="BS44" s="30">
        <v>44</v>
      </c>
      <c r="BT44" s="311"/>
      <c r="BU44" s="63">
        <v>300</v>
      </c>
      <c r="BV44" s="63"/>
      <c r="BW44" s="307">
        <v>326</v>
      </c>
      <c r="BX44" s="63"/>
      <c r="BY44" s="310">
        <v>6.2</v>
      </c>
      <c r="BZ44" s="299">
        <f t="shared" si="22"/>
        <v>0.314</v>
      </c>
      <c r="CA44" s="308">
        <f t="shared" si="20"/>
        <v>53</v>
      </c>
      <c r="CB44" s="148"/>
      <c r="CC44" s="170"/>
    </row>
    <row r="45" spans="2:99" ht="20.100000000000001" customHeight="1" x14ac:dyDescent="0.25">
      <c r="B45" s="287" t="s">
        <v>91</v>
      </c>
      <c r="C45" s="288"/>
      <c r="D45" s="289"/>
      <c r="E45" s="289">
        <v>6.2</v>
      </c>
      <c r="F45" s="245">
        <f t="shared" si="21"/>
        <v>35</v>
      </c>
      <c r="G45" s="278">
        <f>VLOOKUP(F45,AS$5:AT$25,2,FALSE)</f>
        <v>0.5</v>
      </c>
      <c r="H45" s="257">
        <f>SUM(E$42:E$50)-SUM(E$42:E45)</f>
        <v>9.9999999999999858</v>
      </c>
      <c r="I45" s="257">
        <f>H47</f>
        <v>3.4999999999999858</v>
      </c>
      <c r="J45" s="96"/>
      <c r="K45" s="100"/>
      <c r="L45" s="88"/>
      <c r="M45" s="72"/>
      <c r="X45" s="21"/>
      <c r="Y45" s="137"/>
      <c r="Z45" s="140"/>
      <c r="AA45" s="139"/>
      <c r="AB45" s="60"/>
      <c r="BS45" s="30">
        <v>45</v>
      </c>
      <c r="BT45" s="63"/>
      <c r="BU45" s="63">
        <v>350</v>
      </c>
      <c r="BV45" s="63"/>
      <c r="BW45" s="307">
        <v>378</v>
      </c>
      <c r="BX45" s="63"/>
      <c r="BY45" s="310">
        <v>7.1</v>
      </c>
      <c r="BZ45" s="299">
        <f t="shared" si="22"/>
        <v>0.36399999999999999</v>
      </c>
      <c r="CA45" s="308">
        <f t="shared" si="20"/>
        <v>53</v>
      </c>
      <c r="CB45" s="148"/>
      <c r="CC45" s="170"/>
    </row>
    <row r="46" spans="2:99" ht="20.100000000000001" customHeight="1" x14ac:dyDescent="0.25">
      <c r="B46" s="287" t="s">
        <v>86</v>
      </c>
      <c r="C46" s="288"/>
      <c r="D46" s="289"/>
      <c r="E46" s="289">
        <v>3.5</v>
      </c>
      <c r="F46" s="245">
        <f t="shared" si="21"/>
        <v>40</v>
      </c>
      <c r="G46" s="278">
        <f>VLOOKUP(F46,AS$5:AT$25,2,FALSE)</f>
        <v>0.4</v>
      </c>
      <c r="H46" s="257">
        <f>SUM(E$42:E$50)-SUM(E$42:E46)</f>
        <v>6.4999999999999858</v>
      </c>
      <c r="I46" s="257">
        <f>H46</f>
        <v>6.4999999999999858</v>
      </c>
      <c r="J46" s="96"/>
      <c r="K46" s="96"/>
      <c r="L46" s="88"/>
      <c r="M46" s="72"/>
      <c r="X46" s="21"/>
      <c r="Y46" s="137"/>
      <c r="Z46" s="140"/>
      <c r="AA46" s="139"/>
      <c r="AB46" s="60"/>
      <c r="BS46" s="30">
        <v>46</v>
      </c>
      <c r="BT46" s="312"/>
      <c r="BU46" s="302">
        <v>400</v>
      </c>
      <c r="BV46" s="302"/>
      <c r="BW46" s="309">
        <v>429</v>
      </c>
      <c r="BX46" s="302"/>
      <c r="BY46" s="313">
        <v>7.8</v>
      </c>
      <c r="BZ46" s="303">
        <f t="shared" si="22"/>
        <v>0.41299999999999998</v>
      </c>
      <c r="CA46" s="308">
        <f t="shared" si="20"/>
        <v>55</v>
      </c>
      <c r="CB46" s="195"/>
      <c r="CC46" s="170"/>
    </row>
    <row r="47" spans="2:99" ht="20.100000000000001" customHeight="1" x14ac:dyDescent="0.25">
      <c r="B47" s="287" t="s">
        <v>87</v>
      </c>
      <c r="C47" s="288"/>
      <c r="D47" s="289"/>
      <c r="E47" s="289">
        <v>3</v>
      </c>
      <c r="F47" s="245">
        <f t="shared" si="21"/>
        <v>50</v>
      </c>
      <c r="G47" s="278">
        <f>VLOOKUP(F47,AS$5:AT$25,2,FALSE)</f>
        <v>0.29699999999999999</v>
      </c>
      <c r="H47" s="257">
        <f>SUM(E$42:E$50)-SUM(E$42:E47)</f>
        <v>3.4999999999999858</v>
      </c>
      <c r="I47" s="257">
        <f>H45</f>
        <v>9.9999999999999858</v>
      </c>
      <c r="J47" s="96"/>
      <c r="K47" s="96"/>
      <c r="L47" s="88"/>
      <c r="M47" s="72"/>
      <c r="X47" s="21"/>
      <c r="Y47" s="137"/>
      <c r="Z47" s="140"/>
      <c r="AA47" s="139"/>
      <c r="AB47" s="60"/>
      <c r="BS47" s="30">
        <v>47</v>
      </c>
      <c r="BT47" s="305"/>
      <c r="BU47" s="63">
        <v>450</v>
      </c>
      <c r="BV47" s="63"/>
      <c r="BW47" s="307">
        <v>480</v>
      </c>
      <c r="BX47" s="63"/>
      <c r="BY47" s="310">
        <v>8.6</v>
      </c>
      <c r="BZ47" s="299">
        <f t="shared" si="22"/>
        <v>0.46300000000000002</v>
      </c>
      <c r="CA47" s="308">
        <f t="shared" si="20"/>
        <v>56</v>
      </c>
      <c r="CB47" s="196"/>
      <c r="CC47" s="170"/>
    </row>
    <row r="48" spans="2:99" ht="20.100000000000001" customHeight="1" x14ac:dyDescent="0.25">
      <c r="B48" s="287" t="s">
        <v>88</v>
      </c>
      <c r="C48" s="288"/>
      <c r="D48" s="289"/>
      <c r="E48" s="289">
        <v>2</v>
      </c>
      <c r="F48" s="245">
        <f t="shared" si="21"/>
        <v>60</v>
      </c>
      <c r="G48" s="278">
        <f>VLOOKUP(F48,AS$5:AT$25,2,FALSE)</f>
        <v>0.25</v>
      </c>
      <c r="H48" s="257">
        <f>SUM(E$42:E$50)-SUM(E$42:E48)</f>
        <v>1.4999999999999858</v>
      </c>
      <c r="I48" s="257">
        <f>H44</f>
        <v>16.199999999999989</v>
      </c>
      <c r="J48" s="96"/>
      <c r="K48" s="96"/>
      <c r="L48" s="88"/>
      <c r="M48" s="72"/>
      <c r="X48" s="21"/>
      <c r="Y48" s="137"/>
      <c r="Z48" s="140"/>
      <c r="AA48" s="139"/>
      <c r="AB48" s="60"/>
      <c r="BS48" s="30">
        <v>48</v>
      </c>
      <c r="BT48" s="63"/>
      <c r="BU48" s="63">
        <v>500</v>
      </c>
      <c r="BV48" s="63"/>
      <c r="BW48" s="307">
        <v>532</v>
      </c>
      <c r="BX48" s="63"/>
      <c r="BY48" s="310">
        <v>9.3000000000000007</v>
      </c>
      <c r="BZ48" s="299">
        <f t="shared" si="22"/>
        <v>0.51300000000000001</v>
      </c>
      <c r="CA48" s="308">
        <f t="shared" si="20"/>
        <v>57</v>
      </c>
      <c r="CB48" s="148"/>
      <c r="CC48" s="170"/>
    </row>
    <row r="49" spans="2:93" ht="20.100000000000001" customHeight="1" x14ac:dyDescent="0.25">
      <c r="B49" s="287" t="s">
        <v>89</v>
      </c>
      <c r="C49" s="288"/>
      <c r="D49" s="289"/>
      <c r="E49" s="289">
        <v>1</v>
      </c>
      <c r="F49" s="245">
        <f t="shared" si="21"/>
        <v>70</v>
      </c>
      <c r="G49" s="278">
        <f>VLOOKUP(F49,AS$5:AT$25,2,FALSE)</f>
        <v>0.21</v>
      </c>
      <c r="H49" s="257">
        <f>SUM(E$42:E$50)-SUM(E$42:E49)</f>
        <v>0.49999999999998579</v>
      </c>
      <c r="I49" s="257">
        <f>H43</f>
        <v>50.099999999999994</v>
      </c>
      <c r="J49" s="96"/>
      <c r="K49" s="96"/>
      <c r="L49" s="88"/>
      <c r="M49" s="72"/>
      <c r="X49" s="21"/>
      <c r="Y49" s="137"/>
      <c r="Z49" s="140"/>
      <c r="AA49" s="139"/>
      <c r="AB49" s="60"/>
      <c r="BS49" s="30">
        <v>49</v>
      </c>
      <c r="BT49" s="63"/>
      <c r="BU49" s="63">
        <v>600</v>
      </c>
      <c r="BV49" s="63"/>
      <c r="BW49" s="307">
        <v>635</v>
      </c>
      <c r="BX49" s="63"/>
      <c r="BY49" s="310">
        <v>10.9</v>
      </c>
      <c r="BZ49" s="299">
        <f t="shared" si="22"/>
        <v>0.61299999999999999</v>
      </c>
      <c r="CA49" s="308">
        <f t="shared" si="20"/>
        <v>58</v>
      </c>
      <c r="CB49" s="148"/>
      <c r="CC49" s="170"/>
    </row>
    <row r="50" spans="2:93" ht="20.100000000000001" customHeight="1" x14ac:dyDescent="0.25">
      <c r="B50" s="287" t="s">
        <v>90</v>
      </c>
      <c r="C50" s="288"/>
      <c r="D50" s="289"/>
      <c r="E50" s="258">
        <f>100-(SUM(E42:E49))</f>
        <v>0.49999999999998579</v>
      </c>
      <c r="F50" s="245">
        <f t="shared" si="21"/>
        <v>100</v>
      </c>
      <c r="G50" s="278">
        <f>VLOOKUP(F50,AS$5:AT$25,2,FALSE)</f>
        <v>0.14899999999999999</v>
      </c>
      <c r="H50" s="257">
        <f>SUM(E$42:E$50)-SUM(E$42:E50)</f>
        <v>0</v>
      </c>
      <c r="I50" s="257">
        <f>H42</f>
        <v>83.8</v>
      </c>
      <c r="J50" s="247" t="str">
        <f>IF(OR(SUM(E42:E50)&lt;100,SUM(E42:E50)&gt;100),"Sumatoria de % arena retenida deber ser 100, verifique granuloemtría del medio filtrante","")</f>
        <v/>
      </c>
      <c r="K50" s="96"/>
      <c r="X50" s="21"/>
      <c r="Y50" s="137"/>
      <c r="Z50" s="140"/>
      <c r="AA50" s="139"/>
      <c r="AB50" s="60"/>
      <c r="BS50" s="30">
        <v>50</v>
      </c>
      <c r="BT50" s="901" t="str">
        <f>BP13</f>
        <v>Polietileno de alta densidad (PEAD) PE 100 RDE 21</v>
      </c>
      <c r="BU50" s="902"/>
      <c r="BV50" s="902"/>
      <c r="BW50" s="902"/>
      <c r="BX50" s="902"/>
      <c r="BY50" s="902"/>
      <c r="BZ50" s="902"/>
      <c r="CA50" s="903"/>
      <c r="CB50" s="148"/>
      <c r="CC50" s="170"/>
    </row>
    <row r="51" spans="2:93" ht="20.100000000000001" customHeight="1" x14ac:dyDescent="0.25">
      <c r="B51" s="96"/>
      <c r="C51" s="96"/>
      <c r="D51" s="96"/>
      <c r="E51" s="100"/>
      <c r="F51" s="96"/>
      <c r="G51" s="96"/>
      <c r="H51" s="96"/>
      <c r="I51" s="96"/>
      <c r="J51" s="96"/>
      <c r="K51" s="96"/>
      <c r="X51" s="21"/>
      <c r="Y51" s="137"/>
      <c r="Z51" s="140"/>
      <c r="AA51" s="139"/>
      <c r="AB51" s="60"/>
      <c r="BS51" s="30">
        <v>51</v>
      </c>
      <c r="BT51" s="63"/>
      <c r="BU51" s="63"/>
      <c r="BV51" s="63"/>
      <c r="BW51" s="307"/>
      <c r="BX51" s="63"/>
      <c r="BY51" s="310"/>
      <c r="BZ51" s="299"/>
      <c r="CA51" s="308"/>
      <c r="CB51" s="148"/>
      <c r="CC51" s="170"/>
    </row>
    <row r="52" spans="2:93" ht="20.100000000000001" customHeight="1" x14ac:dyDescent="0.25">
      <c r="B52" s="22" t="s">
        <v>217</v>
      </c>
      <c r="C52" s="99"/>
      <c r="D52" s="93"/>
      <c r="E52" s="99"/>
      <c r="F52" s="86"/>
      <c r="G52" s="101"/>
      <c r="H52" s="47"/>
      <c r="I52" s="47"/>
      <c r="J52" s="96"/>
      <c r="K52" s="96"/>
      <c r="X52" s="21"/>
      <c r="Y52" s="137"/>
      <c r="Z52" s="140"/>
      <c r="AA52" s="139"/>
      <c r="AB52" s="60"/>
      <c r="BS52" s="30">
        <v>52</v>
      </c>
      <c r="BT52" s="63"/>
      <c r="BU52" s="314">
        <v>160</v>
      </c>
      <c r="BV52" s="315"/>
      <c r="BW52" s="316">
        <v>160</v>
      </c>
      <c r="BX52" s="315"/>
      <c r="BY52" s="317">
        <v>7.7</v>
      </c>
      <c r="BZ52" s="299">
        <f t="shared" ref="BZ52:BZ57" si="23">ROUND((BW52-2*BY52)/1000,4)</f>
        <v>0.14460000000000001</v>
      </c>
      <c r="CA52" s="308">
        <f t="shared" ref="CA52:CA57" si="24">ROUND(BW52/BY52,0)</f>
        <v>21</v>
      </c>
      <c r="CB52" s="148"/>
      <c r="CC52" s="170"/>
    </row>
    <row r="53" spans="2:93" ht="20.100000000000001" customHeight="1" x14ac:dyDescent="0.25">
      <c r="B53" s="896"/>
      <c r="C53" s="18"/>
      <c r="D53" s="92"/>
      <c r="E53" s="934" t="s">
        <v>79</v>
      </c>
      <c r="F53" s="934" t="s">
        <v>96</v>
      </c>
      <c r="G53" s="841"/>
      <c r="H53" s="841"/>
      <c r="I53" s="956" t="s">
        <v>218</v>
      </c>
      <c r="J53" s="96"/>
      <c r="K53" s="96"/>
      <c r="X53" s="21"/>
      <c r="Y53" s="137"/>
      <c r="Z53" s="140"/>
      <c r="AA53" s="139"/>
      <c r="AB53" s="60"/>
      <c r="BS53" s="30">
        <v>53</v>
      </c>
      <c r="BT53" s="63"/>
      <c r="BU53" s="63">
        <v>200</v>
      </c>
      <c r="BV53" s="304"/>
      <c r="BW53" s="294">
        <v>200</v>
      </c>
      <c r="BX53" s="304"/>
      <c r="BY53" s="310">
        <v>9.6</v>
      </c>
      <c r="BZ53" s="299">
        <f t="shared" si="23"/>
        <v>0.18079999999999999</v>
      </c>
      <c r="CA53" s="308">
        <f t="shared" si="24"/>
        <v>21</v>
      </c>
      <c r="CB53" s="148"/>
      <c r="CC53" s="170"/>
    </row>
    <row r="54" spans="2:93" ht="20.100000000000001" customHeight="1" x14ac:dyDescent="0.25">
      <c r="B54" s="896"/>
      <c r="C54" s="18"/>
      <c r="D54" s="92"/>
      <c r="E54" s="934"/>
      <c r="F54" s="934"/>
      <c r="G54" s="841"/>
      <c r="H54" s="841"/>
      <c r="I54" s="956"/>
      <c r="J54" s="96"/>
      <c r="K54" s="96"/>
      <c r="X54" s="21"/>
      <c r="Y54" s="137"/>
      <c r="Z54" s="140"/>
      <c r="AA54" s="139"/>
      <c r="AB54" s="60"/>
      <c r="AI54" s="66"/>
      <c r="BS54" s="30">
        <v>54</v>
      </c>
      <c r="BT54" s="63"/>
      <c r="BU54" s="63">
        <v>250</v>
      </c>
      <c r="BV54" s="304"/>
      <c r="BW54" s="294">
        <v>250</v>
      </c>
      <c r="BX54" s="304"/>
      <c r="BY54" s="310">
        <v>11.9</v>
      </c>
      <c r="BZ54" s="299">
        <f t="shared" si="23"/>
        <v>0.22620000000000001</v>
      </c>
      <c r="CA54" s="308">
        <f t="shared" si="24"/>
        <v>21</v>
      </c>
      <c r="CB54" s="148"/>
      <c r="CC54" s="170"/>
    </row>
    <row r="55" spans="2:93" ht="20.100000000000001" customHeight="1" x14ac:dyDescent="0.25">
      <c r="B55" s="896"/>
      <c r="C55" s="18"/>
      <c r="D55" s="92"/>
      <c r="E55" s="934"/>
      <c r="F55" s="934"/>
      <c r="G55" s="841"/>
      <c r="H55" s="841"/>
      <c r="I55" s="956"/>
      <c r="J55" s="96"/>
      <c r="K55" s="96"/>
      <c r="X55" s="21"/>
      <c r="Y55" s="137"/>
      <c r="Z55" s="140"/>
      <c r="AA55" s="139"/>
      <c r="AB55" s="60"/>
      <c r="AI55" s="66"/>
      <c r="BS55" s="30">
        <v>55</v>
      </c>
      <c r="BT55" s="63"/>
      <c r="BU55" s="63">
        <v>315</v>
      </c>
      <c r="BV55" s="304"/>
      <c r="BW55" s="294">
        <v>315</v>
      </c>
      <c r="BX55" s="304"/>
      <c r="BY55" s="310">
        <v>15</v>
      </c>
      <c r="BZ55" s="299">
        <f t="shared" si="23"/>
        <v>0.28499999999999998</v>
      </c>
      <c r="CA55" s="308">
        <f t="shared" si="24"/>
        <v>21</v>
      </c>
      <c r="CB55" s="148"/>
      <c r="CC55" s="170"/>
    </row>
    <row r="56" spans="2:93" ht="20.100000000000001" customHeight="1" x14ac:dyDescent="0.25">
      <c r="B56" s="246" t="s">
        <v>456</v>
      </c>
      <c r="C56" s="94"/>
      <c r="D56" s="106"/>
      <c r="E56" s="246" t="e">
        <f>INDEX(#REF!,MATCH(10,I42:I50,1),1)</f>
        <v>#REF!</v>
      </c>
      <c r="F56" s="257" t="e">
        <f>VLOOKUP(E56,I$42:I$50,2,FALSE)</f>
        <v>#REF!</v>
      </c>
      <c r="G56" s="964" t="e">
        <f>(LOG(E56)+((10-F56)/(F57-F56))*LOG(E57/E56))</f>
        <v>#REF!</v>
      </c>
      <c r="H56" s="964"/>
      <c r="I56" s="802" t="e">
        <f>10^(G56)</f>
        <v>#REF!</v>
      </c>
      <c r="J56" s="226" t="e">
        <f>IF(I56&lt;0.45,"0,45&lt;d10&lt;0,55 ¡Verifique granulometría del medio filtrante!",IF(I56&gt;0.55,"0,45&lt;d10&lt;0,55, ¡Verifique granulometría del medio filtrante!","Ok"))</f>
        <v>#REF!</v>
      </c>
      <c r="K56" s="96"/>
      <c r="X56" s="21"/>
      <c r="Y56" s="137"/>
      <c r="Z56" s="140"/>
      <c r="AA56" s="139"/>
      <c r="AB56" s="60"/>
      <c r="BS56" s="30">
        <v>56</v>
      </c>
      <c r="BT56" s="63"/>
      <c r="BU56" s="63">
        <v>355</v>
      </c>
      <c r="BV56" s="304"/>
      <c r="BW56" s="294">
        <v>355</v>
      </c>
      <c r="BX56" s="304"/>
      <c r="BY56" s="310">
        <v>16.899999999999999</v>
      </c>
      <c r="BZ56" s="299">
        <f t="shared" si="23"/>
        <v>0.32119999999999999</v>
      </c>
      <c r="CA56" s="308">
        <f t="shared" si="24"/>
        <v>21</v>
      </c>
      <c r="CB56" s="148"/>
      <c r="CC56" s="170"/>
    </row>
    <row r="57" spans="2:93" ht="20.100000000000001" customHeight="1" x14ac:dyDescent="0.25">
      <c r="B57" s="246" t="s">
        <v>457</v>
      </c>
      <c r="C57" s="94"/>
      <c r="D57" s="106"/>
      <c r="E57" s="246">
        <f>INDEX(G42:G50,MATCH(10,H42:H50,-1),1)</f>
        <v>0.59499999999999997</v>
      </c>
      <c r="F57" s="257" t="e">
        <f>VLOOKUP(E57,I$42:I$50,2,FALSE)</f>
        <v>#N/A</v>
      </c>
      <c r="G57" s="964"/>
      <c r="H57" s="964"/>
      <c r="I57" s="802"/>
      <c r="J57" s="226"/>
      <c r="K57" s="96"/>
      <c r="X57" s="21"/>
      <c r="Y57" s="137"/>
      <c r="Z57" s="140"/>
      <c r="AA57" s="139"/>
      <c r="AB57" s="60"/>
      <c r="BS57" s="30">
        <v>57</v>
      </c>
      <c r="BT57" s="63"/>
      <c r="BU57" s="314">
        <v>400</v>
      </c>
      <c r="BV57" s="315"/>
      <c r="BW57" s="316">
        <v>400</v>
      </c>
      <c r="BX57" s="315"/>
      <c r="BY57" s="317">
        <v>19.100000000000001</v>
      </c>
      <c r="BZ57" s="299">
        <f t="shared" si="23"/>
        <v>0.36180000000000001</v>
      </c>
      <c r="CA57" s="308">
        <f t="shared" si="24"/>
        <v>21</v>
      </c>
      <c r="CB57" s="148"/>
      <c r="CC57" s="170"/>
    </row>
    <row r="58" spans="2:93" ht="20.100000000000001" customHeight="1" x14ac:dyDescent="0.25">
      <c r="B58" s="102"/>
      <c r="C58" s="99"/>
      <c r="D58" s="93"/>
      <c r="E58" s="47"/>
      <c r="F58" s="103"/>
      <c r="G58" s="93"/>
      <c r="H58" s="93"/>
      <c r="I58" s="47"/>
      <c r="J58" s="96"/>
      <c r="K58" s="96"/>
      <c r="X58" s="21"/>
      <c r="Y58" s="137"/>
      <c r="Z58" s="140"/>
      <c r="AA58" s="139"/>
      <c r="AB58" s="60"/>
      <c r="BS58" s="30">
        <v>58</v>
      </c>
      <c r="BT58" s="901" t="str">
        <f>BP14</f>
        <v>Polietileno de alta densidad (PEAD) PE 100 RDE 17</v>
      </c>
      <c r="BU58" s="902"/>
      <c r="BV58" s="902"/>
      <c r="BW58" s="902"/>
      <c r="BX58" s="902"/>
      <c r="BY58" s="902"/>
      <c r="BZ58" s="902"/>
      <c r="CA58" s="903"/>
      <c r="CB58" s="148"/>
      <c r="CC58" s="170"/>
      <c r="CD58" s="725"/>
      <c r="CE58" s="725"/>
      <c r="CF58" s="725"/>
      <c r="CG58" s="725"/>
      <c r="CH58" s="725"/>
      <c r="CI58" s="725"/>
      <c r="CJ58" s="725"/>
      <c r="CK58" s="725"/>
      <c r="CL58" s="725"/>
      <c r="CM58" s="725"/>
      <c r="CN58" s="725"/>
      <c r="CO58" s="725"/>
    </row>
    <row r="59" spans="2:93" ht="20.100000000000001" customHeight="1" x14ac:dyDescent="0.25">
      <c r="B59" s="22" t="s">
        <v>219</v>
      </c>
      <c r="C59" s="99"/>
      <c r="D59" s="93"/>
      <c r="E59" s="47"/>
      <c r="F59" s="103"/>
      <c r="G59" s="93"/>
      <c r="H59" s="93"/>
      <c r="I59" s="47"/>
      <c r="J59" s="96"/>
      <c r="K59" s="96"/>
      <c r="X59" s="21"/>
      <c r="Y59" s="137"/>
      <c r="Z59" s="140"/>
      <c r="AA59" s="139"/>
      <c r="AB59" s="60"/>
      <c r="BS59" s="30">
        <v>59</v>
      </c>
      <c r="BT59" s="63"/>
      <c r="BU59" s="63"/>
      <c r="BV59" s="63"/>
      <c r="BW59" s="307"/>
      <c r="BX59" s="63"/>
      <c r="BY59" s="310"/>
      <c r="BZ59" s="299"/>
      <c r="CA59" s="308"/>
      <c r="CB59" s="148"/>
      <c r="CC59" s="170"/>
      <c r="CD59" s="7"/>
      <c r="CE59" s="7"/>
      <c r="CF59" s="7"/>
      <c r="CG59" s="7"/>
      <c r="CH59" s="7"/>
      <c r="CI59" s="21"/>
      <c r="CJ59" s="21"/>
      <c r="CK59" s="21"/>
      <c r="CL59" s="21"/>
      <c r="CM59" s="21"/>
      <c r="CN59" s="21"/>
      <c r="CO59" s="21"/>
    </row>
    <row r="60" spans="2:93" ht="20.100000000000001" customHeight="1" x14ac:dyDescent="0.25">
      <c r="B60" s="896"/>
      <c r="C60" s="18"/>
      <c r="D60" s="92"/>
      <c r="E60" s="934" t="s">
        <v>79</v>
      </c>
      <c r="F60" s="934" t="s">
        <v>96</v>
      </c>
      <c r="G60" s="841"/>
      <c r="H60" s="841"/>
      <c r="I60" s="956" t="s">
        <v>220</v>
      </c>
      <c r="J60" s="96"/>
      <c r="K60" s="96"/>
      <c r="X60" s="21"/>
      <c r="Y60" s="137"/>
      <c r="Z60" s="140"/>
      <c r="AA60" s="139"/>
      <c r="AB60" s="60"/>
      <c r="BS60" s="30">
        <v>60</v>
      </c>
      <c r="BT60" s="63"/>
      <c r="BU60" s="63">
        <v>160</v>
      </c>
      <c r="BV60" s="318"/>
      <c r="BW60" s="294">
        <v>160</v>
      </c>
      <c r="BX60" s="318"/>
      <c r="BY60" s="63">
        <v>9.5</v>
      </c>
      <c r="BZ60" s="299">
        <f t="shared" ref="BZ60:BZ65" si="25">ROUND((BW60-2*BY60)/1000,4)</f>
        <v>0.14099999999999999</v>
      </c>
      <c r="CA60" s="319">
        <f t="shared" ref="CA60:CA65" si="26">ROUND(BW60/BY60,0)</f>
        <v>17</v>
      </c>
      <c r="CB60" s="148"/>
      <c r="CC60" s="170"/>
      <c r="CD60" s="21"/>
      <c r="CE60" s="21"/>
      <c r="CF60" s="21"/>
      <c r="CG60" s="21"/>
      <c r="CH60" s="21"/>
      <c r="CI60" s="21"/>
      <c r="CJ60" s="43"/>
      <c r="CK60" s="21"/>
      <c r="CL60" s="21"/>
      <c r="CM60" s="21"/>
      <c r="CN60" s="21"/>
      <c r="CO60" s="35"/>
    </row>
    <row r="61" spans="2:93" ht="20.100000000000001" customHeight="1" x14ac:dyDescent="0.25">
      <c r="B61" s="896"/>
      <c r="C61" s="18"/>
      <c r="D61" s="92"/>
      <c r="E61" s="934"/>
      <c r="F61" s="934"/>
      <c r="G61" s="841"/>
      <c r="H61" s="841"/>
      <c r="I61" s="956"/>
      <c r="J61" s="96"/>
      <c r="K61" s="96"/>
      <c r="X61" s="21"/>
      <c r="Y61" s="137"/>
      <c r="Z61" s="140"/>
      <c r="AA61" s="139"/>
      <c r="AB61" s="60"/>
      <c r="BS61" s="30">
        <v>61</v>
      </c>
      <c r="BT61" s="312"/>
      <c r="BU61" s="63">
        <v>200</v>
      </c>
      <c r="BV61" s="63"/>
      <c r="BW61" s="294">
        <v>200</v>
      </c>
      <c r="BX61" s="63"/>
      <c r="BY61" s="63">
        <v>11.9</v>
      </c>
      <c r="BZ61" s="299">
        <f t="shared" si="25"/>
        <v>0.1762</v>
      </c>
      <c r="CA61" s="319">
        <f t="shared" si="26"/>
        <v>17</v>
      </c>
      <c r="CB61" s="195"/>
      <c r="CC61" s="170"/>
      <c r="CD61" s="21"/>
      <c r="CE61" s="21"/>
      <c r="CF61" s="21"/>
      <c r="CG61" s="21"/>
      <c r="CH61" s="21"/>
      <c r="CI61" s="21"/>
      <c r="CJ61" s="43"/>
      <c r="CK61" s="21"/>
      <c r="CL61" s="21"/>
      <c r="CM61" s="21"/>
      <c r="CN61" s="21"/>
      <c r="CO61" s="35"/>
    </row>
    <row r="62" spans="2:93" ht="20.100000000000001" customHeight="1" x14ac:dyDescent="0.25">
      <c r="B62" s="896"/>
      <c r="C62" s="18"/>
      <c r="D62" s="92"/>
      <c r="E62" s="934"/>
      <c r="F62" s="934"/>
      <c r="G62" s="841"/>
      <c r="H62" s="841"/>
      <c r="I62" s="956"/>
      <c r="J62" s="96"/>
      <c r="K62" s="96"/>
      <c r="X62" s="21"/>
      <c r="Y62" s="137"/>
      <c r="Z62" s="140"/>
      <c r="AA62" s="139"/>
      <c r="AB62" s="60"/>
      <c r="BS62" s="30">
        <v>62</v>
      </c>
      <c r="BT62" s="305"/>
      <c r="BU62" s="63">
        <v>250</v>
      </c>
      <c r="BV62" s="63"/>
      <c r="BW62" s="294">
        <v>250</v>
      </c>
      <c r="BX62" s="63"/>
      <c r="BY62" s="63">
        <v>14.8</v>
      </c>
      <c r="BZ62" s="299">
        <f t="shared" si="25"/>
        <v>0.22040000000000001</v>
      </c>
      <c r="CA62" s="301">
        <f t="shared" si="26"/>
        <v>17</v>
      </c>
      <c r="CB62" s="196"/>
      <c r="CC62" s="170"/>
      <c r="CD62" s="21"/>
      <c r="CE62" s="21"/>
      <c r="CF62" s="21"/>
      <c r="CG62" s="21"/>
      <c r="CH62" s="21"/>
      <c r="CI62" s="7"/>
      <c r="CJ62" s="43"/>
      <c r="CK62" s="7"/>
      <c r="CL62" s="7"/>
      <c r="CM62" s="21"/>
      <c r="CN62" s="21"/>
      <c r="CO62" s="35"/>
    </row>
    <row r="63" spans="2:93" ht="20.100000000000001" customHeight="1" x14ac:dyDescent="0.25">
      <c r="B63" s="246" t="s">
        <v>456</v>
      </c>
      <c r="C63" s="94"/>
      <c r="D63" s="106"/>
      <c r="E63" s="246" t="e">
        <f>INDEX(#REF!,MATCH(60,I42:I50,1),1)</f>
        <v>#REF!</v>
      </c>
      <c r="F63" s="257" t="e">
        <f>VLOOKUP(E63,I$42:I$50,2,FALSE)</f>
        <v>#REF!</v>
      </c>
      <c r="G63" s="964" t="e">
        <f>(LOG(E63)+((60-F63)/(F64-F63))*LOG(E64/E63))</f>
        <v>#REF!</v>
      </c>
      <c r="H63" s="964"/>
      <c r="I63" s="802" t="e">
        <f>10^(G63)</f>
        <v>#REF!</v>
      </c>
      <c r="J63" s="829"/>
      <c r="K63" s="96"/>
      <c r="X63" s="21"/>
      <c r="Y63" s="137"/>
      <c r="Z63" s="140"/>
      <c r="AA63" s="139"/>
      <c r="AB63" s="60"/>
      <c r="BS63" s="30">
        <v>63</v>
      </c>
      <c r="BT63" s="63"/>
      <c r="BU63" s="63">
        <v>315</v>
      </c>
      <c r="BV63" s="304"/>
      <c r="BW63" s="294">
        <v>315</v>
      </c>
      <c r="BX63" s="304"/>
      <c r="BY63" s="63">
        <v>18.7</v>
      </c>
      <c r="BZ63" s="299">
        <f t="shared" si="25"/>
        <v>0.27760000000000001</v>
      </c>
      <c r="CA63" s="320">
        <f t="shared" si="26"/>
        <v>17</v>
      </c>
      <c r="CB63" s="148"/>
      <c r="CC63" s="170"/>
      <c r="CD63" s="21"/>
      <c r="CE63" s="21"/>
      <c r="CF63" s="21"/>
      <c r="CG63" s="21"/>
      <c r="CH63" s="21"/>
      <c r="CI63" s="7"/>
      <c r="CJ63" s="43"/>
      <c r="CK63" s="7"/>
      <c r="CL63" s="7"/>
      <c r="CM63" s="21"/>
      <c r="CN63" s="21"/>
      <c r="CO63" s="35"/>
    </row>
    <row r="64" spans="2:93" ht="20.100000000000001" customHeight="1" x14ac:dyDescent="0.25">
      <c r="B64" s="246" t="s">
        <v>457</v>
      </c>
      <c r="C64" s="94"/>
      <c r="D64" s="106"/>
      <c r="E64" s="246">
        <f>INDEX(G42:G50,MATCH(60,H42:H50,-1),1)</f>
        <v>0.84099999999999997</v>
      </c>
      <c r="F64" s="257" t="e">
        <f>VLOOKUP(E64,I$42:I$50,2,FALSE)</f>
        <v>#N/A</v>
      </c>
      <c r="G64" s="964"/>
      <c r="H64" s="964"/>
      <c r="I64" s="802"/>
      <c r="J64" s="829"/>
      <c r="K64" s="96"/>
      <c r="X64" s="21"/>
      <c r="Y64" s="137"/>
      <c r="Z64" s="140"/>
      <c r="AA64" s="139"/>
      <c r="AB64" s="60"/>
      <c r="BS64" s="30">
        <v>64</v>
      </c>
      <c r="BT64" s="63"/>
      <c r="BU64" s="63">
        <v>355</v>
      </c>
      <c r="BV64" s="304"/>
      <c r="BW64" s="294">
        <v>355</v>
      </c>
      <c r="BX64" s="304"/>
      <c r="BY64" s="63">
        <v>21.1</v>
      </c>
      <c r="BZ64" s="299">
        <f t="shared" si="25"/>
        <v>0.31280000000000002</v>
      </c>
      <c r="CA64" s="308">
        <f t="shared" si="26"/>
        <v>17</v>
      </c>
      <c r="CB64" s="148"/>
      <c r="CC64" s="170"/>
      <c r="CD64" s="21"/>
      <c r="CE64" s="21"/>
      <c r="CF64" s="21"/>
      <c r="CG64" s="21"/>
      <c r="CH64" s="21"/>
      <c r="CI64" s="7"/>
      <c r="CJ64" s="43"/>
      <c r="CK64" s="7"/>
      <c r="CL64" s="7"/>
      <c r="CM64" s="21"/>
      <c r="CN64" s="21"/>
      <c r="CO64" s="35"/>
    </row>
    <row r="65" spans="2:93" ht="20.100000000000001" customHeight="1" x14ac:dyDescent="0.25">
      <c r="B65" s="102"/>
      <c r="C65" s="99"/>
      <c r="D65" s="93"/>
      <c r="E65" s="47"/>
      <c r="F65" s="103"/>
      <c r="G65" s="93"/>
      <c r="H65" s="93"/>
      <c r="I65" s="47"/>
      <c r="J65" s="96"/>
      <c r="K65" s="96"/>
      <c r="X65" s="21"/>
      <c r="Y65" s="137"/>
      <c r="Z65" s="140"/>
      <c r="AA65" s="139"/>
      <c r="AB65" s="60"/>
      <c r="BS65" s="30">
        <v>65</v>
      </c>
      <c r="BT65" s="305"/>
      <c r="BU65" s="63">
        <v>400</v>
      </c>
      <c r="BV65" s="315"/>
      <c r="BW65" s="294">
        <v>400</v>
      </c>
      <c r="BX65" s="315"/>
      <c r="BY65" s="63">
        <v>23.7</v>
      </c>
      <c r="BZ65" s="299">
        <f t="shared" si="25"/>
        <v>0.35260000000000002</v>
      </c>
      <c r="CA65" s="308">
        <f t="shared" si="26"/>
        <v>17</v>
      </c>
      <c r="CB65" s="148"/>
      <c r="CC65" s="170"/>
      <c r="CD65" s="725"/>
      <c r="CE65" s="725"/>
      <c r="CF65" s="725"/>
      <c r="CG65" s="725"/>
      <c r="CH65" s="725"/>
      <c r="CI65" s="725"/>
      <c r="CJ65" s="725"/>
      <c r="CK65" s="725"/>
      <c r="CL65" s="725"/>
      <c r="CM65" s="725"/>
      <c r="CN65" s="725"/>
      <c r="CO65" s="725"/>
    </row>
    <row r="66" spans="2:93" ht="20.100000000000001" customHeight="1" x14ac:dyDescent="0.25">
      <c r="B66" s="104" t="s">
        <v>113</v>
      </c>
      <c r="C66" s="99"/>
      <c r="D66" s="93"/>
      <c r="E66" s="47"/>
      <c r="F66" s="103"/>
      <c r="G66" s="93"/>
      <c r="H66" s="93"/>
      <c r="I66" s="47"/>
      <c r="J66" s="96"/>
      <c r="K66" s="96"/>
      <c r="U66" s="141"/>
      <c r="X66" s="21"/>
      <c r="Y66" s="137"/>
      <c r="Z66" s="140"/>
      <c r="AA66" s="139"/>
      <c r="AB66" s="60"/>
      <c r="BS66" s="30">
        <v>66</v>
      </c>
      <c r="BT66" s="904" t="str">
        <f>BP15</f>
        <v>Policluro de vinilo (PVC) RDE 26</v>
      </c>
      <c r="BU66" s="905"/>
      <c r="BV66" s="905"/>
      <c r="BW66" s="905"/>
      <c r="BX66" s="905"/>
      <c r="BY66" s="905"/>
      <c r="BZ66" s="905"/>
      <c r="CA66" s="906"/>
      <c r="CB66" s="148"/>
      <c r="CC66" s="170"/>
      <c r="CD66" s="134"/>
      <c r="CE66" s="167"/>
      <c r="CF66" s="167"/>
      <c r="CG66" s="169"/>
      <c r="CH66" s="169"/>
      <c r="CI66" s="7"/>
      <c r="CJ66" s="7"/>
      <c r="CK66" s="7"/>
      <c r="CL66" s="7"/>
      <c r="CM66" s="7"/>
      <c r="CN66" s="7"/>
      <c r="CO66" s="7"/>
    </row>
    <row r="67" spans="2:93" ht="20.100000000000001" customHeight="1" x14ac:dyDescent="0.25">
      <c r="B67" s="931" t="s">
        <v>221</v>
      </c>
      <c r="C67" s="18"/>
      <c r="D67" s="92"/>
      <c r="E67" s="931" t="s">
        <v>220</v>
      </c>
      <c r="F67" s="963" t="s">
        <v>99</v>
      </c>
      <c r="G67" s="963"/>
      <c r="H67" s="93"/>
      <c r="I67" s="47"/>
      <c r="J67" s="96"/>
      <c r="K67" s="96"/>
      <c r="X67" s="21"/>
      <c r="Y67" s="137"/>
      <c r="Z67" s="140"/>
      <c r="AA67" s="139"/>
      <c r="AB67" s="60"/>
      <c r="BS67" s="30">
        <v>67</v>
      </c>
      <c r="BT67" s="304"/>
      <c r="BU67" s="63"/>
      <c r="BV67" s="304"/>
      <c r="BW67" s="294"/>
      <c r="BX67" s="304"/>
      <c r="BY67" s="310"/>
      <c r="BZ67" s="299"/>
      <c r="CA67" s="308"/>
      <c r="CB67" s="148"/>
      <c r="CC67" s="170"/>
      <c r="CD67" s="21"/>
      <c r="CE67" s="21"/>
      <c r="CF67" s="21"/>
      <c r="CG67" s="21"/>
      <c r="CH67" s="21"/>
      <c r="CI67" s="7"/>
      <c r="CJ67" s="43"/>
      <c r="CK67" s="7"/>
      <c r="CL67" s="7"/>
      <c r="CM67" s="42"/>
      <c r="CN67" s="42"/>
      <c r="CO67" s="35"/>
    </row>
    <row r="68" spans="2:93" ht="20.100000000000001" customHeight="1" x14ac:dyDescent="0.25">
      <c r="B68" s="932"/>
      <c r="C68" s="18"/>
      <c r="D68" s="92"/>
      <c r="E68" s="932"/>
      <c r="F68" s="963"/>
      <c r="G68" s="963"/>
      <c r="H68" s="93"/>
      <c r="I68" s="47"/>
      <c r="J68" s="96"/>
      <c r="K68" s="96"/>
      <c r="W68" s="34"/>
      <c r="X68" s="21"/>
      <c r="Y68" s="137"/>
      <c r="Z68" s="140"/>
      <c r="AA68" s="139"/>
      <c r="AB68" s="60"/>
      <c r="BS68" s="30">
        <v>68</v>
      </c>
      <c r="BT68" s="63">
        <v>6</v>
      </c>
      <c r="BU68" s="63">
        <f t="shared" ref="BU68:BU76" si="27">IF(BT68=6,150,IF(BT68=8,200,IF(BT68=10,250,IF(BT68=12,300,IF(BT68=14,350,IF(BT68=16,400,IF(BT68=18,450,IF(BT68=20,500,IF(BT68=24,600)))))))))</f>
        <v>150</v>
      </c>
      <c r="BV68" s="321">
        <v>6.62</v>
      </c>
      <c r="BW68" s="64"/>
      <c r="BX68" s="299">
        <v>0.25</v>
      </c>
      <c r="BY68" s="64"/>
      <c r="BZ68" s="299">
        <f>ROUND((BV68-(2*BX68))*0.0254,4)</f>
        <v>0.15540000000000001</v>
      </c>
      <c r="CA68" s="308">
        <f t="shared" ref="CA68:CA76" si="28">ROUND(BV68/BX68,0)</f>
        <v>26</v>
      </c>
      <c r="CB68" s="148"/>
      <c r="CC68" s="170"/>
      <c r="CD68" s="21"/>
      <c r="CE68" s="21"/>
      <c r="CF68" s="21"/>
      <c r="CG68" s="21"/>
      <c r="CH68" s="21"/>
      <c r="CI68" s="7"/>
      <c r="CJ68" s="43"/>
      <c r="CK68" s="7"/>
      <c r="CL68" s="7"/>
      <c r="CM68" s="42"/>
      <c r="CN68" s="42"/>
      <c r="CO68" s="35"/>
    </row>
    <row r="69" spans="2:93" ht="20.100000000000001" customHeight="1" x14ac:dyDescent="0.25">
      <c r="B69" s="933"/>
      <c r="C69" s="18"/>
      <c r="D69" s="92"/>
      <c r="E69" s="933"/>
      <c r="F69" s="963"/>
      <c r="G69" s="963"/>
      <c r="H69" s="93"/>
      <c r="I69" s="47"/>
      <c r="J69" s="96"/>
      <c r="K69" s="96"/>
      <c r="W69" s="34"/>
      <c r="X69" s="21"/>
      <c r="Y69" s="137"/>
      <c r="Z69" s="140"/>
      <c r="AA69" s="139"/>
      <c r="AB69" s="60"/>
      <c r="BS69" s="30">
        <v>69</v>
      </c>
      <c r="BT69" s="64">
        <v>8</v>
      </c>
      <c r="BU69" s="63">
        <f t="shared" si="27"/>
        <v>200</v>
      </c>
      <c r="BV69" s="321">
        <v>8.6199999999999992</v>
      </c>
      <c r="BW69" s="64"/>
      <c r="BX69" s="299">
        <v>0.33</v>
      </c>
      <c r="BY69" s="64"/>
      <c r="BZ69" s="299">
        <f t="shared" ref="BZ69:BZ76" si="29">ROUND((BV69-(2*BX69))*0.0254,3)</f>
        <v>0.20200000000000001</v>
      </c>
      <c r="CA69" s="308">
        <f t="shared" si="28"/>
        <v>26</v>
      </c>
      <c r="CB69" s="195"/>
      <c r="CC69" s="170"/>
      <c r="CD69" s="21"/>
      <c r="CE69" s="21"/>
      <c r="CF69" s="21"/>
      <c r="CG69" s="21"/>
      <c r="CH69" s="21"/>
      <c r="CI69" s="7"/>
      <c r="CJ69" s="43"/>
      <c r="CK69" s="7"/>
      <c r="CL69" s="7"/>
      <c r="CM69" s="42"/>
      <c r="CN69" s="42"/>
      <c r="CO69" s="35"/>
    </row>
    <row r="70" spans="2:93" ht="20.100000000000001" customHeight="1" x14ac:dyDescent="0.25">
      <c r="B70" s="246" t="e">
        <f>I56</f>
        <v>#REF!</v>
      </c>
      <c r="C70" s="94"/>
      <c r="D70" s="106"/>
      <c r="E70" s="246" t="e">
        <f>I63</f>
        <v>#REF!</v>
      </c>
      <c r="F70" s="965" t="e">
        <f>E70/B70</f>
        <v>#REF!</v>
      </c>
      <c r="G70" s="965"/>
      <c r="H70" s="217" t="e">
        <f>IF(F70&lt;1.35,"1,35&lt;CU&lt;1,70 ¡Verifique granulometría del medio filtrante!",IF(F70&gt;1.7,"1,35&lt;CU&lt;1,70, ¡Verifique granulometría del medio filtrante!","Ok"))</f>
        <v>#REF!</v>
      </c>
      <c r="I70" s="47"/>
      <c r="J70" s="96"/>
      <c r="K70" s="96"/>
      <c r="W70" s="34"/>
      <c r="X70" s="21"/>
      <c r="Y70" s="137"/>
      <c r="Z70" s="140"/>
      <c r="AA70" s="139"/>
      <c r="AB70" s="60"/>
      <c r="BS70" s="30">
        <v>70</v>
      </c>
      <c r="BT70" s="64">
        <v>10</v>
      </c>
      <c r="BU70" s="63">
        <f t="shared" si="27"/>
        <v>250</v>
      </c>
      <c r="BV70" s="321">
        <v>10.75</v>
      </c>
      <c r="BW70" s="64"/>
      <c r="BX70" s="299">
        <v>0.41</v>
      </c>
      <c r="BY70" s="64"/>
      <c r="BZ70" s="299">
        <f t="shared" si="29"/>
        <v>0.252</v>
      </c>
      <c r="CA70" s="308">
        <f t="shared" si="28"/>
        <v>26</v>
      </c>
      <c r="CB70" s="196"/>
      <c r="CC70" s="170"/>
      <c r="CD70" s="21"/>
      <c r="CE70" s="21"/>
      <c r="CF70" s="21"/>
      <c r="CG70" s="21"/>
      <c r="CH70" s="21"/>
      <c r="CI70" s="7"/>
      <c r="CJ70" s="43"/>
      <c r="CK70" s="7"/>
      <c r="CL70" s="7"/>
      <c r="CM70" s="42"/>
      <c r="CN70" s="42"/>
      <c r="CO70" s="35"/>
    </row>
    <row r="71" spans="2:93" ht="20.100000000000001" customHeight="1" x14ac:dyDescent="0.25">
      <c r="W71" s="34"/>
      <c r="X71" s="34"/>
      <c r="Y71" s="34"/>
      <c r="Z71" s="34"/>
      <c r="AA71" s="34"/>
      <c r="AB71" s="60"/>
      <c r="BS71" s="30">
        <v>71</v>
      </c>
      <c r="BT71" s="64">
        <v>12</v>
      </c>
      <c r="BU71" s="63">
        <f t="shared" si="27"/>
        <v>300</v>
      </c>
      <c r="BV71" s="321">
        <v>12.75</v>
      </c>
      <c r="BW71" s="64"/>
      <c r="BX71" s="299">
        <v>0.49</v>
      </c>
      <c r="BY71" s="64"/>
      <c r="BZ71" s="299">
        <f t="shared" si="29"/>
        <v>0.29899999999999999</v>
      </c>
      <c r="CA71" s="308">
        <f t="shared" si="28"/>
        <v>26</v>
      </c>
      <c r="CB71" s="149"/>
      <c r="CC71" s="170"/>
      <c r="CD71" s="21"/>
      <c r="CE71" s="21"/>
      <c r="CF71" s="21"/>
      <c r="CG71" s="21"/>
      <c r="CH71" s="21"/>
      <c r="CI71" s="7"/>
      <c r="CJ71" s="43"/>
      <c r="CK71" s="7"/>
      <c r="CL71" s="7"/>
      <c r="CM71" s="42"/>
      <c r="CN71" s="42"/>
      <c r="CO71" s="35"/>
    </row>
    <row r="72" spans="2:93" ht="20.100000000000001" customHeight="1" x14ac:dyDescent="0.25">
      <c r="B72" s="32" t="s">
        <v>157</v>
      </c>
      <c r="W72" s="34"/>
      <c r="X72" s="34"/>
      <c r="Y72" s="34"/>
      <c r="Z72" s="34"/>
      <c r="AA72" s="67"/>
      <c r="AB72" s="60"/>
      <c r="BS72" s="30">
        <v>72</v>
      </c>
      <c r="BT72" s="64">
        <v>14</v>
      </c>
      <c r="BU72" s="63">
        <f t="shared" si="27"/>
        <v>350</v>
      </c>
      <c r="BV72" s="321">
        <v>14</v>
      </c>
      <c r="BW72" s="64"/>
      <c r="BX72" s="299">
        <v>0.54</v>
      </c>
      <c r="BY72" s="64"/>
      <c r="BZ72" s="299">
        <f t="shared" si="29"/>
        <v>0.32800000000000001</v>
      </c>
      <c r="CA72" s="308">
        <f t="shared" si="28"/>
        <v>26</v>
      </c>
      <c r="CB72" s="149"/>
      <c r="CC72" s="170"/>
      <c r="CD72" s="725"/>
      <c r="CE72" s="725"/>
      <c r="CF72" s="725"/>
      <c r="CG72" s="725"/>
      <c r="CH72" s="725"/>
      <c r="CI72" s="725"/>
      <c r="CJ72" s="725"/>
      <c r="CK72" s="725"/>
      <c r="CL72" s="725"/>
      <c r="CM72" s="725"/>
      <c r="CN72" s="725"/>
      <c r="CO72" s="725"/>
    </row>
    <row r="73" spans="2:93" ht="20.100000000000001" customHeight="1" x14ac:dyDescent="0.25">
      <c r="B73" s="664" t="s">
        <v>411</v>
      </c>
      <c r="C73" s="665"/>
      <c r="D73" s="665"/>
      <c r="E73" s="665"/>
      <c r="F73" s="665"/>
      <c r="G73" s="666"/>
      <c r="H73" s="736" t="s">
        <v>414</v>
      </c>
      <c r="I73" s="737"/>
      <c r="W73" s="34"/>
      <c r="X73" s="34"/>
      <c r="Y73" s="34"/>
      <c r="Z73" s="34"/>
      <c r="AA73" s="67"/>
      <c r="AB73" s="224"/>
      <c r="BS73" s="30">
        <v>73</v>
      </c>
      <c r="BT73" s="64">
        <v>16</v>
      </c>
      <c r="BU73" s="63">
        <f t="shared" si="27"/>
        <v>400</v>
      </c>
      <c r="BV73" s="321">
        <v>16</v>
      </c>
      <c r="BW73" s="64"/>
      <c r="BX73" s="299">
        <v>0.61</v>
      </c>
      <c r="BY73" s="64"/>
      <c r="BZ73" s="299">
        <f t="shared" si="29"/>
        <v>0.375</v>
      </c>
      <c r="CA73" s="308">
        <f t="shared" si="28"/>
        <v>26</v>
      </c>
      <c r="CB73" s="149"/>
      <c r="CC73" s="222"/>
      <c r="CD73" s="221"/>
      <c r="CE73" s="221"/>
      <c r="CF73" s="221"/>
      <c r="CG73" s="221"/>
      <c r="CH73" s="221"/>
      <c r="CI73" s="221"/>
      <c r="CJ73" s="221"/>
      <c r="CK73" s="221"/>
      <c r="CL73" s="221"/>
      <c r="CM73" s="221"/>
      <c r="CN73" s="221"/>
      <c r="CO73" s="221"/>
    </row>
    <row r="74" spans="2:93" ht="20.100000000000001" customHeight="1" x14ac:dyDescent="0.25">
      <c r="B74" s="664" t="s">
        <v>159</v>
      </c>
      <c r="C74" s="665"/>
      <c r="D74" s="665"/>
      <c r="E74" s="665"/>
      <c r="F74" s="665"/>
      <c r="G74" s="666"/>
      <c r="H74" s="95" t="s">
        <v>46</v>
      </c>
      <c r="I74" s="106" t="s">
        <v>3</v>
      </c>
      <c r="J74" s="20"/>
      <c r="K74" s="108"/>
      <c r="W74" s="34"/>
      <c r="X74" s="34"/>
      <c r="Y74" s="34"/>
      <c r="Z74" s="34"/>
      <c r="AA74" s="34"/>
      <c r="BS74" s="30">
        <v>74</v>
      </c>
      <c r="BT74" s="417">
        <v>18</v>
      </c>
      <c r="BU74" s="375">
        <f t="shared" si="27"/>
        <v>450</v>
      </c>
      <c r="BV74" s="418">
        <v>18</v>
      </c>
      <c r="BW74" s="417"/>
      <c r="BX74" s="419">
        <v>0.69</v>
      </c>
      <c r="BY74" s="417"/>
      <c r="BZ74" s="419">
        <f t="shared" si="29"/>
        <v>0.42199999999999999</v>
      </c>
      <c r="CA74" s="379">
        <f t="shared" si="28"/>
        <v>26</v>
      </c>
      <c r="CB74" s="147"/>
      <c r="CC74" s="170"/>
      <c r="CD74" s="21"/>
      <c r="CE74" s="21"/>
      <c r="CF74" s="21"/>
      <c r="CG74" s="21"/>
      <c r="CH74" s="21"/>
      <c r="CI74" s="34"/>
      <c r="CJ74" s="43"/>
      <c r="CK74" s="34"/>
      <c r="CL74" s="34"/>
      <c r="CM74" s="42"/>
      <c r="CN74" s="42"/>
      <c r="CO74" s="35"/>
    </row>
    <row r="75" spans="2:93" ht="20.100000000000001" customHeight="1" x14ac:dyDescent="0.25">
      <c r="B75" s="664" t="s">
        <v>155</v>
      </c>
      <c r="C75" s="665"/>
      <c r="D75" s="665"/>
      <c r="E75" s="665"/>
      <c r="F75" s="665"/>
      <c r="G75" s="666"/>
      <c r="H75" s="95" t="s">
        <v>156</v>
      </c>
      <c r="I75" s="106"/>
      <c r="J75" s="20"/>
      <c r="K75" s="108"/>
      <c r="W75" s="34"/>
      <c r="X75" s="34"/>
      <c r="Y75" s="34"/>
      <c r="Z75" s="34"/>
      <c r="AA75" s="34"/>
      <c r="BS75" s="30">
        <v>75</v>
      </c>
      <c r="BT75" s="64">
        <v>20</v>
      </c>
      <c r="BU75" s="63">
        <f t="shared" si="27"/>
        <v>500</v>
      </c>
      <c r="BV75" s="321">
        <v>20</v>
      </c>
      <c r="BW75" s="64"/>
      <c r="BX75" s="299">
        <v>0.77</v>
      </c>
      <c r="BY75" s="64"/>
      <c r="BZ75" s="299">
        <f t="shared" si="29"/>
        <v>0.46899999999999997</v>
      </c>
      <c r="CA75" s="308">
        <f t="shared" si="28"/>
        <v>26</v>
      </c>
      <c r="CB75" s="148"/>
      <c r="CC75" s="170"/>
      <c r="CD75" s="21"/>
      <c r="CE75" s="21"/>
      <c r="CF75" s="21"/>
      <c r="CG75" s="21"/>
      <c r="CH75" s="21"/>
      <c r="CI75" s="34"/>
      <c r="CJ75" s="43"/>
      <c r="CK75" s="34"/>
      <c r="CL75" s="34"/>
      <c r="CM75" s="42"/>
      <c r="CN75" s="42"/>
      <c r="CO75" s="35"/>
    </row>
    <row r="76" spans="2:93" ht="20.100000000000001" customHeight="1" x14ac:dyDescent="0.25">
      <c r="B76" s="664" t="s">
        <v>115</v>
      </c>
      <c r="C76" s="665"/>
      <c r="D76" s="665"/>
      <c r="E76" s="665"/>
      <c r="F76" s="665"/>
      <c r="G76" s="666"/>
      <c r="H76" s="95" t="s">
        <v>122</v>
      </c>
      <c r="I76" s="77"/>
      <c r="J76" s="56"/>
      <c r="K76" s="56"/>
      <c r="W76" s="34"/>
      <c r="X76" s="34"/>
      <c r="Y76" s="34"/>
      <c r="Z76" s="34"/>
      <c r="AA76" s="34"/>
      <c r="BS76" s="30">
        <v>76</v>
      </c>
      <c r="BT76" s="64">
        <v>24</v>
      </c>
      <c r="BU76" s="63">
        <f t="shared" si="27"/>
        <v>600</v>
      </c>
      <c r="BV76" s="321">
        <v>24</v>
      </c>
      <c r="BW76" s="64"/>
      <c r="BX76" s="299">
        <v>0.92</v>
      </c>
      <c r="BY76" s="64"/>
      <c r="BZ76" s="299">
        <f t="shared" si="29"/>
        <v>0.56299999999999994</v>
      </c>
      <c r="CA76" s="308">
        <f t="shared" si="28"/>
        <v>26</v>
      </c>
      <c r="CB76" s="148"/>
      <c r="CC76" s="170"/>
      <c r="CD76" s="21"/>
      <c r="CE76" s="21"/>
      <c r="CF76" s="21"/>
      <c r="CG76" s="21"/>
      <c r="CH76" s="21"/>
      <c r="CI76" s="34"/>
      <c r="CJ76" s="43"/>
      <c r="CK76" s="34"/>
      <c r="CL76" s="34"/>
      <c r="CM76" s="42"/>
      <c r="CN76" s="42"/>
      <c r="CO76" s="35"/>
    </row>
    <row r="77" spans="2:93" ht="20.100000000000001" customHeight="1" x14ac:dyDescent="0.25">
      <c r="B77" s="664" t="s">
        <v>480</v>
      </c>
      <c r="C77" s="665"/>
      <c r="D77" s="665"/>
      <c r="E77" s="665"/>
      <c r="F77" s="665"/>
      <c r="G77" s="666"/>
      <c r="H77" s="95" t="s">
        <v>481</v>
      </c>
      <c r="I77" s="77"/>
      <c r="J77" s="56"/>
      <c r="K77" s="56"/>
      <c r="W77" s="34"/>
      <c r="X77" s="34"/>
      <c r="Y77" s="34"/>
      <c r="Z77" s="34"/>
      <c r="AA77" s="34"/>
      <c r="BS77" s="30">
        <v>77</v>
      </c>
      <c r="BT77" s="904" t="str">
        <f>BP16</f>
        <v>Policluro de vinilo (PVC) RDE 21</v>
      </c>
      <c r="BU77" s="905"/>
      <c r="BV77" s="905"/>
      <c r="BW77" s="905"/>
      <c r="BX77" s="905"/>
      <c r="BY77" s="905"/>
      <c r="BZ77" s="905"/>
      <c r="CA77" s="906"/>
      <c r="CB77" s="194"/>
      <c r="CC77" s="170"/>
      <c r="CD77" s="21"/>
      <c r="CE77" s="21"/>
      <c r="CF77" s="21"/>
      <c r="CG77" s="21"/>
      <c r="CH77" s="21"/>
      <c r="CI77" s="34"/>
      <c r="CJ77" s="43"/>
      <c r="CK77" s="34"/>
      <c r="CL77" s="34"/>
      <c r="CM77" s="42"/>
      <c r="CN77" s="42"/>
      <c r="CO77" s="35"/>
    </row>
    <row r="78" spans="2:93" ht="20.100000000000001" customHeight="1" x14ac:dyDescent="0.25">
      <c r="B78" s="664" t="s">
        <v>497</v>
      </c>
      <c r="C78" s="665"/>
      <c r="D78" s="665"/>
      <c r="E78" s="665"/>
      <c r="F78" s="665"/>
      <c r="G78" s="666"/>
      <c r="H78" s="372" t="s">
        <v>81</v>
      </c>
      <c r="I78" s="77"/>
      <c r="J78" s="56"/>
      <c r="K78" s="56"/>
      <c r="W78" s="34"/>
      <c r="X78" s="34"/>
      <c r="Y78" s="34"/>
      <c r="Z78" s="34"/>
      <c r="AA78" s="34"/>
      <c r="BS78" s="30">
        <v>78</v>
      </c>
      <c r="BT78" s="63"/>
      <c r="BU78" s="64"/>
      <c r="BV78" s="321"/>
      <c r="BW78" s="64"/>
      <c r="BX78" s="299"/>
      <c r="BY78" s="64"/>
      <c r="BZ78" s="299"/>
      <c r="CA78" s="308"/>
      <c r="CB78" s="197"/>
      <c r="CC78" s="170"/>
      <c r="CD78" s="21"/>
      <c r="CE78" s="21"/>
      <c r="CF78" s="21"/>
      <c r="CG78" s="21"/>
      <c r="CH78" s="21"/>
      <c r="CI78" s="34"/>
      <c r="CJ78" s="43"/>
      <c r="CK78" s="34"/>
      <c r="CL78" s="34"/>
      <c r="CM78" s="42"/>
      <c r="CN78" s="42"/>
      <c r="CO78" s="35"/>
    </row>
    <row r="79" spans="2:93" ht="20.100000000000001" customHeight="1" x14ac:dyDescent="0.25">
      <c r="B79" s="664" t="s">
        <v>494</v>
      </c>
      <c r="C79" s="665"/>
      <c r="D79" s="665"/>
      <c r="E79" s="665"/>
      <c r="F79" s="665"/>
      <c r="G79" s="666"/>
      <c r="H79" s="372" t="s">
        <v>81</v>
      </c>
      <c r="I79" s="77"/>
      <c r="J79" s="56"/>
      <c r="K79" s="56"/>
      <c r="W79" s="34"/>
      <c r="X79" s="34"/>
      <c r="Y79" s="34"/>
      <c r="Z79" s="34"/>
      <c r="AA79" s="34"/>
      <c r="BS79" s="30">
        <v>79</v>
      </c>
      <c r="BT79" s="375">
        <v>6</v>
      </c>
      <c r="BU79" s="376">
        <f>IF(BT79=6,150,IF(BT79=8,200,IF(BT79=10,250,IF(BT79=12,300,IF(BT79=14,350,IF(BT79=16,400,IF(BT79=18,450,IF(BT79=20,500,IF(BT79=24,600)))))))))</f>
        <v>150</v>
      </c>
      <c r="BV79" s="377">
        <v>6.62</v>
      </c>
      <c r="BW79" s="376"/>
      <c r="BX79" s="378">
        <v>0.32</v>
      </c>
      <c r="BY79" s="376"/>
      <c r="BZ79" s="378">
        <f>ROUND((BV79-(2*BX79))*0.0254,3)</f>
        <v>0.152</v>
      </c>
      <c r="CA79" s="379">
        <f t="shared" ref="CA79:CA87" si="30">ROUND(BV79/BX79,0)</f>
        <v>21</v>
      </c>
      <c r="CB79" s="148"/>
      <c r="CC79" s="25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</row>
    <row r="80" spans="2:93" ht="20.100000000000001" customHeight="1" x14ac:dyDescent="0.25">
      <c r="B80" s="664" t="s">
        <v>495</v>
      </c>
      <c r="C80" s="665"/>
      <c r="D80" s="665"/>
      <c r="E80" s="665"/>
      <c r="F80" s="665"/>
      <c r="G80" s="666"/>
      <c r="H80" s="271" t="s">
        <v>121</v>
      </c>
      <c r="I80" s="77"/>
      <c r="J80" s="56"/>
      <c r="K80" s="56"/>
      <c r="W80" s="34"/>
      <c r="X80" s="34"/>
      <c r="Y80" s="34"/>
      <c r="Z80" s="34"/>
      <c r="AA80" s="34"/>
      <c r="BS80" s="30">
        <v>80</v>
      </c>
      <c r="BT80" s="63">
        <v>8</v>
      </c>
      <c r="BU80" s="64">
        <f t="shared" ref="BU80:BU87" si="31">IF(BT80=6,150,IF(BT80=8,200,IF(BT80=10,250,IF(BT80=12,300,IF(BT80=14,350,IF(BT80=16,400,IF(BT80=18,450,IF(BT80=20,500,IF(BT80=24,600)))))))))</f>
        <v>200</v>
      </c>
      <c r="BV80" s="321">
        <v>8.6199999999999992</v>
      </c>
      <c r="BW80" s="64"/>
      <c r="BX80" s="299">
        <v>0.41</v>
      </c>
      <c r="BY80" s="64"/>
      <c r="BZ80" s="299">
        <f>ROUND((BV80-(2*BX80))*0.0254,3)</f>
        <v>0.19800000000000001</v>
      </c>
      <c r="CA80" s="308">
        <f t="shared" si="30"/>
        <v>21</v>
      </c>
      <c r="CB80" s="148"/>
      <c r="CC80" s="25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</row>
    <row r="81" spans="1:81" ht="20.100000000000001" customHeight="1" x14ac:dyDescent="0.25">
      <c r="B81" s="664" t="s">
        <v>496</v>
      </c>
      <c r="C81" s="665"/>
      <c r="D81" s="665"/>
      <c r="E81" s="665"/>
      <c r="F81" s="665"/>
      <c r="G81" s="666"/>
      <c r="H81" s="106" t="s">
        <v>121</v>
      </c>
      <c r="I81" s="77"/>
      <c r="J81" s="56"/>
      <c r="K81" s="56"/>
      <c r="W81" s="34"/>
      <c r="X81" s="34"/>
      <c r="Y81" s="34"/>
      <c r="Z81" s="34"/>
      <c r="AA81" s="34"/>
      <c r="BS81" s="30">
        <v>81</v>
      </c>
      <c r="BT81" s="63">
        <v>10</v>
      </c>
      <c r="BU81" s="64">
        <f t="shared" si="31"/>
        <v>250</v>
      </c>
      <c r="BV81" s="321">
        <v>10.75</v>
      </c>
      <c r="BW81" s="64"/>
      <c r="BX81" s="299">
        <v>0.51</v>
      </c>
      <c r="BY81" s="64"/>
      <c r="BZ81" s="299">
        <f t="shared" ref="BZ81:BZ87" si="32">ROUND((BV81-(2*BX81))*0.0254,3)</f>
        <v>0.247</v>
      </c>
      <c r="CA81" s="308">
        <f t="shared" si="30"/>
        <v>21</v>
      </c>
      <c r="CB81" s="148"/>
      <c r="CC81" s="170"/>
    </row>
    <row r="82" spans="1:81" ht="20.100000000000001" customHeight="1" x14ac:dyDescent="0.25">
      <c r="B82" s="404"/>
      <c r="C82" s="404"/>
      <c r="D82" s="404"/>
      <c r="E82" s="404"/>
      <c r="F82" s="404"/>
      <c r="G82" s="404"/>
      <c r="H82" s="74"/>
      <c r="I82" s="420"/>
      <c r="J82" s="56"/>
      <c r="K82" s="56"/>
      <c r="W82" s="34"/>
      <c r="X82" s="34"/>
      <c r="Y82" s="34"/>
      <c r="Z82" s="34"/>
      <c r="AA82" s="34"/>
      <c r="BS82" s="30">
        <v>82</v>
      </c>
      <c r="BT82" s="63">
        <v>12</v>
      </c>
      <c r="BU82" s="64">
        <f t="shared" si="31"/>
        <v>300</v>
      </c>
      <c r="BV82" s="321">
        <v>12.75</v>
      </c>
      <c r="BW82" s="64"/>
      <c r="BX82" s="299">
        <v>0.6</v>
      </c>
      <c r="BY82" s="64"/>
      <c r="BZ82" s="299">
        <f t="shared" si="32"/>
        <v>0.29299999999999998</v>
      </c>
      <c r="CA82" s="308">
        <f t="shared" si="30"/>
        <v>21</v>
      </c>
      <c r="CB82" s="148"/>
      <c r="CC82" s="405"/>
    </row>
    <row r="83" spans="1:81" ht="20.100000000000001" customHeight="1" x14ac:dyDescent="0.25">
      <c r="B83" s="32" t="s">
        <v>170</v>
      </c>
      <c r="C83" s="44"/>
      <c r="D83" s="403"/>
      <c r="E83" s="403"/>
      <c r="F83" s="403"/>
      <c r="G83" s="403"/>
      <c r="H83" s="74"/>
      <c r="I83" s="420"/>
      <c r="J83" s="56"/>
      <c r="K83" s="56"/>
      <c r="W83" s="34"/>
      <c r="X83" s="34"/>
      <c r="Y83" s="34"/>
      <c r="Z83" s="34"/>
      <c r="AA83" s="34"/>
      <c r="BS83" s="30">
        <v>83</v>
      </c>
      <c r="BT83" s="375">
        <v>14</v>
      </c>
      <c r="BU83" s="376">
        <f t="shared" si="31"/>
        <v>350</v>
      </c>
      <c r="BV83" s="377">
        <v>14</v>
      </c>
      <c r="BW83" s="376"/>
      <c r="BX83" s="378">
        <v>0.67</v>
      </c>
      <c r="BY83" s="376"/>
      <c r="BZ83" s="378">
        <f t="shared" si="32"/>
        <v>0.32200000000000001</v>
      </c>
      <c r="CA83" s="379">
        <f t="shared" si="30"/>
        <v>21</v>
      </c>
      <c r="CB83" s="148"/>
      <c r="CC83" s="405"/>
    </row>
    <row r="84" spans="1:81" ht="20.100000000000001" customHeight="1" x14ac:dyDescent="0.25">
      <c r="B84" s="855" t="s">
        <v>111</v>
      </c>
      <c r="C84" s="53"/>
      <c r="D84" s="406"/>
      <c r="E84" s="908" t="s">
        <v>109</v>
      </c>
      <c r="F84" s="908" t="s">
        <v>110</v>
      </c>
      <c r="G84" s="908" t="s">
        <v>103</v>
      </c>
      <c r="H84" s="74"/>
      <c r="I84" s="420"/>
      <c r="J84" s="56"/>
      <c r="K84" s="56"/>
      <c r="W84" s="34"/>
      <c r="X84" s="34"/>
      <c r="Y84" s="34"/>
      <c r="Z84" s="34"/>
      <c r="AA84" s="34"/>
      <c r="BS84" s="30">
        <v>84</v>
      </c>
      <c r="BT84" s="63">
        <v>16</v>
      </c>
      <c r="BU84" s="64">
        <f t="shared" si="31"/>
        <v>400</v>
      </c>
      <c r="BV84" s="321">
        <v>16</v>
      </c>
      <c r="BW84" s="64"/>
      <c r="BX84" s="299">
        <v>0.76</v>
      </c>
      <c r="BY84" s="64"/>
      <c r="BZ84" s="299">
        <f t="shared" si="32"/>
        <v>0.36799999999999999</v>
      </c>
      <c r="CA84" s="308">
        <f t="shared" si="30"/>
        <v>21</v>
      </c>
      <c r="CB84" s="148"/>
      <c r="CC84" s="405"/>
    </row>
    <row r="85" spans="1:81" ht="20.100000000000001" customHeight="1" x14ac:dyDescent="0.25">
      <c r="B85" s="857"/>
      <c r="C85" s="53"/>
      <c r="D85" s="406"/>
      <c r="E85" s="909"/>
      <c r="F85" s="909"/>
      <c r="G85" s="909"/>
      <c r="H85" s="74"/>
      <c r="I85" s="420"/>
      <c r="J85" s="56"/>
      <c r="K85" s="56"/>
      <c r="W85" s="34"/>
      <c r="X85" s="34"/>
      <c r="Y85" s="34"/>
      <c r="Z85" s="34"/>
      <c r="AA85" s="34"/>
      <c r="BS85" s="30">
        <v>85</v>
      </c>
      <c r="BT85" s="302">
        <v>18</v>
      </c>
      <c r="BU85" s="64">
        <f t="shared" si="31"/>
        <v>450</v>
      </c>
      <c r="BV85" s="323">
        <v>18</v>
      </c>
      <c r="BW85" s="322"/>
      <c r="BX85" s="303">
        <v>0.86</v>
      </c>
      <c r="BY85" s="322"/>
      <c r="BZ85" s="303">
        <f t="shared" si="32"/>
        <v>0.41399999999999998</v>
      </c>
      <c r="CA85" s="308">
        <f t="shared" si="30"/>
        <v>21</v>
      </c>
      <c r="CB85" s="148"/>
      <c r="CC85" s="405"/>
    </row>
    <row r="86" spans="1:81" ht="20.100000000000001" customHeight="1" x14ac:dyDescent="0.25">
      <c r="B86" s="857"/>
      <c r="C86" s="53"/>
      <c r="D86" s="406"/>
      <c r="E86" s="909"/>
      <c r="F86" s="909"/>
      <c r="G86" s="909"/>
      <c r="H86" s="74"/>
      <c r="I86" s="420"/>
      <c r="J86" s="56"/>
      <c r="K86" s="56"/>
      <c r="W86" s="34"/>
      <c r="X86" s="34"/>
      <c r="Y86" s="34"/>
      <c r="Z86" s="34"/>
      <c r="AA86" s="34"/>
      <c r="BS86" s="30">
        <v>86</v>
      </c>
      <c r="BT86" s="63">
        <v>20</v>
      </c>
      <c r="BU86" s="64">
        <f t="shared" si="31"/>
        <v>500</v>
      </c>
      <c r="BV86" s="321">
        <v>20</v>
      </c>
      <c r="BW86" s="64"/>
      <c r="BX86" s="299">
        <v>0.95</v>
      </c>
      <c r="BY86" s="64"/>
      <c r="BZ86" s="299">
        <f t="shared" si="32"/>
        <v>0.46</v>
      </c>
      <c r="CA86" s="308">
        <f t="shared" si="30"/>
        <v>21</v>
      </c>
      <c r="CB86" s="148"/>
      <c r="CC86" s="405"/>
    </row>
    <row r="87" spans="1:81" ht="20.100000000000001" customHeight="1" x14ac:dyDescent="0.25">
      <c r="B87" s="907"/>
      <c r="C87" s="53"/>
      <c r="D87" s="406"/>
      <c r="E87" s="910"/>
      <c r="F87" s="910"/>
      <c r="G87" s="910"/>
      <c r="H87" s="74"/>
      <c r="I87" s="420"/>
      <c r="J87" s="56"/>
      <c r="K87" s="56"/>
      <c r="W87" s="34"/>
      <c r="X87" s="34"/>
      <c r="Y87" s="34"/>
      <c r="Z87" s="34"/>
      <c r="AA87" s="34"/>
      <c r="BS87" s="30">
        <v>87</v>
      </c>
      <c r="BT87" s="63">
        <v>24</v>
      </c>
      <c r="BU87" s="64">
        <f t="shared" si="31"/>
        <v>600</v>
      </c>
      <c r="BV87" s="321">
        <v>24</v>
      </c>
      <c r="BW87" s="64"/>
      <c r="BX87" s="299">
        <v>1.1399999999999999</v>
      </c>
      <c r="BY87" s="64"/>
      <c r="BZ87" s="299">
        <f t="shared" si="32"/>
        <v>0.55200000000000005</v>
      </c>
      <c r="CA87" s="308">
        <f t="shared" si="30"/>
        <v>21</v>
      </c>
      <c r="CB87" s="148"/>
      <c r="CC87" s="405"/>
    </row>
    <row r="88" spans="1:81" ht="20.100000000000001" customHeight="1" x14ac:dyDescent="0.25">
      <c r="B88" s="263">
        <v>1</v>
      </c>
      <c r="C88" s="264"/>
      <c r="D88" s="265"/>
      <c r="E88" s="266">
        <v>1</v>
      </c>
      <c r="F88" s="266" t="s">
        <v>104</v>
      </c>
      <c r="G88" s="267">
        <v>0.1</v>
      </c>
      <c r="H88" s="74"/>
      <c r="I88" s="420"/>
      <c r="J88" s="56"/>
      <c r="K88" s="56"/>
      <c r="W88" s="34"/>
      <c r="X88" s="34"/>
      <c r="Y88" s="34"/>
      <c r="Z88" s="34"/>
      <c r="AA88" s="34"/>
      <c r="BT88" s="21"/>
      <c r="BU88" s="443"/>
      <c r="BV88" s="231"/>
      <c r="BW88" s="443"/>
      <c r="BX88" s="35"/>
      <c r="BY88" s="443"/>
      <c r="BZ88" s="35"/>
      <c r="CA88" s="148"/>
      <c r="CB88" s="148"/>
      <c r="CC88" s="405"/>
    </row>
    <row r="89" spans="1:81" ht="20.100000000000001" customHeight="1" x14ac:dyDescent="0.25">
      <c r="B89" s="263">
        <v>2</v>
      </c>
      <c r="C89" s="264"/>
      <c r="D89" s="265"/>
      <c r="E89" s="266" t="s">
        <v>104</v>
      </c>
      <c r="F89" s="266" t="s">
        <v>105</v>
      </c>
      <c r="G89" s="267">
        <v>7.4999999999999997E-2</v>
      </c>
      <c r="H89" s="74"/>
      <c r="I89" s="420"/>
      <c r="J89" s="56"/>
      <c r="K89" s="56"/>
      <c r="W89" s="34"/>
      <c r="X89" s="34"/>
      <c r="Y89" s="34"/>
      <c r="Z89" s="34"/>
      <c r="AA89" s="34"/>
      <c r="BT89" s="21"/>
      <c r="BU89" s="443"/>
      <c r="BV89" s="231"/>
      <c r="BW89" s="443"/>
      <c r="BX89" s="35"/>
      <c r="BY89" s="443"/>
      <c r="BZ89" s="35"/>
      <c r="CA89" s="148"/>
      <c r="CB89" s="148"/>
      <c r="CC89" s="405"/>
    </row>
    <row r="90" spans="1:81" ht="20.100000000000001" customHeight="1" x14ac:dyDescent="0.25">
      <c r="B90" s="263">
        <v>3</v>
      </c>
      <c r="C90" s="264"/>
      <c r="D90" s="265"/>
      <c r="E90" s="266" t="s">
        <v>105</v>
      </c>
      <c r="F90" s="266" t="s">
        <v>106</v>
      </c>
      <c r="G90" s="267">
        <v>7.4999999999999997E-2</v>
      </c>
      <c r="H90" s="74"/>
      <c r="I90" s="420"/>
      <c r="J90" s="56"/>
      <c r="K90" s="56"/>
      <c r="W90" s="34"/>
      <c r="X90" s="34"/>
      <c r="Y90" s="34"/>
      <c r="Z90" s="34"/>
      <c r="AA90" s="34"/>
      <c r="BT90" s="21"/>
      <c r="BU90" s="443"/>
      <c r="BV90" s="231"/>
      <c r="BW90" s="443"/>
      <c r="BX90" s="35"/>
      <c r="BY90" s="443"/>
      <c r="BZ90" s="35"/>
      <c r="CA90" s="148"/>
      <c r="CB90" s="148"/>
      <c r="CC90" s="405"/>
    </row>
    <row r="91" spans="1:81" ht="20.100000000000001" customHeight="1" x14ac:dyDescent="0.25">
      <c r="B91" s="263">
        <v>4</v>
      </c>
      <c r="C91" s="264"/>
      <c r="D91" s="265"/>
      <c r="E91" s="266" t="s">
        <v>106</v>
      </c>
      <c r="F91" s="268" t="s">
        <v>107</v>
      </c>
      <c r="G91" s="267">
        <v>0.1</v>
      </c>
      <c r="H91" s="74"/>
      <c r="I91" s="420"/>
      <c r="J91" s="56"/>
      <c r="K91" s="56"/>
      <c r="W91" s="34"/>
      <c r="X91" s="34"/>
      <c r="Y91" s="34"/>
      <c r="Z91" s="34"/>
      <c r="AA91" s="34"/>
      <c r="BT91" s="21"/>
      <c r="BU91" s="443"/>
      <c r="BV91" s="231"/>
      <c r="BW91" s="443"/>
      <c r="BX91" s="35"/>
      <c r="BY91" s="443"/>
      <c r="BZ91" s="35"/>
      <c r="CA91" s="148"/>
      <c r="CB91" s="148"/>
      <c r="CC91" s="405"/>
    </row>
    <row r="92" spans="1:81" ht="20.100000000000001" customHeight="1" x14ac:dyDescent="0.25">
      <c r="B92" s="263">
        <v>5</v>
      </c>
      <c r="C92" s="270"/>
      <c r="D92" s="407"/>
      <c r="E92" s="268" t="s">
        <v>107</v>
      </c>
      <c r="F92" s="268" t="s">
        <v>108</v>
      </c>
      <c r="G92" s="200">
        <v>0.1</v>
      </c>
      <c r="H92" s="74"/>
      <c r="I92" s="420"/>
      <c r="J92" s="56"/>
      <c r="K92" s="56"/>
      <c r="W92" s="34"/>
      <c r="X92" s="34"/>
      <c r="Y92" s="34"/>
      <c r="Z92" s="34"/>
      <c r="AA92" s="34"/>
      <c r="BT92" s="21"/>
      <c r="BU92" s="443"/>
      <c r="BV92" s="231"/>
      <c r="BW92" s="443"/>
      <c r="BX92" s="35"/>
      <c r="BY92" s="443"/>
      <c r="BZ92" s="35"/>
      <c r="CA92" s="148"/>
      <c r="CB92" s="148"/>
      <c r="CC92" s="405"/>
    </row>
    <row r="93" spans="1:81" ht="20.100000000000001" customHeight="1" x14ac:dyDescent="0.25">
      <c r="B93" s="404"/>
      <c r="C93" s="404"/>
      <c r="D93" s="404"/>
      <c r="E93" s="404"/>
      <c r="F93" s="404"/>
      <c r="G93" s="404"/>
      <c r="H93" s="74"/>
      <c r="I93" s="420"/>
      <c r="J93" s="56"/>
      <c r="K93" s="56"/>
      <c r="W93" s="34"/>
      <c r="X93" s="34"/>
      <c r="Y93" s="34"/>
      <c r="Z93" s="34"/>
      <c r="AA93" s="34"/>
      <c r="BT93" s="21"/>
      <c r="BU93" s="443"/>
      <c r="BV93" s="231"/>
      <c r="BW93" s="443"/>
      <c r="BX93" s="35"/>
      <c r="BY93" s="443"/>
      <c r="BZ93" s="35"/>
      <c r="CA93" s="148"/>
      <c r="CB93" s="148"/>
      <c r="CC93" s="405"/>
    </row>
    <row r="94" spans="1:81" ht="20.100000000000001" customHeight="1" x14ac:dyDescent="0.25">
      <c r="A94" s="31"/>
      <c r="B94" s="32" t="s">
        <v>482</v>
      </c>
      <c r="C94" s="31"/>
      <c r="D94" s="31"/>
      <c r="E94" s="31"/>
      <c r="F94" s="31"/>
      <c r="G94" s="31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1"/>
      <c r="Y94" s="31"/>
      <c r="Z94" s="31"/>
      <c r="BT94" s="21"/>
      <c r="BU94" s="443"/>
      <c r="BV94" s="231"/>
      <c r="BW94" s="443"/>
      <c r="BX94" s="35"/>
      <c r="BY94" s="443"/>
      <c r="BZ94" s="35"/>
      <c r="CA94" s="148"/>
      <c r="CB94" s="148"/>
      <c r="CC94" s="170"/>
    </row>
    <row r="95" spans="1:81" ht="20.100000000000001" customHeight="1" x14ac:dyDescent="0.25">
      <c r="B95" s="931" t="s">
        <v>82</v>
      </c>
      <c r="C95" s="935"/>
      <c r="D95" s="935"/>
      <c r="E95" s="935" t="s">
        <v>93</v>
      </c>
      <c r="F95" s="935" t="s">
        <v>94</v>
      </c>
      <c r="G95" s="935" t="s">
        <v>95</v>
      </c>
      <c r="H95" s="925" t="s">
        <v>97</v>
      </c>
      <c r="I95" s="941" t="s">
        <v>477</v>
      </c>
      <c r="J95" s="942"/>
      <c r="K95" s="388"/>
      <c r="L95" s="855" t="s">
        <v>478</v>
      </c>
      <c r="M95" s="856"/>
      <c r="N95" s="386"/>
      <c r="O95" s="941" t="s">
        <v>479</v>
      </c>
      <c r="P95" s="983"/>
      <c r="Q95" s="942"/>
      <c r="R95" s="381"/>
      <c r="S95" s="381"/>
      <c r="T95" s="381"/>
      <c r="U95" s="381"/>
      <c r="V95" s="381"/>
      <c r="W95" s="33"/>
      <c r="X95" s="984"/>
      <c r="Y95" s="984"/>
      <c r="Z95" s="31"/>
      <c r="BT95" s="248"/>
      <c r="BU95" s="443"/>
      <c r="BV95" s="284"/>
      <c r="BW95" s="285"/>
      <c r="BX95" s="151"/>
      <c r="BY95" s="285"/>
      <c r="BZ95" s="151"/>
      <c r="CA95" s="148"/>
      <c r="CB95" s="148"/>
      <c r="CC95" s="170"/>
    </row>
    <row r="96" spans="1:81" ht="20.100000000000001" customHeight="1" x14ac:dyDescent="0.25">
      <c r="B96" s="932"/>
      <c r="C96" s="936"/>
      <c r="D96" s="936"/>
      <c r="E96" s="937"/>
      <c r="F96" s="937"/>
      <c r="G96" s="937"/>
      <c r="H96" s="926"/>
      <c r="I96" s="943"/>
      <c r="J96" s="944"/>
      <c r="K96" s="389"/>
      <c r="L96" s="857"/>
      <c r="M96" s="858"/>
      <c r="N96" s="387"/>
      <c r="O96" s="943"/>
      <c r="P96" s="693"/>
      <c r="Q96" s="944"/>
      <c r="R96" s="87"/>
      <c r="S96" s="87"/>
      <c r="T96" s="87"/>
      <c r="U96" s="381"/>
      <c r="V96" s="87"/>
      <c r="X96" s="984"/>
      <c r="Y96" s="984"/>
      <c r="BT96" s="21"/>
      <c r="BU96" s="443"/>
      <c r="BV96" s="231"/>
      <c r="BW96" s="443"/>
      <c r="BX96" s="35"/>
      <c r="BY96" s="443"/>
      <c r="BZ96" s="35"/>
      <c r="CA96" s="148"/>
      <c r="CB96" s="148"/>
      <c r="CC96" s="170"/>
    </row>
    <row r="97" spans="1:81" ht="20.100000000000001" customHeight="1" x14ac:dyDescent="0.25">
      <c r="B97" s="932"/>
      <c r="C97" s="39"/>
      <c r="D97" s="40"/>
      <c r="E97" s="937"/>
      <c r="F97" s="937"/>
      <c r="G97" s="937"/>
      <c r="H97" s="926"/>
      <c r="I97" s="391"/>
      <c r="J97" s="392"/>
      <c r="K97" s="859" t="s">
        <v>476</v>
      </c>
      <c r="L97" s="391"/>
      <c r="M97" s="392"/>
      <c r="N97" s="859" t="s">
        <v>80</v>
      </c>
      <c r="O97" s="395"/>
      <c r="P97" s="396"/>
      <c r="Q97" s="397"/>
      <c r="R97" s="87"/>
      <c r="S97" s="87"/>
      <c r="T97" s="87"/>
      <c r="U97" s="381"/>
      <c r="V97" s="87"/>
      <c r="X97" s="984"/>
      <c r="Y97" s="984"/>
      <c r="BT97" s="21"/>
      <c r="BU97" s="443"/>
      <c r="BV97" s="231"/>
      <c r="BW97" s="443"/>
      <c r="BX97" s="35"/>
      <c r="BY97" s="443"/>
      <c r="BZ97" s="35"/>
      <c r="CA97" s="148"/>
      <c r="CB97" s="148"/>
      <c r="CC97" s="170"/>
    </row>
    <row r="98" spans="1:81" ht="20.100000000000001" customHeight="1" x14ac:dyDescent="0.25">
      <c r="B98" s="933"/>
      <c r="C98" s="39"/>
      <c r="D98" s="40"/>
      <c r="E98" s="936"/>
      <c r="F98" s="936"/>
      <c r="G98" s="936"/>
      <c r="H98" s="927"/>
      <c r="I98" s="393"/>
      <c r="J98" s="394"/>
      <c r="K98" s="860"/>
      <c r="L98" s="393"/>
      <c r="M98" s="394"/>
      <c r="N98" s="860"/>
      <c r="O98" s="398"/>
      <c r="P98" s="9"/>
      <c r="Q98" s="399"/>
      <c r="R98" s="87"/>
      <c r="S98" s="87"/>
      <c r="T98" s="87"/>
      <c r="U98" s="381"/>
      <c r="V98" s="87"/>
      <c r="X98" s="984"/>
      <c r="Y98" s="984"/>
      <c r="BT98" s="198"/>
      <c r="BU98" s="198"/>
      <c r="BV98" s="198"/>
      <c r="BW98" s="198"/>
      <c r="BX98" s="198"/>
      <c r="BY98" s="198"/>
      <c r="BZ98" s="198"/>
      <c r="CA98" s="198"/>
      <c r="CB98" s="148"/>
      <c r="CC98" s="170"/>
    </row>
    <row r="99" spans="1:81" ht="20.100000000000001" customHeight="1" x14ac:dyDescent="0.25">
      <c r="B99" s="400" t="str">
        <f t="shared" ref="B99:B107" si="33">B42</f>
        <v>14-20</v>
      </c>
      <c r="C99" s="256">
        <f t="shared" ref="C99:C107" si="34">LEFT(B99,2)+0</f>
        <v>14</v>
      </c>
      <c r="D99" s="402">
        <f t="shared" ref="D99:D107" si="35">MID(B99,4,3)+0</f>
        <v>20</v>
      </c>
      <c r="E99" s="402">
        <f t="shared" ref="E99:E107" si="36">E42</f>
        <v>16.2</v>
      </c>
      <c r="F99" s="401">
        <f>VLOOKUP(C99,AS$5:AT$25,2,FALSE)</f>
        <v>1.41</v>
      </c>
      <c r="G99" s="401">
        <f>VLOOKUP(D99,AS$5:AT$25,2,FALSE)</f>
        <v>0.84099999999999997</v>
      </c>
      <c r="H99" s="259">
        <f t="shared" ref="H99:H107" si="37">(F99*G99)^(1/2)</f>
        <v>1.0889490346200781</v>
      </c>
      <c r="I99" s="861" t="e">
        <f>150*(1-#REF!)/#REF!+1.75</f>
        <v>#REF!</v>
      </c>
      <c r="J99" s="862"/>
      <c r="K99" s="380" t="e">
        <f>I99*(E99/100)/(H99/1000)</f>
        <v>#REF!</v>
      </c>
      <c r="L99" s="1019" t="e">
        <f>ROUND((1/#REF!*(1-#REF!)/(#REF!^3)*#REF!*(($G$19/86400)^2)/9.806*K108),3)&amp; " m"</f>
        <v>#REF!</v>
      </c>
      <c r="M99" s="1019"/>
      <c r="N99" s="385">
        <f>(E99/100)/(H99/1000)</f>
        <v>148.76729291239965</v>
      </c>
      <c r="O99" s="1010" t="e">
        <f>ROUND((#REF!*9.806)/#REF!*(1/#REF!)*(1/#REF!^2)*((#REF!^3)/(1-#REF!))*(N108^-2),5)&amp; " m/s"</f>
        <v>#REF!</v>
      </c>
      <c r="P99" s="1010"/>
      <c r="Q99" s="1010"/>
      <c r="R99" s="390"/>
      <c r="S99" s="383"/>
      <c r="T99" s="383"/>
      <c r="U99" s="384"/>
      <c r="V99" s="162"/>
      <c r="X99" s="108"/>
      <c r="Y99" s="47"/>
      <c r="Z99" s="35"/>
      <c r="BF99" s="59"/>
      <c r="BG99" s="59"/>
      <c r="BT99" s="198"/>
      <c r="BU99" s="198"/>
      <c r="BV99" s="198"/>
      <c r="BW99" s="198"/>
      <c r="BX99" s="198"/>
      <c r="BY99" s="198"/>
      <c r="BZ99" s="198"/>
      <c r="CA99" s="198"/>
      <c r="CB99" s="194"/>
      <c r="CC99" s="170"/>
    </row>
    <row r="100" spans="1:81" ht="20.100000000000001" customHeight="1" x14ac:dyDescent="0.25">
      <c r="B100" s="400" t="str">
        <f t="shared" si="33"/>
        <v>20-25</v>
      </c>
      <c r="C100" s="256">
        <f t="shared" si="34"/>
        <v>20</v>
      </c>
      <c r="D100" s="402">
        <f t="shared" si="35"/>
        <v>25</v>
      </c>
      <c r="E100" s="402">
        <f t="shared" si="36"/>
        <v>33.700000000000003</v>
      </c>
      <c r="F100" s="401">
        <f>VLOOKUP(C100,AS$5:AT$25,2,FALSE)</f>
        <v>0.84099999999999997</v>
      </c>
      <c r="G100" s="401">
        <f>VLOOKUP(D100,AS$5:AT$25,2,FALSE)</f>
        <v>0.70699999999999996</v>
      </c>
      <c r="H100" s="259">
        <f t="shared" si="37"/>
        <v>0.77109467641788321</v>
      </c>
      <c r="I100" s="861" t="e">
        <f>150*(1-#REF!)/#REF!+1.75</f>
        <v>#REF!</v>
      </c>
      <c r="J100" s="862"/>
      <c r="K100" s="380" t="e">
        <f>I100*(E100/100)/(H100/1000)</f>
        <v>#REF!</v>
      </c>
      <c r="L100" s="1019"/>
      <c r="M100" s="1019"/>
      <c r="N100" s="385">
        <f>(E100/100)/(H100/1000)</f>
        <v>437.04101494453568</v>
      </c>
      <c r="O100" s="1010"/>
      <c r="P100" s="1010"/>
      <c r="Q100" s="1010"/>
      <c r="R100" s="382"/>
      <c r="S100" s="383"/>
      <c r="T100" s="383"/>
      <c r="U100" s="384"/>
      <c r="V100" s="162"/>
      <c r="X100" s="108"/>
      <c r="Y100" s="47"/>
      <c r="Z100" s="36"/>
      <c r="BF100" s="59"/>
      <c r="BG100" s="59"/>
      <c r="BT100" s="21"/>
      <c r="BU100" s="253"/>
      <c r="BV100" s="231"/>
      <c r="BW100" s="253"/>
      <c r="BX100" s="35"/>
      <c r="BY100" s="253"/>
      <c r="BZ100" s="35"/>
      <c r="CA100" s="148"/>
      <c r="CB100" s="198"/>
      <c r="CC100" s="170"/>
    </row>
    <row r="101" spans="1:81" ht="20.100000000000001" customHeight="1" x14ac:dyDescent="0.25">
      <c r="B101" s="400" t="str">
        <f t="shared" si="33"/>
        <v>25-30</v>
      </c>
      <c r="C101" s="256">
        <f t="shared" si="34"/>
        <v>25</v>
      </c>
      <c r="D101" s="402">
        <f t="shared" si="35"/>
        <v>30</v>
      </c>
      <c r="E101" s="402">
        <f t="shared" si="36"/>
        <v>33.9</v>
      </c>
      <c r="F101" s="401">
        <f>VLOOKUP(C101,AS$5:AT$25,2,FALSE)</f>
        <v>0.70699999999999996</v>
      </c>
      <c r="G101" s="401">
        <f>VLOOKUP(D101,AS$5:AT$25,2,FALSE)</f>
        <v>0.59499999999999997</v>
      </c>
      <c r="H101" s="259">
        <f t="shared" si="37"/>
        <v>0.64858692555431607</v>
      </c>
      <c r="I101" s="861" t="e">
        <f>150*(1-#REF!)/#REF!+1.75</f>
        <v>#REF!</v>
      </c>
      <c r="J101" s="862"/>
      <c r="K101" s="380" t="e">
        <f>I101*(E101/100)/(H101/1000)</f>
        <v>#REF!</v>
      </c>
      <c r="L101" s="1019"/>
      <c r="M101" s="1019"/>
      <c r="N101" s="385">
        <f>(E101/100)/(H101/1000)</f>
        <v>522.67473586562505</v>
      </c>
      <c r="O101" s="1010"/>
      <c r="P101" s="1010"/>
      <c r="Q101" s="1010"/>
      <c r="R101" s="382"/>
      <c r="S101" s="383"/>
      <c r="T101" s="383"/>
      <c r="U101" s="384"/>
      <c r="V101" s="162"/>
      <c r="X101" s="108"/>
      <c r="Y101" s="47"/>
      <c r="Z101" s="36"/>
      <c r="BF101" s="59"/>
      <c r="BG101" s="59"/>
      <c r="BT101" s="21"/>
      <c r="BU101" s="253"/>
      <c r="BV101" s="231"/>
      <c r="BW101" s="253"/>
      <c r="BX101" s="35"/>
      <c r="BY101" s="253"/>
      <c r="BZ101" s="35"/>
      <c r="CA101" s="148"/>
      <c r="CB101" s="148"/>
      <c r="CC101" s="170"/>
    </row>
    <row r="102" spans="1:81" ht="20.100000000000001" customHeight="1" x14ac:dyDescent="0.25">
      <c r="B102" s="400" t="str">
        <f t="shared" si="33"/>
        <v>30-35</v>
      </c>
      <c r="C102" s="256">
        <f t="shared" si="34"/>
        <v>30</v>
      </c>
      <c r="D102" s="402">
        <f t="shared" si="35"/>
        <v>35</v>
      </c>
      <c r="E102" s="402">
        <f t="shared" si="36"/>
        <v>6.2</v>
      </c>
      <c r="F102" s="401">
        <f>VLOOKUP(C102,AS$5:AT$25,2,FALSE)</f>
        <v>0.59499999999999997</v>
      </c>
      <c r="G102" s="401">
        <f>VLOOKUP(D102,AS$5:AT$25,2,FALSE)</f>
        <v>0.5</v>
      </c>
      <c r="H102" s="259">
        <f t="shared" si="37"/>
        <v>0.54543560573178573</v>
      </c>
      <c r="I102" s="861" t="e">
        <f>150*(1-#REF!)/#REF!+1.75</f>
        <v>#REF!</v>
      </c>
      <c r="J102" s="862"/>
      <c r="K102" s="380" t="e">
        <f>I102*(E102/100)/(H102/1000)</f>
        <v>#REF!</v>
      </c>
      <c r="L102" s="1019"/>
      <c r="M102" s="1019"/>
      <c r="N102" s="385">
        <f>(E102/100)/(H102/1000)</f>
        <v>113.6706136314982</v>
      </c>
      <c r="O102" s="1010"/>
      <c r="P102" s="1010"/>
      <c r="Q102" s="1010"/>
      <c r="R102" s="382"/>
      <c r="S102" s="383">
        <f>0.00335*0.226/0.64</f>
        <v>1.18296875E-3</v>
      </c>
      <c r="T102" s="383"/>
      <c r="U102" s="384"/>
      <c r="V102" s="162"/>
      <c r="X102" s="108"/>
      <c r="Y102" s="47"/>
      <c r="Z102" s="36"/>
      <c r="AJ102" s="51"/>
      <c r="AK102" s="220"/>
      <c r="AL102" s="220"/>
      <c r="AM102" s="220"/>
      <c r="AN102" s="220"/>
      <c r="AO102" s="249"/>
      <c r="AP102" s="249"/>
      <c r="AQ102" s="220"/>
      <c r="AR102" s="272"/>
      <c r="AS102" s="272"/>
      <c r="AT102" s="272"/>
      <c r="AU102" s="51"/>
      <c r="BT102" s="21"/>
      <c r="BU102" s="253"/>
      <c r="BV102" s="231"/>
      <c r="BW102" s="253"/>
      <c r="BX102" s="35"/>
      <c r="BY102" s="253"/>
      <c r="BZ102" s="35"/>
      <c r="CA102" s="148"/>
      <c r="CB102" s="148"/>
      <c r="CC102" s="170"/>
    </row>
    <row r="103" spans="1:81" ht="20.100000000000001" customHeight="1" x14ac:dyDescent="0.25">
      <c r="B103" s="400" t="str">
        <f t="shared" si="33"/>
        <v>35-40</v>
      </c>
      <c r="C103" s="256">
        <f t="shared" si="34"/>
        <v>35</v>
      </c>
      <c r="D103" s="402">
        <f t="shared" si="35"/>
        <v>40</v>
      </c>
      <c r="E103" s="402">
        <f t="shared" si="36"/>
        <v>3.5</v>
      </c>
      <c r="F103" s="401">
        <f>VLOOKUP(C103,AS$5:AT$25,2,FALSE)</f>
        <v>0.5</v>
      </c>
      <c r="G103" s="401">
        <f>VLOOKUP(D103,AS$5:AT$25,2,FALSE)</f>
        <v>0.4</v>
      </c>
      <c r="H103" s="259">
        <f t="shared" si="37"/>
        <v>0.44721359549995793</v>
      </c>
      <c r="I103" s="861" t="e">
        <f>150*(1-#REF!)/#REF!+1.75</f>
        <v>#REF!</v>
      </c>
      <c r="J103" s="862"/>
      <c r="K103" s="380" t="e">
        <f>I103*(E103/100)/(H103/1000)</f>
        <v>#REF!</v>
      </c>
      <c r="L103" s="1019"/>
      <c r="M103" s="1019"/>
      <c r="N103" s="385">
        <f>(E103/100)/(H103/1000)</f>
        <v>78.262379212492647</v>
      </c>
      <c r="O103" s="1010"/>
      <c r="P103" s="1010"/>
      <c r="Q103" s="1010"/>
      <c r="R103" s="382"/>
      <c r="S103" s="383">
        <f>S102*86400</f>
        <v>102.2085</v>
      </c>
      <c r="T103" s="383" t="s">
        <v>4</v>
      </c>
      <c r="U103" s="384"/>
      <c r="V103" s="162"/>
      <c r="X103" s="108"/>
      <c r="Y103" s="47"/>
      <c r="Z103" s="36"/>
      <c r="AB103" s="58"/>
      <c r="AJ103" s="51"/>
      <c r="AK103" s="220"/>
      <c r="AL103" s="220"/>
      <c r="AM103" s="220"/>
      <c r="AN103" s="220"/>
      <c r="AO103" s="249"/>
      <c r="AP103" s="249"/>
      <c r="AQ103" s="220"/>
      <c r="AR103" s="272"/>
      <c r="AS103" s="272"/>
      <c r="AT103" s="272"/>
      <c r="AU103" s="51"/>
      <c r="BT103" s="21"/>
      <c r="BU103" s="253"/>
      <c r="BV103" s="231"/>
      <c r="BW103" s="253"/>
      <c r="BX103" s="35"/>
      <c r="BY103" s="253"/>
      <c r="BZ103" s="35"/>
      <c r="CA103" s="148"/>
      <c r="CB103" s="148"/>
      <c r="CC103" s="170"/>
    </row>
    <row r="104" spans="1:81" ht="20.100000000000001" customHeight="1" x14ac:dyDescent="0.25">
      <c r="B104" s="400" t="str">
        <f t="shared" si="33"/>
        <v>40-50</v>
      </c>
      <c r="C104" s="256">
        <f t="shared" si="34"/>
        <v>40</v>
      </c>
      <c r="D104" s="402">
        <f t="shared" si="35"/>
        <v>50</v>
      </c>
      <c r="E104" s="402">
        <f t="shared" si="36"/>
        <v>3</v>
      </c>
      <c r="F104" s="401">
        <f>VLOOKUP(C104,AS$5:AT$25,2,FALSE)</f>
        <v>0.4</v>
      </c>
      <c r="G104" s="401">
        <f>VLOOKUP(D104,AS$5:AT$25,2,FALSE)</f>
        <v>0.29699999999999999</v>
      </c>
      <c r="H104" s="259">
        <f t="shared" si="37"/>
        <v>0.34467375879228174</v>
      </c>
      <c r="I104" s="861" t="e">
        <f>150*(1-#REF!)/#REF!+1.75</f>
        <v>#REF!</v>
      </c>
      <c r="J104" s="862"/>
      <c r="K104" s="380" t="e">
        <f>I104*(E104/100)/(H104/1000)</f>
        <v>#REF!</v>
      </c>
      <c r="L104" s="1019"/>
      <c r="M104" s="1019"/>
      <c r="N104" s="385">
        <f>(E104/100)/(H104/1000)</f>
        <v>87.038827977848911</v>
      </c>
      <c r="O104" s="1010"/>
      <c r="P104" s="1010"/>
      <c r="Q104" s="1010"/>
      <c r="R104" s="382"/>
      <c r="S104" s="383"/>
      <c r="T104" s="383"/>
      <c r="U104" s="384"/>
      <c r="V104" s="162"/>
      <c r="W104" s="37"/>
      <c r="X104" s="108"/>
      <c r="Y104" s="47"/>
      <c r="Z104" s="36"/>
      <c r="AA104" s="58"/>
      <c r="AJ104" s="51"/>
      <c r="AK104" s="220"/>
      <c r="AL104" s="220"/>
      <c r="AM104" s="220"/>
      <c r="AN104" s="220"/>
      <c r="AO104" s="249"/>
      <c r="AP104" s="249"/>
      <c r="AQ104" s="220"/>
      <c r="AR104" s="272"/>
      <c r="AS104" s="272"/>
      <c r="AT104" s="272"/>
      <c r="AU104" s="51"/>
      <c r="BT104" s="21"/>
      <c r="BU104" s="253"/>
      <c r="BV104" s="231"/>
      <c r="BW104" s="253"/>
      <c r="BX104" s="35"/>
      <c r="BY104" s="253"/>
      <c r="BZ104" s="35"/>
      <c r="CA104" s="148"/>
      <c r="CB104" s="148"/>
      <c r="CC104" s="170"/>
    </row>
    <row r="105" spans="1:81" ht="20.100000000000001" customHeight="1" x14ac:dyDescent="0.25">
      <c r="B105" s="400" t="str">
        <f t="shared" si="33"/>
        <v>50-60</v>
      </c>
      <c r="C105" s="256">
        <f t="shared" si="34"/>
        <v>50</v>
      </c>
      <c r="D105" s="402">
        <f t="shared" si="35"/>
        <v>60</v>
      </c>
      <c r="E105" s="402">
        <f t="shared" si="36"/>
        <v>2</v>
      </c>
      <c r="F105" s="401">
        <f>VLOOKUP(C105,AS$5:AT$25,2,FALSE)</f>
        <v>0.29699999999999999</v>
      </c>
      <c r="G105" s="401">
        <f>VLOOKUP(D105,AS$5:AT$25,2,FALSE)</f>
        <v>0.25</v>
      </c>
      <c r="H105" s="259">
        <f t="shared" si="37"/>
        <v>0.27248853186877425</v>
      </c>
      <c r="I105" s="861" t="e">
        <f>150*(1-#REF!)/#REF!+1.75</f>
        <v>#REF!</v>
      </c>
      <c r="J105" s="862"/>
      <c r="K105" s="380" t="e">
        <f>I105*(E105/100)/(H105/1000)</f>
        <v>#REF!</v>
      </c>
      <c r="L105" s="1019"/>
      <c r="M105" s="1019"/>
      <c r="N105" s="385">
        <f>(E105/100)/(H105/1000)</f>
        <v>73.397584341757366</v>
      </c>
      <c r="O105" s="1010"/>
      <c r="P105" s="1010"/>
      <c r="Q105" s="1010"/>
      <c r="R105" s="382"/>
      <c r="S105" s="383"/>
      <c r="T105" s="383"/>
      <c r="U105" s="384"/>
      <c r="V105" s="162"/>
      <c r="W105" s="37"/>
      <c r="X105" s="108"/>
      <c r="Y105" s="47"/>
      <c r="Z105" s="36"/>
      <c r="AJ105" s="51"/>
      <c r="AK105" s="220"/>
      <c r="AL105" s="220"/>
      <c r="AM105" s="220"/>
      <c r="AN105" s="220"/>
      <c r="AO105" s="249"/>
      <c r="AP105" s="249"/>
      <c r="AQ105" s="220"/>
      <c r="AR105" s="272"/>
      <c r="AS105" s="272"/>
      <c r="AT105" s="272"/>
      <c r="AU105" s="51"/>
      <c r="BT105" s="21"/>
      <c r="BU105" s="253"/>
      <c r="BV105" s="231"/>
      <c r="BW105" s="253"/>
      <c r="BX105" s="35"/>
      <c r="BY105" s="253"/>
      <c r="BZ105" s="35"/>
      <c r="CA105" s="148"/>
      <c r="CB105" s="148"/>
      <c r="CC105" s="170"/>
    </row>
    <row r="106" spans="1:81" ht="20.100000000000001" customHeight="1" x14ac:dyDescent="0.25">
      <c r="B106" s="400" t="str">
        <f t="shared" si="33"/>
        <v>60-70</v>
      </c>
      <c r="C106" s="256">
        <f t="shared" si="34"/>
        <v>60</v>
      </c>
      <c r="D106" s="402">
        <f t="shared" si="35"/>
        <v>70</v>
      </c>
      <c r="E106" s="402">
        <f t="shared" si="36"/>
        <v>1</v>
      </c>
      <c r="F106" s="401">
        <f>VLOOKUP(C106,AS$5:AT$25,2,FALSE)</f>
        <v>0.25</v>
      </c>
      <c r="G106" s="401">
        <f>VLOOKUP(D106,AS$5:AT$25,2,FALSE)</f>
        <v>0.21</v>
      </c>
      <c r="H106" s="259">
        <f t="shared" si="37"/>
        <v>0.229128784747792</v>
      </c>
      <c r="I106" s="861" t="e">
        <f>150*(1-#REF!)/#REF!+1.75</f>
        <v>#REF!</v>
      </c>
      <c r="J106" s="862"/>
      <c r="K106" s="380" t="e">
        <f>I106*(E106/100)/(H106/1000)</f>
        <v>#REF!</v>
      </c>
      <c r="L106" s="1019"/>
      <c r="M106" s="1019"/>
      <c r="N106" s="385">
        <f>(E106/100)/(H106/1000)</f>
        <v>43.643578047198481</v>
      </c>
      <c r="O106" s="1010"/>
      <c r="P106" s="1010"/>
      <c r="Q106" s="1010"/>
      <c r="R106" s="382"/>
      <c r="S106" s="383"/>
      <c r="T106" s="383"/>
      <c r="U106" s="384"/>
      <c r="V106" s="162"/>
      <c r="W106" s="37"/>
      <c r="X106" s="108"/>
      <c r="Y106" s="47"/>
      <c r="Z106" s="36"/>
      <c r="AJ106" s="51"/>
      <c r="AK106" s="220"/>
      <c r="AL106" s="220"/>
      <c r="AM106" s="220"/>
      <c r="AN106" s="220"/>
      <c r="AO106" s="249"/>
      <c r="AP106" s="249"/>
      <c r="AQ106" s="220"/>
      <c r="AR106" s="272"/>
      <c r="AS106" s="272"/>
      <c r="AT106" s="272"/>
      <c r="AU106" s="51"/>
      <c r="BT106" s="248"/>
      <c r="BU106" s="253"/>
      <c r="BV106" s="284"/>
      <c r="BW106" s="285"/>
      <c r="BX106" s="151"/>
      <c r="BY106" s="285"/>
      <c r="BZ106" s="151"/>
      <c r="CA106" s="148"/>
      <c r="CB106" s="148"/>
      <c r="CC106" s="170"/>
    </row>
    <row r="107" spans="1:81" ht="20.100000000000001" customHeight="1" x14ac:dyDescent="0.25">
      <c r="B107" s="400" t="str">
        <f t="shared" si="33"/>
        <v>70-100</v>
      </c>
      <c r="C107" s="256">
        <f t="shared" si="34"/>
        <v>70</v>
      </c>
      <c r="D107" s="402">
        <f t="shared" si="35"/>
        <v>100</v>
      </c>
      <c r="E107" s="402">
        <f t="shared" si="36"/>
        <v>0.49999999999998579</v>
      </c>
      <c r="F107" s="401">
        <f>VLOOKUP(C107,AS$5:AT$25,2,FALSE)</f>
        <v>0.21</v>
      </c>
      <c r="G107" s="401">
        <f>VLOOKUP(D107,AS$5:AT$25,2,FALSE)</f>
        <v>0.14899999999999999</v>
      </c>
      <c r="H107" s="259">
        <f t="shared" si="37"/>
        <v>0.17688979620091147</v>
      </c>
      <c r="I107" s="861" t="e">
        <f>150*(1-#REF!)/#REF!+1.75</f>
        <v>#REF!</v>
      </c>
      <c r="J107" s="862"/>
      <c r="K107" s="380" t="e">
        <f>I107*(E107/100)/(H107/1000)</f>
        <v>#REF!</v>
      </c>
      <c r="L107" s="1019"/>
      <c r="M107" s="1019"/>
      <c r="N107" s="385">
        <f>(E107/100)/(H107/1000)</f>
        <v>28.266186673203336</v>
      </c>
      <c r="O107" s="1010"/>
      <c r="P107" s="1010"/>
      <c r="Q107" s="1010"/>
      <c r="R107" s="382"/>
      <c r="S107" s="383"/>
      <c r="T107" s="383"/>
      <c r="U107" s="384"/>
      <c r="V107" s="162"/>
      <c r="W107" s="37"/>
      <c r="X107" s="108"/>
      <c r="Y107" s="47"/>
      <c r="Z107" s="36"/>
      <c r="AJ107" s="51"/>
      <c r="AK107" s="220"/>
      <c r="AL107" s="220"/>
      <c r="AM107" s="220"/>
      <c r="AN107" s="220"/>
      <c r="AO107" s="249"/>
      <c r="AP107" s="249"/>
      <c r="AQ107" s="220"/>
      <c r="AR107" s="272"/>
      <c r="AS107" s="272"/>
      <c r="AT107" s="272"/>
      <c r="AU107" s="51"/>
      <c r="BT107" s="21"/>
      <c r="BU107" s="253"/>
      <c r="BV107" s="231"/>
      <c r="BW107" s="253"/>
      <c r="BX107" s="35"/>
      <c r="BY107" s="253"/>
      <c r="BZ107" s="35"/>
      <c r="CA107" s="148"/>
      <c r="CB107" s="148"/>
      <c r="CC107" s="170"/>
    </row>
    <row r="108" spans="1:81" ht="20.100000000000001" customHeight="1" x14ac:dyDescent="0.25">
      <c r="B108" s="1"/>
      <c r="C108" s="42"/>
      <c r="D108" s="21"/>
      <c r="E108" s="135">
        <f>SUM(E99:E107)</f>
        <v>100</v>
      </c>
      <c r="F108" s="43"/>
      <c r="G108" s="1"/>
      <c r="H108" s="37"/>
      <c r="I108" s="37"/>
      <c r="J108" s="37"/>
      <c r="K108" s="1009" t="e">
        <f>SUM(K99:K107)</f>
        <v>#REF!</v>
      </c>
      <c r="L108" s="37"/>
      <c r="M108" s="37"/>
      <c r="N108" s="1008">
        <f>SUM(N99:N107)</f>
        <v>1532.7622136065593</v>
      </c>
      <c r="O108" s="37"/>
      <c r="P108" s="114"/>
      <c r="Q108" s="37"/>
      <c r="R108" s="37"/>
      <c r="S108" s="37"/>
      <c r="T108" s="37"/>
      <c r="U108" s="37"/>
      <c r="V108" s="37"/>
      <c r="W108" s="37"/>
      <c r="X108" s="108"/>
      <c r="Y108" s="47"/>
      <c r="Z108" s="36"/>
      <c r="BT108" s="21"/>
      <c r="BU108" s="253"/>
      <c r="BV108" s="231"/>
      <c r="BW108" s="253"/>
      <c r="BX108" s="35"/>
      <c r="BY108" s="253"/>
      <c r="BZ108" s="35"/>
      <c r="CA108" s="148"/>
      <c r="CB108" s="148"/>
      <c r="CC108" s="170"/>
    </row>
    <row r="109" spans="1:81" ht="20.100000000000001" customHeight="1" x14ac:dyDescent="0.25">
      <c r="B109" s="1"/>
      <c r="C109" s="1"/>
      <c r="D109" s="1"/>
      <c r="E109" s="1"/>
      <c r="F109" s="1"/>
      <c r="G109" s="1"/>
      <c r="H109" s="37"/>
      <c r="I109" s="37"/>
      <c r="J109" s="37"/>
      <c r="K109" s="1009"/>
      <c r="L109" s="37"/>
      <c r="M109" s="37"/>
      <c r="N109" s="1009"/>
      <c r="O109" s="37"/>
      <c r="P109" s="114"/>
      <c r="Q109" s="37"/>
      <c r="R109" s="37"/>
      <c r="S109" s="37"/>
      <c r="T109" s="37"/>
      <c r="U109" s="37"/>
      <c r="V109" s="37"/>
      <c r="W109" s="37"/>
      <c r="X109" s="108"/>
      <c r="Y109" s="47"/>
      <c r="Z109" s="36"/>
      <c r="BT109" s="21"/>
      <c r="BU109" s="253"/>
      <c r="BV109" s="231"/>
      <c r="BW109" s="253"/>
      <c r="BX109" s="35"/>
      <c r="BY109" s="253"/>
      <c r="BZ109" s="35"/>
      <c r="CA109" s="148"/>
      <c r="CB109" s="148"/>
      <c r="CC109" s="170"/>
    </row>
    <row r="110" spans="1:81" ht="20.100000000000001" customHeight="1" x14ac:dyDescent="0.25">
      <c r="B110" s="38"/>
      <c r="C110" s="41"/>
      <c r="D110" s="38"/>
      <c r="E110" s="38"/>
      <c r="F110" s="38"/>
      <c r="G110" s="38"/>
      <c r="H110" s="37"/>
      <c r="I110" s="2"/>
      <c r="J110" s="2"/>
      <c r="K110" s="1009"/>
      <c r="L110" s="37"/>
      <c r="M110" s="37"/>
      <c r="N110" s="1009"/>
      <c r="O110" s="37"/>
      <c r="P110" s="114"/>
      <c r="Q110" s="2"/>
      <c r="R110" s="37"/>
      <c r="S110" s="37"/>
      <c r="T110" s="37"/>
      <c r="U110" s="37"/>
      <c r="V110" s="2"/>
      <c r="W110" s="37"/>
      <c r="X110" s="108"/>
      <c r="Y110" s="47"/>
      <c r="Z110" s="36"/>
      <c r="BT110" s="34"/>
      <c r="BU110" s="34"/>
      <c r="BV110" s="150"/>
      <c r="BW110" s="34"/>
      <c r="BX110" s="172"/>
      <c r="BY110" s="34"/>
      <c r="BZ110" s="35"/>
      <c r="CA110" s="149"/>
      <c r="CB110" s="149"/>
      <c r="CC110" s="143"/>
    </row>
    <row r="111" spans="1:81" ht="20.100000000000001" customHeight="1" x14ac:dyDescent="0.25">
      <c r="B111" s="38"/>
      <c r="C111" s="41"/>
      <c r="D111" s="38"/>
      <c r="E111" s="38"/>
      <c r="F111" s="38"/>
      <c r="G111" s="38"/>
      <c r="H111" s="37"/>
      <c r="I111" s="2"/>
      <c r="J111" s="2"/>
      <c r="K111" s="373"/>
      <c r="L111" s="37"/>
      <c r="M111" s="37"/>
      <c r="N111" s="373"/>
      <c r="O111" s="37"/>
      <c r="P111" s="373"/>
      <c r="Q111" s="2"/>
      <c r="R111" s="37"/>
      <c r="S111" s="37"/>
      <c r="T111" s="37"/>
      <c r="U111" s="37"/>
      <c r="V111" s="2"/>
      <c r="W111" s="37"/>
      <c r="X111" s="108"/>
      <c r="Y111" s="47"/>
      <c r="Z111" s="36"/>
      <c r="BT111" s="34"/>
      <c r="BU111" s="34"/>
      <c r="BV111" s="150"/>
      <c r="BW111" s="34"/>
      <c r="BX111" s="172"/>
      <c r="BY111" s="34"/>
      <c r="BZ111" s="35"/>
      <c r="CA111" s="149"/>
      <c r="CB111" s="149"/>
      <c r="CC111" s="374"/>
    </row>
    <row r="112" spans="1:81" ht="20.100000000000001" customHeight="1" x14ac:dyDescent="0.25">
      <c r="A112" s="31"/>
      <c r="B112" s="32" t="s">
        <v>489</v>
      </c>
      <c r="C112" s="31"/>
      <c r="D112" s="31"/>
      <c r="E112" s="31"/>
      <c r="F112" s="31"/>
      <c r="G112" s="31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7"/>
      <c r="X112" s="108"/>
      <c r="Y112" s="47"/>
      <c r="Z112" s="36"/>
      <c r="BT112" s="34"/>
      <c r="BU112" s="34"/>
      <c r="BV112" s="150"/>
      <c r="BW112" s="34"/>
      <c r="BX112" s="172"/>
      <c r="BY112" s="34"/>
      <c r="BZ112" s="35"/>
      <c r="CA112" s="149"/>
      <c r="CB112" s="149"/>
      <c r="CC112" s="279"/>
    </row>
    <row r="113" spans="2:81" ht="20.100000000000001" customHeight="1" x14ac:dyDescent="0.25">
      <c r="B113" s="931" t="s">
        <v>82</v>
      </c>
      <c r="C113" s="934"/>
      <c r="D113" s="935"/>
      <c r="E113" s="935" t="s">
        <v>93</v>
      </c>
      <c r="F113" s="935" t="s">
        <v>94</v>
      </c>
      <c r="G113" s="935" t="s">
        <v>95</v>
      </c>
      <c r="H113" s="925" t="s">
        <v>97</v>
      </c>
      <c r="I113" s="939"/>
      <c r="J113" s="939"/>
      <c r="K113" s="940"/>
      <c r="L113" s="938" t="s">
        <v>483</v>
      </c>
      <c r="M113" s="939"/>
      <c r="N113" s="939"/>
      <c r="O113" s="939"/>
      <c r="P113" s="939"/>
      <c r="Q113" s="940"/>
      <c r="R113" s="1011" t="s">
        <v>77</v>
      </c>
      <c r="S113" s="1011"/>
      <c r="T113" s="1011"/>
      <c r="U113" s="1011"/>
      <c r="V113" s="1011"/>
      <c r="W113" s="1011"/>
      <c r="X113" s="108"/>
      <c r="Y113" s="47"/>
      <c r="Z113" s="36"/>
      <c r="BT113" s="34"/>
      <c r="BU113" s="34"/>
      <c r="BV113" s="150"/>
      <c r="BW113" s="34"/>
      <c r="BX113" s="172"/>
      <c r="BY113" s="34"/>
      <c r="BZ113" s="35"/>
      <c r="CA113" s="149"/>
      <c r="CB113" s="149"/>
      <c r="CC113" s="279"/>
    </row>
    <row r="114" spans="2:81" ht="20.100000000000001" customHeight="1" x14ac:dyDescent="0.25">
      <c r="B114" s="932"/>
      <c r="C114" s="934"/>
      <c r="D114" s="936"/>
      <c r="E114" s="937"/>
      <c r="F114" s="937"/>
      <c r="G114" s="937"/>
      <c r="H114" s="926"/>
      <c r="I114" s="1030"/>
      <c r="J114" s="1031"/>
      <c r="K114" s="281"/>
      <c r="L114" s="1012"/>
      <c r="M114" s="1030"/>
      <c r="N114" s="1034"/>
      <c r="O114" s="1029" t="s">
        <v>80</v>
      </c>
      <c r="P114" s="941"/>
      <c r="Q114" s="942"/>
      <c r="R114" s="1037"/>
      <c r="S114" s="1013"/>
      <c r="T114" s="1014"/>
      <c r="U114" s="1017" t="s">
        <v>80</v>
      </c>
      <c r="V114" s="1012"/>
      <c r="W114" s="1012"/>
      <c r="X114" s="108"/>
      <c r="Y114" s="47"/>
      <c r="Z114" s="36"/>
      <c r="BT114" s="34"/>
      <c r="BU114" s="34"/>
      <c r="BV114" s="150"/>
      <c r="BW114" s="34"/>
      <c r="BX114" s="172"/>
      <c r="BY114" s="34"/>
      <c r="BZ114" s="35"/>
      <c r="CA114" s="149"/>
      <c r="CB114" s="149"/>
      <c r="CC114" s="279"/>
    </row>
    <row r="115" spans="2:81" ht="20.100000000000001" customHeight="1" x14ac:dyDescent="0.25">
      <c r="B115" s="932"/>
      <c r="C115" s="273"/>
      <c r="D115" s="274"/>
      <c r="E115" s="937"/>
      <c r="F115" s="937"/>
      <c r="G115" s="937"/>
      <c r="H115" s="926"/>
      <c r="I115" s="1013"/>
      <c r="J115" s="1032"/>
      <c r="K115" s="282"/>
      <c r="L115" s="1012"/>
      <c r="M115" s="1013"/>
      <c r="N115" s="1014"/>
      <c r="O115" s="1017"/>
      <c r="P115" s="943"/>
      <c r="Q115" s="944"/>
      <c r="R115" s="1037"/>
      <c r="S115" s="1013"/>
      <c r="T115" s="1014"/>
      <c r="U115" s="1017"/>
      <c r="V115" s="1012"/>
      <c r="W115" s="1012"/>
      <c r="X115" s="108"/>
      <c r="Y115" s="47"/>
      <c r="Z115" s="36"/>
      <c r="BT115" s="34"/>
      <c r="BU115" s="34"/>
      <c r="BV115" s="150"/>
      <c r="BW115" s="34"/>
      <c r="BX115" s="172"/>
      <c r="BY115" s="34"/>
      <c r="BZ115" s="35"/>
      <c r="CA115" s="149"/>
      <c r="CB115" s="149"/>
      <c r="CC115" s="279"/>
    </row>
    <row r="116" spans="2:81" ht="20.100000000000001" customHeight="1" x14ac:dyDescent="0.25">
      <c r="B116" s="933"/>
      <c r="C116" s="273"/>
      <c r="D116" s="274"/>
      <c r="E116" s="936"/>
      <c r="F116" s="936"/>
      <c r="G116" s="936"/>
      <c r="H116" s="927"/>
      <c r="I116" s="1015"/>
      <c r="J116" s="1033"/>
      <c r="K116" s="283"/>
      <c r="L116" s="1012"/>
      <c r="M116" s="1015"/>
      <c r="N116" s="1016"/>
      <c r="O116" s="1018"/>
      <c r="P116" s="1035"/>
      <c r="Q116" s="1036"/>
      <c r="R116" s="1038"/>
      <c r="S116" s="1015"/>
      <c r="T116" s="1016"/>
      <c r="U116" s="1018"/>
      <c r="V116" s="1012"/>
      <c r="W116" s="1012"/>
      <c r="X116" s="108"/>
      <c r="Y116" s="47"/>
      <c r="Z116" s="36"/>
      <c r="BT116" s="34"/>
      <c r="BU116" s="34"/>
      <c r="BV116" s="150"/>
      <c r="BW116" s="34"/>
      <c r="BX116" s="172"/>
      <c r="BY116" s="34"/>
      <c r="BZ116" s="35"/>
      <c r="CA116" s="149"/>
      <c r="CB116" s="149"/>
      <c r="CC116" s="279"/>
    </row>
    <row r="117" spans="2:81" ht="20.100000000000001" customHeight="1" x14ac:dyDescent="0.25">
      <c r="B117" s="275" t="str">
        <f t="shared" ref="B117:B125" si="38">B42</f>
        <v>14-20</v>
      </c>
      <c r="C117" s="256">
        <f t="shared" ref="C117:C125" si="39">LEFT(B117,2)+0</f>
        <v>14</v>
      </c>
      <c r="D117" s="276">
        <f t="shared" ref="D117:D125" si="40">MID(B117,4,3)+0</f>
        <v>20</v>
      </c>
      <c r="E117" s="276">
        <f t="shared" ref="E117:E125" si="41">E42</f>
        <v>16.2</v>
      </c>
      <c r="F117" s="278">
        <f>VLOOKUP(C117,AS$5:AT$25,2,FALSE)</f>
        <v>1.41</v>
      </c>
      <c r="G117" s="278">
        <f>VLOOKUP(D99,AS$5:AT$25,2,FALSE)</f>
        <v>0.84099999999999997</v>
      </c>
      <c r="H117" s="259">
        <f>(F117*G117)^(1/2)</f>
        <v>1.0889490346200781</v>
      </c>
      <c r="I117" s="844" t="e">
        <f>ROUND((#REF!*#REF!*((1-#REF!)^2)/(#REF!^3)*((#REF!*($G$19/86400))/9.806)*((6/#REF!)^2)*#REF!),3)&amp;" m"</f>
        <v>#REF!</v>
      </c>
      <c r="J117" s="863"/>
      <c r="K117" s="845"/>
      <c r="L117" s="260" t="e">
        <f>#REF!*(H117/1000)*(($G$19/86400)/#REF!)</f>
        <v>#REF!</v>
      </c>
      <c r="M117" s="861" t="e">
        <f>150*(1-#REF!)/L117+1.75</f>
        <v>#REF!</v>
      </c>
      <c r="N117" s="862"/>
      <c r="O117" s="261" t="e">
        <f>M117*(E117/100)/(H117/1000)</f>
        <v>#REF!</v>
      </c>
      <c r="P117" s="1023" t="e">
        <f>ROUND((1/#REF!)*(1-#REF!)/(#REF!^3)*(#REF!*(($G$19/86400)^2)/9.806)*O126,3)&amp; " m"</f>
        <v>#REF!</v>
      </c>
      <c r="Q117" s="1024"/>
      <c r="R117" s="262" t="e">
        <f>(H117/1000)*($G$19/86400)/#REF!</f>
        <v>#REF!</v>
      </c>
      <c r="S117" s="821" t="e">
        <f>24/R117+3/(R117^(1/2))+0.34</f>
        <v>#REF!</v>
      </c>
      <c r="T117" s="822"/>
      <c r="U117" s="452" t="e">
        <f>S117*(E117/100)/(H117/1000)</f>
        <v>#REF!</v>
      </c>
      <c r="V117" s="1010" t="e">
        <f>ROUND(1.067*(($G$19/86400)^2)*#REF!/(9.806*#REF!*(#REF!^4))*U126,3)&amp;" m"</f>
        <v>#REF!</v>
      </c>
      <c r="W117" s="1010"/>
      <c r="X117" s="108"/>
      <c r="Y117" s="47"/>
      <c r="Z117" s="36"/>
      <c r="BT117" s="34"/>
      <c r="BU117" s="34"/>
      <c r="BV117" s="150"/>
      <c r="BW117" s="34"/>
      <c r="BX117" s="172"/>
      <c r="BY117" s="34"/>
      <c r="BZ117" s="35"/>
      <c r="CA117" s="149"/>
      <c r="CB117" s="149"/>
      <c r="CC117" s="279"/>
    </row>
    <row r="118" spans="2:81" ht="20.100000000000001" customHeight="1" x14ac:dyDescent="0.25">
      <c r="B118" s="275" t="str">
        <f t="shared" si="38"/>
        <v>20-25</v>
      </c>
      <c r="C118" s="256">
        <f t="shared" si="39"/>
        <v>20</v>
      </c>
      <c r="D118" s="276">
        <f t="shared" si="40"/>
        <v>25</v>
      </c>
      <c r="E118" s="276">
        <f t="shared" si="41"/>
        <v>33.700000000000003</v>
      </c>
      <c r="F118" s="278">
        <f>VLOOKUP(C118,AS$5:AT$25,2,FALSE)</f>
        <v>0.84099999999999997</v>
      </c>
      <c r="G118" s="278">
        <f>VLOOKUP(D100,AS$5:AT$25,2,FALSE)</f>
        <v>0.70699999999999996</v>
      </c>
      <c r="H118" s="259">
        <f t="shared" ref="H118:H125" si="42">(F118*G118)^(1/2)</f>
        <v>0.77109467641788321</v>
      </c>
      <c r="I118" s="846"/>
      <c r="J118" s="864"/>
      <c r="K118" s="847"/>
      <c r="L118" s="409" t="e">
        <f>#REF!*(H118/1000)*(($G$19/86400)/#REF!)</f>
        <v>#REF!</v>
      </c>
      <c r="M118" s="861" t="e">
        <f>150*(1-#REF!)/L118+1.75</f>
        <v>#REF!</v>
      </c>
      <c r="N118" s="862"/>
      <c r="O118" s="261" t="e">
        <f>M118*(E118/100)/(H118/1000)</f>
        <v>#REF!</v>
      </c>
      <c r="P118" s="1025"/>
      <c r="Q118" s="1026"/>
      <c r="R118" s="262" t="e">
        <f>(H118/1000)*($G$19/86400)/#REF!</f>
        <v>#REF!</v>
      </c>
      <c r="S118" s="821" t="e">
        <f t="shared" ref="S118:S125" si="43">24/R118+3/(R118^(1/2))+0.34</f>
        <v>#REF!</v>
      </c>
      <c r="T118" s="822"/>
      <c r="U118" s="452" t="e">
        <f>S118*(E118/100)/(H118/1000)</f>
        <v>#REF!</v>
      </c>
      <c r="V118" s="1010"/>
      <c r="W118" s="1010"/>
      <c r="X118" s="108"/>
      <c r="Y118" s="47"/>
      <c r="Z118" s="36"/>
      <c r="BT118" s="34"/>
      <c r="BU118" s="34"/>
      <c r="BV118" s="150"/>
      <c r="BW118" s="34"/>
      <c r="BX118" s="172"/>
      <c r="BY118" s="34"/>
      <c r="BZ118" s="35"/>
      <c r="CA118" s="149"/>
      <c r="CB118" s="149"/>
      <c r="CC118" s="279"/>
    </row>
    <row r="119" spans="2:81" ht="20.100000000000001" customHeight="1" x14ac:dyDescent="0.25">
      <c r="B119" s="275" t="str">
        <f t="shared" si="38"/>
        <v>25-30</v>
      </c>
      <c r="C119" s="256">
        <f t="shared" si="39"/>
        <v>25</v>
      </c>
      <c r="D119" s="276">
        <f t="shared" si="40"/>
        <v>30</v>
      </c>
      <c r="E119" s="276">
        <f t="shared" si="41"/>
        <v>33.9</v>
      </c>
      <c r="F119" s="278">
        <f>VLOOKUP(C119,AS$5:AT$25,2,FALSE)</f>
        <v>0.70699999999999996</v>
      </c>
      <c r="G119" s="278">
        <f>VLOOKUP(D101,AS$5:AT$25,2,FALSE)</f>
        <v>0.59499999999999997</v>
      </c>
      <c r="H119" s="259">
        <f t="shared" si="42"/>
        <v>0.64858692555431607</v>
      </c>
      <c r="I119" s="846"/>
      <c r="J119" s="864"/>
      <c r="K119" s="847"/>
      <c r="L119" s="409" t="e">
        <f>#REF!*(H119/1000)*(($G$19/86400)/#REF!)</f>
        <v>#REF!</v>
      </c>
      <c r="M119" s="861" t="e">
        <f>150*(1-#REF!)/L119+1.75</f>
        <v>#REF!</v>
      </c>
      <c r="N119" s="862"/>
      <c r="O119" s="261" t="e">
        <f>M119*(E119/100)/(H119/1000)</f>
        <v>#REF!</v>
      </c>
      <c r="P119" s="1025"/>
      <c r="Q119" s="1026"/>
      <c r="R119" s="262" t="e">
        <f>(H119/1000)*($G$19/86400)/#REF!</f>
        <v>#REF!</v>
      </c>
      <c r="S119" s="821" t="e">
        <f t="shared" si="43"/>
        <v>#REF!</v>
      </c>
      <c r="T119" s="822"/>
      <c r="U119" s="452" t="e">
        <f>S119*(E119/100)/(H119/1000)</f>
        <v>#REF!</v>
      </c>
      <c r="V119" s="1010"/>
      <c r="W119" s="1010"/>
      <c r="X119" s="108"/>
      <c r="Y119" s="1007"/>
      <c r="Z119" s="1007"/>
      <c r="BT119" s="34"/>
      <c r="BU119" s="34"/>
      <c r="BV119" s="150"/>
      <c r="BW119" s="34"/>
      <c r="BX119" s="172"/>
      <c r="BY119" s="34"/>
      <c r="BZ119" s="35"/>
      <c r="CA119" s="149"/>
      <c r="CB119" s="149"/>
      <c r="CC119" s="279"/>
    </row>
    <row r="120" spans="2:81" ht="20.100000000000001" customHeight="1" x14ac:dyDescent="0.25">
      <c r="B120" s="275" t="str">
        <f t="shared" si="38"/>
        <v>30-35</v>
      </c>
      <c r="C120" s="256">
        <f t="shared" si="39"/>
        <v>30</v>
      </c>
      <c r="D120" s="276">
        <f t="shared" si="40"/>
        <v>35</v>
      </c>
      <c r="E120" s="276">
        <f t="shared" si="41"/>
        <v>6.2</v>
      </c>
      <c r="F120" s="278">
        <f>VLOOKUP(C120,AS$5:AT$25,2,FALSE)</f>
        <v>0.59499999999999997</v>
      </c>
      <c r="G120" s="278">
        <f>VLOOKUP(D102,AS$5:AT$25,2,FALSE)</f>
        <v>0.5</v>
      </c>
      <c r="H120" s="259">
        <f t="shared" si="42"/>
        <v>0.54543560573178573</v>
      </c>
      <c r="I120" s="846"/>
      <c r="J120" s="864"/>
      <c r="K120" s="847"/>
      <c r="L120" s="409" t="e">
        <f>#REF!*(H120/1000)*(($G$19/86400)/#REF!)</f>
        <v>#REF!</v>
      </c>
      <c r="M120" s="861" t="e">
        <f>150*(1-#REF!)/L120+1.75</f>
        <v>#REF!</v>
      </c>
      <c r="N120" s="862"/>
      <c r="O120" s="261" t="e">
        <f>M120*(E120/100)/(H120/1000)</f>
        <v>#REF!</v>
      </c>
      <c r="P120" s="1025"/>
      <c r="Q120" s="1026"/>
      <c r="R120" s="262" t="e">
        <f>(H120/1000)*($G$19/86400)/#REF!</f>
        <v>#REF!</v>
      </c>
      <c r="S120" s="821" t="e">
        <f t="shared" si="43"/>
        <v>#REF!</v>
      </c>
      <c r="T120" s="822"/>
      <c r="U120" s="452" t="e">
        <f>S120*(E120/100)/(H120/1000)</f>
        <v>#REF!</v>
      </c>
      <c r="V120" s="1010"/>
      <c r="W120" s="1010"/>
      <c r="X120" s="108"/>
      <c r="Y120" s="47"/>
      <c r="Z120" s="36"/>
      <c r="BT120" s="34"/>
      <c r="BU120" s="34"/>
      <c r="BV120" s="150"/>
      <c r="BW120" s="34"/>
      <c r="BX120" s="172"/>
      <c r="BY120" s="34"/>
      <c r="BZ120" s="35"/>
      <c r="CA120" s="149"/>
      <c r="CB120" s="149"/>
      <c r="CC120" s="279"/>
    </row>
    <row r="121" spans="2:81" ht="20.100000000000001" customHeight="1" x14ac:dyDescent="0.25">
      <c r="B121" s="275" t="str">
        <f t="shared" si="38"/>
        <v>35-40</v>
      </c>
      <c r="C121" s="256">
        <f t="shared" si="39"/>
        <v>35</v>
      </c>
      <c r="D121" s="276">
        <f t="shared" si="40"/>
        <v>40</v>
      </c>
      <c r="E121" s="276">
        <f t="shared" si="41"/>
        <v>3.5</v>
      </c>
      <c r="F121" s="278">
        <f>VLOOKUP(C121,AS$5:AT$25,2,FALSE)</f>
        <v>0.5</v>
      </c>
      <c r="G121" s="278">
        <f>VLOOKUP(D103,AS$5:AT$25,2,FALSE)</f>
        <v>0.4</v>
      </c>
      <c r="H121" s="259">
        <f t="shared" si="42"/>
        <v>0.44721359549995793</v>
      </c>
      <c r="I121" s="846"/>
      <c r="J121" s="864"/>
      <c r="K121" s="847"/>
      <c r="L121" s="409" t="e">
        <f>#REF!*(H121/1000)*(($G$19/86400)/#REF!)</f>
        <v>#REF!</v>
      </c>
      <c r="M121" s="861" t="e">
        <f>150*(1-#REF!)/L121+1.75</f>
        <v>#REF!</v>
      </c>
      <c r="N121" s="862"/>
      <c r="O121" s="261" t="e">
        <f>M121*(E121/100)/(H121/1000)</f>
        <v>#REF!</v>
      </c>
      <c r="P121" s="1025"/>
      <c r="Q121" s="1026"/>
      <c r="R121" s="262" t="e">
        <f>(H121/1000)*($G$19/86400)/#REF!</f>
        <v>#REF!</v>
      </c>
      <c r="S121" s="821" t="e">
        <f t="shared" si="43"/>
        <v>#REF!</v>
      </c>
      <c r="T121" s="822"/>
      <c r="U121" s="452" t="e">
        <f>S121*(E121/100)/(H121/1000)</f>
        <v>#REF!</v>
      </c>
      <c r="V121" s="1010"/>
      <c r="W121" s="1010"/>
      <c r="X121" s="108"/>
      <c r="Y121" s="47"/>
      <c r="Z121" s="36"/>
      <c r="BT121" s="34"/>
      <c r="BU121" s="34"/>
      <c r="BV121" s="150"/>
      <c r="BW121" s="34"/>
      <c r="BX121" s="172"/>
      <c r="BY121" s="34"/>
      <c r="BZ121" s="35"/>
      <c r="CA121" s="149"/>
      <c r="CB121" s="149"/>
      <c r="CC121" s="279"/>
    </row>
    <row r="122" spans="2:81" ht="20.100000000000001" customHeight="1" x14ac:dyDescent="0.25">
      <c r="B122" s="275" t="str">
        <f t="shared" si="38"/>
        <v>40-50</v>
      </c>
      <c r="C122" s="256">
        <f t="shared" si="39"/>
        <v>40</v>
      </c>
      <c r="D122" s="276">
        <f t="shared" si="40"/>
        <v>50</v>
      </c>
      <c r="E122" s="276">
        <f t="shared" si="41"/>
        <v>3</v>
      </c>
      <c r="F122" s="278">
        <f>VLOOKUP(C122,AS$5:AT$25,2,FALSE)</f>
        <v>0.4</v>
      </c>
      <c r="G122" s="278">
        <f>VLOOKUP(D104,AS$5:AT$25,2,FALSE)</f>
        <v>0.29699999999999999</v>
      </c>
      <c r="H122" s="259">
        <f t="shared" si="42"/>
        <v>0.34467375879228174</v>
      </c>
      <c r="I122" s="846"/>
      <c r="J122" s="864"/>
      <c r="K122" s="847"/>
      <c r="L122" s="409" t="e">
        <f>#REF!*(H122/1000)*(($G$19/86400)/#REF!)</f>
        <v>#REF!</v>
      </c>
      <c r="M122" s="861" t="e">
        <f>150*(1-#REF!)/L122+1.75</f>
        <v>#REF!</v>
      </c>
      <c r="N122" s="862"/>
      <c r="O122" s="261" t="e">
        <f>M122*(E122/100)/(H122/1000)</f>
        <v>#REF!</v>
      </c>
      <c r="P122" s="1025"/>
      <c r="Q122" s="1026"/>
      <c r="R122" s="262" t="e">
        <f>(H122/1000)*($G$19/86400)/#REF!</f>
        <v>#REF!</v>
      </c>
      <c r="S122" s="821" t="e">
        <f t="shared" si="43"/>
        <v>#REF!</v>
      </c>
      <c r="T122" s="822"/>
      <c r="U122" s="452" t="e">
        <f>S122*(E122/100)/(H122/1000)</f>
        <v>#REF!</v>
      </c>
      <c r="V122" s="1010"/>
      <c r="W122" s="1010"/>
      <c r="X122" s="108"/>
      <c r="Y122" s="47"/>
      <c r="Z122" s="36"/>
      <c r="BT122" s="34"/>
      <c r="BU122" s="34"/>
      <c r="BV122" s="150"/>
      <c r="BW122" s="34"/>
      <c r="BX122" s="172"/>
      <c r="BY122" s="34"/>
      <c r="BZ122" s="35"/>
      <c r="CA122" s="149"/>
      <c r="CB122" s="149"/>
      <c r="CC122" s="279"/>
    </row>
    <row r="123" spans="2:81" ht="20.100000000000001" customHeight="1" x14ac:dyDescent="0.25">
      <c r="B123" s="275" t="str">
        <f t="shared" si="38"/>
        <v>50-60</v>
      </c>
      <c r="C123" s="256">
        <f t="shared" si="39"/>
        <v>50</v>
      </c>
      <c r="D123" s="276">
        <f t="shared" si="40"/>
        <v>60</v>
      </c>
      <c r="E123" s="276">
        <f t="shared" si="41"/>
        <v>2</v>
      </c>
      <c r="F123" s="278">
        <f>VLOOKUP(C123,AS$5:AT$25,2,FALSE)</f>
        <v>0.29699999999999999</v>
      </c>
      <c r="G123" s="278">
        <f>VLOOKUP(D105,AS$5:AT$25,2,FALSE)</f>
        <v>0.25</v>
      </c>
      <c r="H123" s="259">
        <f t="shared" si="42"/>
        <v>0.27248853186877425</v>
      </c>
      <c r="I123" s="846"/>
      <c r="J123" s="864"/>
      <c r="K123" s="847"/>
      <c r="L123" s="409" t="e">
        <f>#REF!*(H123/1000)*(($G$19/86400)/#REF!)</f>
        <v>#REF!</v>
      </c>
      <c r="M123" s="861" t="e">
        <f>150*(1-#REF!)/L123+1.75</f>
        <v>#REF!</v>
      </c>
      <c r="N123" s="862"/>
      <c r="O123" s="261" t="e">
        <f>M123*(E123/100)/(H123/1000)</f>
        <v>#REF!</v>
      </c>
      <c r="P123" s="1025"/>
      <c r="Q123" s="1026"/>
      <c r="R123" s="262" t="e">
        <f>(H123/1000)*($G$19/86400)/#REF!</f>
        <v>#REF!</v>
      </c>
      <c r="S123" s="821" t="e">
        <f t="shared" si="43"/>
        <v>#REF!</v>
      </c>
      <c r="T123" s="822"/>
      <c r="U123" s="452" t="e">
        <f>S123*(E123/100)/(H123/1000)</f>
        <v>#REF!</v>
      </c>
      <c r="V123" s="1010"/>
      <c r="W123" s="1010"/>
      <c r="X123" s="108"/>
      <c r="Y123" s="47"/>
      <c r="Z123" s="36"/>
      <c r="BT123" s="34"/>
      <c r="BU123" s="34"/>
      <c r="BV123" s="150"/>
      <c r="BW123" s="34"/>
      <c r="BX123" s="172"/>
      <c r="BY123" s="34"/>
      <c r="BZ123" s="35"/>
      <c r="CA123" s="149"/>
      <c r="CB123" s="149"/>
      <c r="CC123" s="279"/>
    </row>
    <row r="124" spans="2:81" ht="20.100000000000001" customHeight="1" x14ac:dyDescent="0.25">
      <c r="B124" s="275" t="str">
        <f t="shared" si="38"/>
        <v>60-70</v>
      </c>
      <c r="C124" s="256">
        <f t="shared" si="39"/>
        <v>60</v>
      </c>
      <c r="D124" s="276">
        <f t="shared" si="40"/>
        <v>70</v>
      </c>
      <c r="E124" s="276">
        <f t="shared" si="41"/>
        <v>1</v>
      </c>
      <c r="F124" s="278">
        <f>VLOOKUP(C124,AS$5:AT$25,2,FALSE)</f>
        <v>0.25</v>
      </c>
      <c r="G124" s="278">
        <f>VLOOKUP(D106,AS$5:AT$25,2,FALSE)</f>
        <v>0.21</v>
      </c>
      <c r="H124" s="259">
        <f t="shared" si="42"/>
        <v>0.229128784747792</v>
      </c>
      <c r="I124" s="846"/>
      <c r="J124" s="864"/>
      <c r="K124" s="847"/>
      <c r="L124" s="409" t="e">
        <f>#REF!*(H124/1000)*(($G$19/86400)/#REF!)</f>
        <v>#REF!</v>
      </c>
      <c r="M124" s="861" t="e">
        <f>150*(1-#REF!)/L124+1.75</f>
        <v>#REF!</v>
      </c>
      <c r="N124" s="862"/>
      <c r="O124" s="261" t="e">
        <f>M124*(E124/100)/(H124/1000)</f>
        <v>#REF!</v>
      </c>
      <c r="P124" s="1025"/>
      <c r="Q124" s="1026"/>
      <c r="R124" s="262" t="e">
        <f>(H124/1000)*($G$19/86400)/#REF!</f>
        <v>#REF!</v>
      </c>
      <c r="S124" s="821" t="e">
        <f t="shared" si="43"/>
        <v>#REF!</v>
      </c>
      <c r="T124" s="822"/>
      <c r="U124" s="452" t="e">
        <f>S124*(E124/100)/(H124/1000)</f>
        <v>#REF!</v>
      </c>
      <c r="V124" s="1010"/>
      <c r="W124" s="1010"/>
      <c r="X124" s="108"/>
      <c r="Y124" s="47"/>
      <c r="Z124" s="36"/>
      <c r="BT124" s="34"/>
      <c r="BU124" s="34"/>
      <c r="BV124" s="150"/>
      <c r="BW124" s="34"/>
      <c r="BX124" s="172"/>
      <c r="BY124" s="34"/>
      <c r="BZ124" s="35"/>
      <c r="CA124" s="149"/>
      <c r="CB124" s="149"/>
      <c r="CC124" s="279"/>
    </row>
    <row r="125" spans="2:81" ht="20.100000000000001" customHeight="1" x14ac:dyDescent="0.25">
      <c r="B125" s="275" t="str">
        <f t="shared" si="38"/>
        <v>70-100</v>
      </c>
      <c r="C125" s="256">
        <f t="shared" si="39"/>
        <v>70</v>
      </c>
      <c r="D125" s="276">
        <f t="shared" si="40"/>
        <v>100</v>
      </c>
      <c r="E125" s="276">
        <f t="shared" si="41"/>
        <v>0.49999999999998579</v>
      </c>
      <c r="F125" s="278">
        <f>VLOOKUP(C125,AS$5:AT$25,2,FALSE)</f>
        <v>0.21</v>
      </c>
      <c r="G125" s="278">
        <f>VLOOKUP(D107,AS$5:AT$25,2,FALSE)</f>
        <v>0.14899999999999999</v>
      </c>
      <c r="H125" s="259">
        <f t="shared" si="42"/>
        <v>0.17688979620091147</v>
      </c>
      <c r="I125" s="848"/>
      <c r="J125" s="865"/>
      <c r="K125" s="849"/>
      <c r="L125" s="409" t="e">
        <f>#REF!*(H125/1000)*(($G$19/86400)/#REF!)</f>
        <v>#REF!</v>
      </c>
      <c r="M125" s="861" t="e">
        <f>150*(1-#REF!)/L125+1.75</f>
        <v>#REF!</v>
      </c>
      <c r="N125" s="862"/>
      <c r="O125" s="261" t="e">
        <f>M125*(E125/100)/(H125/1000)</f>
        <v>#REF!</v>
      </c>
      <c r="P125" s="1027"/>
      <c r="Q125" s="1028"/>
      <c r="R125" s="262" t="e">
        <f>(H125/1000)*($G$19/86400)/#REF!</f>
        <v>#REF!</v>
      </c>
      <c r="S125" s="821" t="e">
        <f t="shared" si="43"/>
        <v>#REF!</v>
      </c>
      <c r="T125" s="822"/>
      <c r="U125" s="452" t="e">
        <f>S125*(E125/100)/(H125/1000)</f>
        <v>#REF!</v>
      </c>
      <c r="V125" s="1010"/>
      <c r="W125" s="1010"/>
      <c r="X125" s="108"/>
      <c r="Y125" s="47"/>
      <c r="Z125" s="36"/>
      <c r="BT125" s="34"/>
      <c r="BU125" s="34"/>
      <c r="BV125" s="150"/>
      <c r="BW125" s="34"/>
      <c r="BX125" s="172"/>
      <c r="BY125" s="34"/>
      <c r="BZ125" s="35"/>
      <c r="CA125" s="149"/>
      <c r="CB125" s="149"/>
      <c r="CC125" s="279"/>
    </row>
    <row r="126" spans="2:81" ht="20.100000000000001" customHeight="1" x14ac:dyDescent="0.25">
      <c r="B126" s="280"/>
      <c r="C126" s="42"/>
      <c r="D126" s="21"/>
      <c r="E126" s="135">
        <f>SUM(E117:E125)</f>
        <v>100</v>
      </c>
      <c r="F126" s="43"/>
      <c r="G126" s="280"/>
      <c r="H126" s="37"/>
      <c r="I126" s="37"/>
      <c r="J126" s="37"/>
      <c r="K126" s="37"/>
      <c r="L126" s="37"/>
      <c r="M126" s="37"/>
      <c r="N126" s="37"/>
      <c r="O126" s="1009" t="e">
        <f>SUM(O117:O125)</f>
        <v>#REF!</v>
      </c>
      <c r="P126" s="280"/>
      <c r="Q126" s="37"/>
      <c r="R126" s="37"/>
      <c r="S126" s="37"/>
      <c r="T126" s="37"/>
      <c r="U126" s="1020" t="e">
        <f>SUM(U117:U125)</f>
        <v>#REF!</v>
      </c>
      <c r="V126" s="37"/>
      <c r="W126" s="37"/>
      <c r="X126" s="108"/>
      <c r="Y126" s="47"/>
      <c r="Z126" s="36"/>
      <c r="BT126" s="34"/>
      <c r="BU126" s="34"/>
      <c r="BV126" s="150"/>
      <c r="BW126" s="34"/>
      <c r="BX126" s="172"/>
      <c r="BY126" s="34"/>
      <c r="BZ126" s="35"/>
      <c r="CA126" s="149"/>
      <c r="CB126" s="149"/>
      <c r="CC126" s="279"/>
    </row>
    <row r="127" spans="2:81" ht="20.100000000000001" customHeight="1" x14ac:dyDescent="0.25">
      <c r="B127" s="280"/>
      <c r="C127" s="280"/>
      <c r="D127" s="280"/>
      <c r="E127" s="280"/>
      <c r="F127" s="280"/>
      <c r="G127" s="280"/>
      <c r="H127" s="37"/>
      <c r="I127" s="37"/>
      <c r="J127" s="37"/>
      <c r="K127" s="37"/>
      <c r="L127" s="37"/>
      <c r="M127" s="37"/>
      <c r="N127" s="37"/>
      <c r="O127" s="1009"/>
      <c r="P127" s="280"/>
      <c r="Q127" s="37"/>
      <c r="R127" s="37"/>
      <c r="S127" s="37"/>
      <c r="T127" s="37"/>
      <c r="U127" s="1021"/>
      <c r="V127" s="37"/>
      <c r="W127" s="37"/>
      <c r="X127" s="108"/>
      <c r="Y127" s="47"/>
      <c r="Z127" s="36"/>
      <c r="BT127" s="34"/>
      <c r="BU127" s="34"/>
      <c r="BV127" s="150"/>
      <c r="BW127" s="34"/>
      <c r="BX127" s="172"/>
      <c r="BY127" s="34"/>
      <c r="BZ127" s="35"/>
      <c r="CA127" s="149"/>
      <c r="CB127" s="149"/>
      <c r="CC127" s="279"/>
    </row>
    <row r="128" spans="2:81" ht="20.100000000000001" customHeight="1" x14ac:dyDescent="0.25">
      <c r="B128" s="38"/>
      <c r="C128" s="41"/>
      <c r="D128" s="38"/>
      <c r="E128" s="38"/>
      <c r="F128" s="38"/>
      <c r="G128" s="38"/>
      <c r="H128" s="37"/>
      <c r="I128" s="2"/>
      <c r="J128" s="2"/>
      <c r="K128" s="2"/>
      <c r="L128" s="37"/>
      <c r="M128" s="37"/>
      <c r="N128" s="37"/>
      <c r="O128" s="1009"/>
      <c r="P128" s="280"/>
      <c r="Q128" s="2"/>
      <c r="R128" s="37"/>
      <c r="S128" s="37"/>
      <c r="T128" s="37"/>
      <c r="U128" s="1022"/>
      <c r="V128" s="2"/>
      <c r="W128" s="37"/>
      <c r="X128" s="108"/>
      <c r="Y128" s="47"/>
      <c r="Z128" s="36"/>
      <c r="BT128" s="34"/>
      <c r="BU128" s="34"/>
      <c r="BV128" s="150"/>
      <c r="BW128" s="34"/>
      <c r="BX128" s="172"/>
      <c r="BY128" s="34"/>
      <c r="BZ128" s="35"/>
      <c r="CA128" s="149"/>
      <c r="CB128" s="149"/>
      <c r="CC128" s="279"/>
    </row>
    <row r="129" spans="2:81" ht="20.100000000000001" customHeight="1" x14ac:dyDescent="0.25">
      <c r="B129" s="38"/>
      <c r="C129" s="41"/>
      <c r="D129" s="38"/>
      <c r="E129" s="38"/>
      <c r="F129" s="38"/>
      <c r="G129" s="38"/>
      <c r="H129" s="37"/>
      <c r="I129" s="2"/>
      <c r="J129" s="2"/>
      <c r="K129" s="2"/>
      <c r="L129" s="37"/>
      <c r="M129" s="37"/>
      <c r="N129" s="37"/>
      <c r="O129" s="403"/>
      <c r="P129" s="403"/>
      <c r="Q129" s="2"/>
      <c r="R129" s="37"/>
      <c r="S129" s="37"/>
      <c r="T129" s="37"/>
      <c r="U129" s="403"/>
      <c r="V129" s="2"/>
      <c r="W129" s="37"/>
      <c r="X129" s="108"/>
      <c r="Y129" s="47"/>
      <c r="Z129" s="36"/>
      <c r="BT129" s="34"/>
      <c r="BU129" s="34"/>
      <c r="BV129" s="150"/>
      <c r="BW129" s="34"/>
      <c r="BX129" s="172"/>
      <c r="BY129" s="34"/>
      <c r="BZ129" s="35"/>
      <c r="CA129" s="149"/>
      <c r="CB129" s="149"/>
      <c r="CC129" s="405"/>
    </row>
    <row r="130" spans="2:81" ht="20.100000000000001" customHeight="1" x14ac:dyDescent="0.25">
      <c r="B130" s="98" t="s">
        <v>491</v>
      </c>
      <c r="C130" s="31"/>
      <c r="D130" s="31"/>
      <c r="E130" s="31"/>
      <c r="F130" s="31"/>
      <c r="G130" s="31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7"/>
      <c r="X130" s="108"/>
      <c r="Y130" s="47"/>
      <c r="Z130" s="36"/>
      <c r="BT130" s="34"/>
      <c r="BU130" s="34"/>
      <c r="BV130" s="150"/>
      <c r="BW130" s="34"/>
      <c r="BX130" s="172"/>
      <c r="BY130" s="34"/>
      <c r="BZ130" s="35"/>
      <c r="CA130" s="149"/>
      <c r="CB130" s="149"/>
      <c r="CC130" s="405"/>
    </row>
    <row r="131" spans="2:81" ht="20.100000000000001" customHeight="1" x14ac:dyDescent="0.25">
      <c r="B131" s="931" t="s">
        <v>82</v>
      </c>
      <c r="C131" s="934"/>
      <c r="D131" s="935"/>
      <c r="E131" s="935" t="s">
        <v>93</v>
      </c>
      <c r="F131" s="935" t="s">
        <v>94</v>
      </c>
      <c r="G131" s="935" t="s">
        <v>95</v>
      </c>
      <c r="H131" s="925" t="s">
        <v>97</v>
      </c>
      <c r="I131" s="893"/>
      <c r="J131" s="893"/>
      <c r="K131" s="894"/>
      <c r="L131" s="892" t="s">
        <v>483</v>
      </c>
      <c r="M131" s="893"/>
      <c r="N131" s="893"/>
      <c r="O131" s="893"/>
      <c r="P131" s="893"/>
      <c r="Q131" s="894"/>
      <c r="R131" s="825" t="s">
        <v>77</v>
      </c>
      <c r="S131" s="825"/>
      <c r="T131" s="825"/>
      <c r="U131" s="825"/>
      <c r="V131" s="825"/>
      <c r="W131" s="825"/>
      <c r="X131" s="108"/>
      <c r="Y131" s="47"/>
      <c r="Z131" s="36"/>
      <c r="BT131" s="34"/>
      <c r="BU131" s="34"/>
      <c r="BV131" s="150"/>
      <c r="BW131" s="34"/>
      <c r="BX131" s="172"/>
      <c r="BY131" s="34"/>
      <c r="BZ131" s="35"/>
      <c r="CA131" s="149"/>
      <c r="CB131" s="149"/>
      <c r="CC131" s="405"/>
    </row>
    <row r="132" spans="2:81" ht="20.100000000000001" customHeight="1" x14ac:dyDescent="0.25">
      <c r="B132" s="932"/>
      <c r="C132" s="934"/>
      <c r="D132" s="936"/>
      <c r="E132" s="937"/>
      <c r="F132" s="937"/>
      <c r="G132" s="937"/>
      <c r="H132" s="926"/>
      <c r="I132" s="827"/>
      <c r="J132" s="928"/>
      <c r="K132" s="444"/>
      <c r="L132" s="826"/>
      <c r="M132" s="827"/>
      <c r="N132" s="828"/>
      <c r="O132" s="852" t="s">
        <v>490</v>
      </c>
      <c r="P132" s="792"/>
      <c r="Q132" s="794"/>
      <c r="R132" s="826"/>
      <c r="S132" s="827"/>
      <c r="T132" s="828"/>
      <c r="U132" s="825" t="s">
        <v>490</v>
      </c>
      <c r="V132" s="826"/>
      <c r="W132" s="826"/>
      <c r="X132" s="108"/>
      <c r="Y132" s="47"/>
      <c r="Z132" s="36"/>
      <c r="BT132" s="34"/>
      <c r="BU132" s="34"/>
      <c r="BV132" s="150"/>
      <c r="BW132" s="34"/>
      <c r="BX132" s="172"/>
      <c r="BY132" s="34"/>
      <c r="BZ132" s="35"/>
      <c r="CA132" s="149"/>
      <c r="CB132" s="149"/>
      <c r="CC132" s="405"/>
    </row>
    <row r="133" spans="2:81" ht="20.100000000000001" customHeight="1" x14ac:dyDescent="0.25">
      <c r="B133" s="932"/>
      <c r="C133" s="412"/>
      <c r="D133" s="411"/>
      <c r="E133" s="937"/>
      <c r="F133" s="937"/>
      <c r="G133" s="937"/>
      <c r="H133" s="926"/>
      <c r="I133" s="829"/>
      <c r="J133" s="929"/>
      <c r="K133" s="410"/>
      <c r="L133" s="826"/>
      <c r="M133" s="829"/>
      <c r="N133" s="830"/>
      <c r="O133" s="853"/>
      <c r="P133" s="795"/>
      <c r="Q133" s="797"/>
      <c r="R133" s="826"/>
      <c r="S133" s="829"/>
      <c r="T133" s="830"/>
      <c r="U133" s="825"/>
      <c r="V133" s="826"/>
      <c r="W133" s="826"/>
      <c r="X133" s="108"/>
      <c r="Y133" s="47"/>
      <c r="Z133" s="36"/>
      <c r="BT133" s="34"/>
      <c r="BU133" s="34"/>
      <c r="BV133" s="150"/>
      <c r="BW133" s="34"/>
      <c r="BX133" s="172"/>
      <c r="BY133" s="34"/>
      <c r="BZ133" s="35"/>
      <c r="CA133" s="149"/>
      <c r="CB133" s="149"/>
      <c r="CC133" s="405"/>
    </row>
    <row r="134" spans="2:81" ht="20.100000000000001" customHeight="1" x14ac:dyDescent="0.25">
      <c r="B134" s="933"/>
      <c r="C134" s="412"/>
      <c r="D134" s="411"/>
      <c r="E134" s="936"/>
      <c r="F134" s="936"/>
      <c r="G134" s="936"/>
      <c r="H134" s="927"/>
      <c r="I134" s="831"/>
      <c r="J134" s="930"/>
      <c r="K134" s="445"/>
      <c r="L134" s="826"/>
      <c r="M134" s="831"/>
      <c r="N134" s="832"/>
      <c r="O134" s="854"/>
      <c r="P134" s="798"/>
      <c r="Q134" s="800"/>
      <c r="R134" s="826"/>
      <c r="S134" s="831"/>
      <c r="T134" s="832"/>
      <c r="U134" s="825"/>
      <c r="V134" s="826"/>
      <c r="W134" s="826"/>
      <c r="X134" s="108"/>
      <c r="Y134" s="47"/>
      <c r="Z134" s="36"/>
      <c r="BT134" s="34"/>
      <c r="BU134" s="34"/>
      <c r="BV134" s="150"/>
      <c r="BW134" s="34"/>
      <c r="BX134" s="172"/>
      <c r="BY134" s="34"/>
      <c r="BZ134" s="35"/>
      <c r="CA134" s="149"/>
      <c r="CB134" s="149"/>
      <c r="CC134" s="405"/>
    </row>
    <row r="135" spans="2:81" ht="20.100000000000001" customHeight="1" x14ac:dyDescent="0.25">
      <c r="B135" s="413" t="str">
        <f t="shared" ref="B135:B143" si="44">B42</f>
        <v>14-20</v>
      </c>
      <c r="C135" s="256">
        <f t="shared" ref="C135:C143" si="45">LEFT(B135,2)+0</f>
        <v>14</v>
      </c>
      <c r="D135" s="415">
        <f t="shared" ref="D135:D143" si="46">MID(B135,4,3)+0</f>
        <v>20</v>
      </c>
      <c r="E135" s="446">
        <f t="shared" ref="E135:E143" si="47">E42</f>
        <v>16.2</v>
      </c>
      <c r="F135" s="259">
        <f>VLOOKUP(C135,AS$5:AT$25,2,FALSE)</f>
        <v>1.41</v>
      </c>
      <c r="G135" s="414">
        <f>VLOOKUP(D117,AS$5:AT$25,2,FALSE)</f>
        <v>0.84099999999999997</v>
      </c>
      <c r="H135" s="259">
        <f>(F135*G135)^(1/2)</f>
        <v>1.0889490346200781</v>
      </c>
      <c r="I135" s="844" t="e">
        <f>ROUND((#REF!*#REF!*((1-#REF!)^2)/(#REF!^3)*((#REF!*($G$20/86400))/9.806)*((6/#REF!)^2)*#REF!),3)&amp;" m"</f>
        <v>#REF!</v>
      </c>
      <c r="J135" s="863"/>
      <c r="K135" s="845"/>
      <c r="L135" s="414" t="e">
        <f>#REF!*(H135/1000)*(($G$20/86400)/#REF!)</f>
        <v>#REF!</v>
      </c>
      <c r="M135" s="850" t="e">
        <f>150*(1-#REF!)/L135+1.75</f>
        <v>#REF!</v>
      </c>
      <c r="N135" s="851"/>
      <c r="O135" s="450" t="e">
        <f>M135*(E135/100)/(H135/1000)</f>
        <v>#REF!</v>
      </c>
      <c r="P135" s="844" t="e">
        <f>ROUND((1/#REF!)*(1-#REF!)/(#REF!^3)*(#REF!*(($G$20/86400)^2)/9.806)*O144,3)&amp; " m"</f>
        <v>#REF!</v>
      </c>
      <c r="Q135" s="845"/>
      <c r="R135" s="450" t="e">
        <f>(H135/1000)*($G$20/86400)/#REF!</f>
        <v>#REF!</v>
      </c>
      <c r="S135" s="833" t="e">
        <f>24/R135+3/(R135^(1/2))+0.34</f>
        <v>#REF!</v>
      </c>
      <c r="T135" s="834"/>
      <c r="U135" s="450" t="e">
        <f>S135*(E135/100)/(H135/1000)</f>
        <v>#REF!</v>
      </c>
      <c r="V135" s="750" t="e">
        <f>ROUND(1.067*(($G$20/86400)^2)*#REF!/(9.806*#REF!*(#REF!^4))*U144,3)&amp;" m"</f>
        <v>#REF!</v>
      </c>
      <c r="W135" s="750"/>
      <c r="X135" s="108"/>
      <c r="Y135" s="47"/>
      <c r="Z135" s="36"/>
      <c r="BT135" s="34"/>
      <c r="BU135" s="34"/>
      <c r="BV135" s="150"/>
      <c r="BW135" s="34"/>
      <c r="BX135" s="172"/>
      <c r="BY135" s="34"/>
      <c r="BZ135" s="35"/>
      <c r="CA135" s="149"/>
      <c r="CB135" s="149"/>
      <c r="CC135" s="405"/>
    </row>
    <row r="136" spans="2:81" ht="20.100000000000001" customHeight="1" x14ac:dyDescent="0.25">
      <c r="B136" s="413" t="str">
        <f t="shared" si="44"/>
        <v>20-25</v>
      </c>
      <c r="C136" s="256">
        <f t="shared" si="45"/>
        <v>20</v>
      </c>
      <c r="D136" s="415">
        <f t="shared" si="46"/>
        <v>25</v>
      </c>
      <c r="E136" s="446">
        <f t="shared" si="47"/>
        <v>33.700000000000003</v>
      </c>
      <c r="F136" s="259">
        <f>VLOOKUP(C136,AS$5:AT$25,2,FALSE)</f>
        <v>0.84099999999999997</v>
      </c>
      <c r="G136" s="414">
        <f>VLOOKUP(D118,AS$5:AT$25,2,FALSE)</f>
        <v>0.70699999999999996</v>
      </c>
      <c r="H136" s="259">
        <f t="shared" ref="H136:H143" si="48">(F136*G136)^(1/2)</f>
        <v>0.77109467641788321</v>
      </c>
      <c r="I136" s="846"/>
      <c r="J136" s="864"/>
      <c r="K136" s="847"/>
      <c r="L136" s="414" t="e">
        <f>#REF!*(H136/1000)*(($G$20/86400)/#REF!)</f>
        <v>#REF!</v>
      </c>
      <c r="M136" s="850" t="e">
        <f>150*(1-#REF!)/L136+1.75</f>
        <v>#REF!</v>
      </c>
      <c r="N136" s="851"/>
      <c r="O136" s="450" t="e">
        <f>M136*(E136/100)/(H136/1000)</f>
        <v>#REF!</v>
      </c>
      <c r="P136" s="846"/>
      <c r="Q136" s="847"/>
      <c r="R136" s="450" t="e">
        <f>(H136/1000)*($G$20/86400)/#REF!</f>
        <v>#REF!</v>
      </c>
      <c r="S136" s="833" t="e">
        <f t="shared" ref="S136:S143" si="49">24/R136+3/(R136^(1/2))+0.34</f>
        <v>#REF!</v>
      </c>
      <c r="T136" s="834"/>
      <c r="U136" s="450" t="e">
        <f>S136*(E136/100)/(H136/1000)</f>
        <v>#REF!</v>
      </c>
      <c r="V136" s="750"/>
      <c r="W136" s="750"/>
      <c r="X136" s="108"/>
      <c r="Y136" s="47"/>
      <c r="Z136" s="36"/>
      <c r="BT136" s="34"/>
      <c r="BU136" s="34"/>
      <c r="BV136" s="150"/>
      <c r="BW136" s="34"/>
      <c r="BX136" s="172"/>
      <c r="BY136" s="34"/>
      <c r="BZ136" s="35"/>
      <c r="CA136" s="149"/>
      <c r="CB136" s="149"/>
      <c r="CC136" s="405"/>
    </row>
    <row r="137" spans="2:81" ht="20.100000000000001" customHeight="1" x14ac:dyDescent="0.25">
      <c r="B137" s="413" t="str">
        <f t="shared" si="44"/>
        <v>25-30</v>
      </c>
      <c r="C137" s="256">
        <f t="shared" si="45"/>
        <v>25</v>
      </c>
      <c r="D137" s="415">
        <f t="shared" si="46"/>
        <v>30</v>
      </c>
      <c r="E137" s="446">
        <f t="shared" si="47"/>
        <v>33.9</v>
      </c>
      <c r="F137" s="259">
        <f>VLOOKUP(C137,AS$5:AT$25,2,FALSE)</f>
        <v>0.70699999999999996</v>
      </c>
      <c r="G137" s="414">
        <f>VLOOKUP(D119,AS$5:AT$25,2,FALSE)</f>
        <v>0.59499999999999997</v>
      </c>
      <c r="H137" s="259">
        <f t="shared" si="48"/>
        <v>0.64858692555431607</v>
      </c>
      <c r="I137" s="846"/>
      <c r="J137" s="864"/>
      <c r="K137" s="847"/>
      <c r="L137" s="414" t="e">
        <f>#REF!*(H137/1000)*(($G$20/86400)/#REF!)</f>
        <v>#REF!</v>
      </c>
      <c r="M137" s="850" t="e">
        <f>150*(1-#REF!)/L137+1.75</f>
        <v>#REF!</v>
      </c>
      <c r="N137" s="851"/>
      <c r="O137" s="450" t="e">
        <f>M137*(E137/100)/(H137/1000)</f>
        <v>#REF!</v>
      </c>
      <c r="P137" s="846"/>
      <c r="Q137" s="847"/>
      <c r="R137" s="450" t="e">
        <f>(H137/1000)*($G$20/86400)/#REF!</f>
        <v>#REF!</v>
      </c>
      <c r="S137" s="833" t="e">
        <f t="shared" si="49"/>
        <v>#REF!</v>
      </c>
      <c r="T137" s="834"/>
      <c r="U137" s="450" t="e">
        <f>S137*(E137/100)/(H137/1000)</f>
        <v>#REF!</v>
      </c>
      <c r="V137" s="750"/>
      <c r="W137" s="750"/>
      <c r="X137" s="108"/>
      <c r="Y137" s="47"/>
      <c r="Z137" s="36"/>
      <c r="BT137" s="34"/>
      <c r="BU137" s="34"/>
      <c r="BV137" s="150"/>
      <c r="BW137" s="34"/>
      <c r="BX137" s="172"/>
      <c r="BY137" s="34"/>
      <c r="BZ137" s="35"/>
      <c r="CA137" s="149"/>
      <c r="CB137" s="149"/>
      <c r="CC137" s="405"/>
    </row>
    <row r="138" spans="2:81" ht="20.100000000000001" customHeight="1" x14ac:dyDescent="0.25">
      <c r="B138" s="413" t="str">
        <f t="shared" si="44"/>
        <v>30-35</v>
      </c>
      <c r="C138" s="256">
        <f t="shared" si="45"/>
        <v>30</v>
      </c>
      <c r="D138" s="415">
        <f t="shared" si="46"/>
        <v>35</v>
      </c>
      <c r="E138" s="446">
        <f t="shared" si="47"/>
        <v>6.2</v>
      </c>
      <c r="F138" s="259">
        <f>VLOOKUP(C138,AS$5:AT$25,2,FALSE)</f>
        <v>0.59499999999999997</v>
      </c>
      <c r="G138" s="414">
        <f>VLOOKUP(D120,AS$5:AT$25,2,FALSE)</f>
        <v>0.5</v>
      </c>
      <c r="H138" s="259">
        <f t="shared" si="48"/>
        <v>0.54543560573178573</v>
      </c>
      <c r="I138" s="846"/>
      <c r="J138" s="864"/>
      <c r="K138" s="847"/>
      <c r="L138" s="414" t="e">
        <f>#REF!*(H138/1000)*(($G$20/86400)/#REF!)</f>
        <v>#REF!</v>
      </c>
      <c r="M138" s="850" t="e">
        <f>150*(1-#REF!)/L138+1.75</f>
        <v>#REF!</v>
      </c>
      <c r="N138" s="851"/>
      <c r="O138" s="450" t="e">
        <f>M138*(E138/100)/(H138/1000)</f>
        <v>#REF!</v>
      </c>
      <c r="P138" s="846"/>
      <c r="Q138" s="847"/>
      <c r="R138" s="450" t="e">
        <f>(H138/1000)*($G$20/86400)/#REF!</f>
        <v>#REF!</v>
      </c>
      <c r="S138" s="833" t="e">
        <f t="shared" si="49"/>
        <v>#REF!</v>
      </c>
      <c r="T138" s="834"/>
      <c r="U138" s="450" t="e">
        <f>S138*(E138/100)/(H138/1000)</f>
        <v>#REF!</v>
      </c>
      <c r="V138" s="750"/>
      <c r="W138" s="750"/>
      <c r="X138" s="108"/>
      <c r="Y138" s="47"/>
      <c r="Z138" s="36"/>
      <c r="BT138" s="34"/>
      <c r="BU138" s="34"/>
      <c r="BV138" s="150"/>
      <c r="BW138" s="34"/>
      <c r="BX138" s="172"/>
      <c r="BY138" s="34"/>
      <c r="BZ138" s="35"/>
      <c r="CA138" s="149"/>
      <c r="CB138" s="149"/>
      <c r="CC138" s="405"/>
    </row>
    <row r="139" spans="2:81" ht="20.100000000000001" customHeight="1" x14ac:dyDescent="0.25">
      <c r="B139" s="413" t="str">
        <f t="shared" si="44"/>
        <v>35-40</v>
      </c>
      <c r="C139" s="256">
        <f t="shared" si="45"/>
        <v>35</v>
      </c>
      <c r="D139" s="415">
        <f t="shared" si="46"/>
        <v>40</v>
      </c>
      <c r="E139" s="446">
        <f t="shared" si="47"/>
        <v>3.5</v>
      </c>
      <c r="F139" s="259">
        <f>VLOOKUP(C139,AS$5:AT$25,2,FALSE)</f>
        <v>0.5</v>
      </c>
      <c r="G139" s="414">
        <f>VLOOKUP(D121,AS$5:AT$25,2,FALSE)</f>
        <v>0.4</v>
      </c>
      <c r="H139" s="259">
        <f t="shared" si="48"/>
        <v>0.44721359549995793</v>
      </c>
      <c r="I139" s="846"/>
      <c r="J139" s="864"/>
      <c r="K139" s="847"/>
      <c r="L139" s="414" t="e">
        <f>#REF!*(H139/1000)*(($G$20/86400)/#REF!)</f>
        <v>#REF!</v>
      </c>
      <c r="M139" s="850" t="e">
        <f>150*(1-#REF!)/L139+1.75</f>
        <v>#REF!</v>
      </c>
      <c r="N139" s="851"/>
      <c r="O139" s="450" t="e">
        <f>M139*(E139/100)/(H139/1000)</f>
        <v>#REF!</v>
      </c>
      <c r="P139" s="846"/>
      <c r="Q139" s="847"/>
      <c r="R139" s="450" t="e">
        <f>(H139/1000)*($G$20/86400)/#REF!</f>
        <v>#REF!</v>
      </c>
      <c r="S139" s="833" t="e">
        <f t="shared" si="49"/>
        <v>#REF!</v>
      </c>
      <c r="T139" s="834"/>
      <c r="U139" s="450" t="e">
        <f>S139*(E139/100)/(H139/1000)</f>
        <v>#REF!</v>
      </c>
      <c r="V139" s="750"/>
      <c r="W139" s="750"/>
      <c r="X139" s="108"/>
      <c r="Y139" s="47"/>
      <c r="Z139" s="36"/>
      <c r="BT139" s="34"/>
      <c r="BU139" s="34"/>
      <c r="BV139" s="150"/>
      <c r="BW139" s="34"/>
      <c r="BX139" s="172"/>
      <c r="BY139" s="34"/>
      <c r="BZ139" s="35"/>
      <c r="CA139" s="149"/>
      <c r="CB139" s="149"/>
      <c r="CC139" s="405"/>
    </row>
    <row r="140" spans="2:81" ht="20.100000000000001" customHeight="1" x14ac:dyDescent="0.25">
      <c r="B140" s="413" t="str">
        <f t="shared" si="44"/>
        <v>40-50</v>
      </c>
      <c r="C140" s="256">
        <f t="shared" si="45"/>
        <v>40</v>
      </c>
      <c r="D140" s="415">
        <f t="shared" si="46"/>
        <v>50</v>
      </c>
      <c r="E140" s="446">
        <f t="shared" si="47"/>
        <v>3</v>
      </c>
      <c r="F140" s="259">
        <f>VLOOKUP(C140,AS$5:AT$25,2,FALSE)</f>
        <v>0.4</v>
      </c>
      <c r="G140" s="414">
        <f>VLOOKUP(D122,AS$5:AT$25,2,FALSE)</f>
        <v>0.29699999999999999</v>
      </c>
      <c r="H140" s="259">
        <f t="shared" si="48"/>
        <v>0.34467375879228174</v>
      </c>
      <c r="I140" s="846"/>
      <c r="J140" s="864"/>
      <c r="K140" s="847"/>
      <c r="L140" s="414" t="e">
        <f>#REF!*(H140/1000)*(($G$20/86400)/#REF!)</f>
        <v>#REF!</v>
      </c>
      <c r="M140" s="850" t="e">
        <f>150*(1-#REF!)/L140+1.75</f>
        <v>#REF!</v>
      </c>
      <c r="N140" s="851"/>
      <c r="O140" s="450" t="e">
        <f>M140*(E140/100)/(H140/1000)</f>
        <v>#REF!</v>
      </c>
      <c r="P140" s="846"/>
      <c r="Q140" s="847"/>
      <c r="R140" s="450" t="e">
        <f>(H140/1000)*($G$20/86400)/#REF!</f>
        <v>#REF!</v>
      </c>
      <c r="S140" s="833" t="e">
        <f t="shared" si="49"/>
        <v>#REF!</v>
      </c>
      <c r="T140" s="834"/>
      <c r="U140" s="450" t="e">
        <f>S140*(E140/100)/(H140/1000)</f>
        <v>#REF!</v>
      </c>
      <c r="V140" s="750"/>
      <c r="W140" s="750"/>
      <c r="X140" s="108"/>
      <c r="Y140" s="47"/>
      <c r="Z140" s="36"/>
      <c r="BT140" s="34"/>
      <c r="BU140" s="34"/>
      <c r="BV140" s="150"/>
      <c r="BW140" s="34"/>
      <c r="BX140" s="172"/>
      <c r="BY140" s="34"/>
      <c r="BZ140" s="35"/>
      <c r="CA140" s="149"/>
      <c r="CB140" s="149"/>
      <c r="CC140" s="405"/>
    </row>
    <row r="141" spans="2:81" ht="20.100000000000001" customHeight="1" x14ac:dyDescent="0.25">
      <c r="B141" s="413" t="str">
        <f t="shared" si="44"/>
        <v>50-60</v>
      </c>
      <c r="C141" s="256">
        <f t="shared" si="45"/>
        <v>50</v>
      </c>
      <c r="D141" s="415">
        <f t="shared" si="46"/>
        <v>60</v>
      </c>
      <c r="E141" s="446">
        <f t="shared" si="47"/>
        <v>2</v>
      </c>
      <c r="F141" s="259">
        <f>VLOOKUP(C141,AS$5:AT$25,2,FALSE)</f>
        <v>0.29699999999999999</v>
      </c>
      <c r="G141" s="414">
        <f>VLOOKUP(D123,AS$5:AT$25,2,FALSE)</f>
        <v>0.25</v>
      </c>
      <c r="H141" s="259">
        <f t="shared" si="48"/>
        <v>0.27248853186877425</v>
      </c>
      <c r="I141" s="846"/>
      <c r="J141" s="864"/>
      <c r="K141" s="847"/>
      <c r="L141" s="414" t="e">
        <f>#REF!*(H141/1000)*(($G$20/86400)/#REF!)</f>
        <v>#REF!</v>
      </c>
      <c r="M141" s="850" t="e">
        <f>150*(1-#REF!)/L141+1.75</f>
        <v>#REF!</v>
      </c>
      <c r="N141" s="851"/>
      <c r="O141" s="450" t="e">
        <f>M141*(E141/100)/(H141/1000)</f>
        <v>#REF!</v>
      </c>
      <c r="P141" s="846"/>
      <c r="Q141" s="847"/>
      <c r="R141" s="450" t="e">
        <f>(H141/1000)*($G$20/86400)/#REF!</f>
        <v>#REF!</v>
      </c>
      <c r="S141" s="833" t="e">
        <f t="shared" si="49"/>
        <v>#REF!</v>
      </c>
      <c r="T141" s="834"/>
      <c r="U141" s="450" t="e">
        <f>S141*(E141/100)/(H141/1000)</f>
        <v>#REF!</v>
      </c>
      <c r="V141" s="750"/>
      <c r="W141" s="750"/>
      <c r="X141" s="108"/>
      <c r="Y141" s="47"/>
      <c r="Z141" s="36"/>
      <c r="BT141" s="34"/>
      <c r="BU141" s="34"/>
      <c r="BV141" s="150"/>
      <c r="BW141" s="34"/>
      <c r="BX141" s="172"/>
      <c r="BY141" s="34"/>
      <c r="BZ141" s="35"/>
      <c r="CA141" s="149"/>
      <c r="CB141" s="149"/>
      <c r="CC141" s="405"/>
    </row>
    <row r="142" spans="2:81" ht="20.100000000000001" customHeight="1" x14ac:dyDescent="0.25">
      <c r="B142" s="413" t="str">
        <f t="shared" si="44"/>
        <v>60-70</v>
      </c>
      <c r="C142" s="256">
        <f t="shared" si="45"/>
        <v>60</v>
      </c>
      <c r="D142" s="415">
        <f t="shared" si="46"/>
        <v>70</v>
      </c>
      <c r="E142" s="446">
        <f t="shared" si="47"/>
        <v>1</v>
      </c>
      <c r="F142" s="259">
        <f>VLOOKUP(C142,AS$5:AT$25,2,FALSE)</f>
        <v>0.25</v>
      </c>
      <c r="G142" s="414">
        <f>VLOOKUP(D124,AS$5:AT$25,2,FALSE)</f>
        <v>0.21</v>
      </c>
      <c r="H142" s="259">
        <f t="shared" si="48"/>
        <v>0.229128784747792</v>
      </c>
      <c r="I142" s="846"/>
      <c r="J142" s="864"/>
      <c r="K142" s="847"/>
      <c r="L142" s="414" t="e">
        <f>#REF!*(H142/1000)*(($G$20/86400)/#REF!)</f>
        <v>#REF!</v>
      </c>
      <c r="M142" s="850" t="e">
        <f>150*(1-#REF!)/L142+1.75</f>
        <v>#REF!</v>
      </c>
      <c r="N142" s="851"/>
      <c r="O142" s="450" t="e">
        <f>M142*(E142/100)/(H142/1000)</f>
        <v>#REF!</v>
      </c>
      <c r="P142" s="846"/>
      <c r="Q142" s="847"/>
      <c r="R142" s="450" t="e">
        <f>(H142/1000)*($G$20/86400)/#REF!</f>
        <v>#REF!</v>
      </c>
      <c r="S142" s="833" t="e">
        <f t="shared" si="49"/>
        <v>#REF!</v>
      </c>
      <c r="T142" s="834"/>
      <c r="U142" s="450" t="e">
        <f>S142*(E142/100)/(H142/1000)</f>
        <v>#REF!</v>
      </c>
      <c r="V142" s="750"/>
      <c r="W142" s="750"/>
      <c r="X142" s="108"/>
      <c r="Y142" s="47"/>
      <c r="Z142" s="36"/>
      <c r="BT142" s="34"/>
      <c r="BU142" s="34"/>
      <c r="BV142" s="150"/>
      <c r="BW142" s="34"/>
      <c r="BX142" s="172"/>
      <c r="BY142" s="34"/>
      <c r="BZ142" s="35"/>
      <c r="CA142" s="149"/>
      <c r="CB142" s="149"/>
      <c r="CC142" s="405"/>
    </row>
    <row r="143" spans="2:81" ht="20.100000000000001" customHeight="1" x14ac:dyDescent="0.25">
      <c r="B143" s="413" t="str">
        <f t="shared" si="44"/>
        <v>70-100</v>
      </c>
      <c r="C143" s="256">
        <f t="shared" si="45"/>
        <v>70</v>
      </c>
      <c r="D143" s="415">
        <f t="shared" si="46"/>
        <v>100</v>
      </c>
      <c r="E143" s="446">
        <f t="shared" si="47"/>
        <v>0.49999999999998579</v>
      </c>
      <c r="F143" s="259">
        <f>VLOOKUP(C143,AS$5:AT$25,2,FALSE)</f>
        <v>0.21</v>
      </c>
      <c r="G143" s="414">
        <f>VLOOKUP(D125,AS$5:AT$25,2,FALSE)</f>
        <v>0.14899999999999999</v>
      </c>
      <c r="H143" s="259">
        <f t="shared" si="48"/>
        <v>0.17688979620091147</v>
      </c>
      <c r="I143" s="848"/>
      <c r="J143" s="865"/>
      <c r="K143" s="849"/>
      <c r="L143" s="414" t="e">
        <f>#REF!*(H143/1000)*(($G$20/86400)/#REF!)</f>
        <v>#REF!</v>
      </c>
      <c r="M143" s="850" t="e">
        <f>150*(1-#REF!)/L143+1.75</f>
        <v>#REF!</v>
      </c>
      <c r="N143" s="851"/>
      <c r="O143" s="450" t="e">
        <f>M143*(E143/100)/(H143/1000)</f>
        <v>#REF!</v>
      </c>
      <c r="P143" s="848"/>
      <c r="Q143" s="849"/>
      <c r="R143" s="450" t="e">
        <f>(H143/1000)*($G$20/86400)/#REF!</f>
        <v>#REF!</v>
      </c>
      <c r="S143" s="833" t="e">
        <f t="shared" si="49"/>
        <v>#REF!</v>
      </c>
      <c r="T143" s="834"/>
      <c r="U143" s="450" t="e">
        <f>S143*(E143/100)/(H143/1000)</f>
        <v>#REF!</v>
      </c>
      <c r="V143" s="750"/>
      <c r="W143" s="750"/>
      <c r="X143" s="108"/>
      <c r="Y143" s="47"/>
      <c r="Z143" s="36"/>
      <c r="BT143" s="34"/>
      <c r="BU143" s="34"/>
      <c r="BV143" s="150"/>
      <c r="BW143" s="34"/>
      <c r="BX143" s="172"/>
      <c r="BY143" s="34"/>
      <c r="BZ143" s="35"/>
      <c r="CA143" s="149"/>
      <c r="CB143" s="149"/>
      <c r="CC143" s="405"/>
    </row>
    <row r="144" spans="2:81" ht="20.100000000000001" customHeight="1" x14ac:dyDescent="0.25">
      <c r="B144" s="108"/>
      <c r="C144" s="447"/>
      <c r="D144" s="108"/>
      <c r="E144" s="18">
        <f>SUM(E135:E143)</f>
        <v>100</v>
      </c>
      <c r="F144" s="99"/>
      <c r="G144" s="108"/>
      <c r="H144" s="50"/>
      <c r="I144" s="50"/>
      <c r="J144" s="50"/>
      <c r="K144" s="50"/>
      <c r="L144" s="422"/>
      <c r="M144" s="422"/>
      <c r="N144" s="422"/>
      <c r="O144" s="841" t="e">
        <f>SUM(O135:O143)</f>
        <v>#REF!</v>
      </c>
      <c r="P144" s="421"/>
      <c r="Q144" s="422"/>
      <c r="R144" s="422"/>
      <c r="S144" s="422"/>
      <c r="T144" s="422"/>
      <c r="U144" s="842" t="e">
        <f>SUM(U135:U143)</f>
        <v>#REF!</v>
      </c>
      <c r="V144" s="422"/>
      <c r="W144" s="37"/>
      <c r="X144" s="108"/>
      <c r="Y144" s="47"/>
      <c r="Z144" s="36"/>
      <c r="BT144" s="34"/>
      <c r="BU144" s="34"/>
      <c r="BV144" s="150"/>
      <c r="BW144" s="34"/>
      <c r="BX144" s="172"/>
      <c r="BY144" s="34"/>
      <c r="BZ144" s="35"/>
      <c r="CA144" s="149"/>
      <c r="CB144" s="149"/>
      <c r="CC144" s="405"/>
    </row>
    <row r="145" spans="2:81" ht="20.100000000000001" customHeight="1" x14ac:dyDescent="0.25">
      <c r="B145" s="108"/>
      <c r="C145" s="108"/>
      <c r="D145" s="108"/>
      <c r="E145" s="108"/>
      <c r="F145" s="108"/>
      <c r="G145" s="108"/>
      <c r="H145" s="50"/>
      <c r="I145" s="50"/>
      <c r="J145" s="50"/>
      <c r="K145" s="50"/>
      <c r="L145" s="422"/>
      <c r="M145" s="422"/>
      <c r="N145" s="422"/>
      <c r="O145" s="841"/>
      <c r="P145" s="421"/>
      <c r="Q145" s="422"/>
      <c r="R145" s="422"/>
      <c r="S145" s="422"/>
      <c r="T145" s="422"/>
      <c r="U145" s="842"/>
      <c r="V145" s="422"/>
      <c r="W145" s="37"/>
      <c r="X145" s="108"/>
      <c r="Y145" s="47"/>
      <c r="Z145" s="36"/>
      <c r="BT145" s="34"/>
      <c r="BU145" s="34"/>
      <c r="BV145" s="150"/>
      <c r="BW145" s="34"/>
      <c r="BX145" s="172"/>
      <c r="BY145" s="34"/>
      <c r="BZ145" s="35"/>
      <c r="CA145" s="149"/>
      <c r="CB145" s="149"/>
      <c r="CC145" s="405"/>
    </row>
    <row r="146" spans="2:81" ht="20.100000000000001" customHeight="1" x14ac:dyDescent="0.25">
      <c r="B146" s="448"/>
      <c r="C146" s="449"/>
      <c r="D146" s="448"/>
      <c r="E146" s="448"/>
      <c r="F146" s="448"/>
      <c r="G146" s="448"/>
      <c r="H146" s="50"/>
      <c r="I146" s="75"/>
      <c r="J146" s="75"/>
      <c r="K146" s="75"/>
      <c r="L146" s="422"/>
      <c r="M146" s="422"/>
      <c r="N146" s="422"/>
      <c r="O146" s="841"/>
      <c r="P146" s="421"/>
      <c r="Q146" s="423"/>
      <c r="R146" s="422"/>
      <c r="S146" s="422"/>
      <c r="T146" s="422"/>
      <c r="U146" s="843"/>
      <c r="V146" s="423"/>
      <c r="W146" s="37"/>
      <c r="X146" s="108"/>
      <c r="Y146" s="47"/>
      <c r="Z146" s="36"/>
      <c r="BT146" s="34"/>
      <c r="BU146" s="34"/>
      <c r="BV146" s="150"/>
      <c r="BW146" s="34"/>
      <c r="BX146" s="172"/>
      <c r="BY146" s="34"/>
      <c r="BZ146" s="35"/>
      <c r="CA146" s="149"/>
      <c r="CB146" s="149"/>
      <c r="CC146" s="405"/>
    </row>
    <row r="147" spans="2:81" ht="20.100000000000001" customHeight="1" x14ac:dyDescent="0.25">
      <c r="B147" s="38"/>
      <c r="C147" s="41"/>
      <c r="D147" s="38"/>
      <c r="E147" s="38"/>
      <c r="F147" s="38"/>
      <c r="G147" s="38"/>
      <c r="H147" s="37"/>
      <c r="I147" s="2"/>
      <c r="J147" s="2"/>
      <c r="K147" s="2"/>
      <c r="L147" s="37"/>
      <c r="M147" s="37"/>
      <c r="N147" s="37"/>
      <c r="O147" s="403"/>
      <c r="P147" s="403"/>
      <c r="Q147" s="2"/>
      <c r="R147" s="37"/>
      <c r="S147" s="37"/>
      <c r="T147" s="37"/>
      <c r="U147" s="403"/>
      <c r="V147" s="2"/>
      <c r="W147" s="37"/>
      <c r="X147" s="108"/>
      <c r="Y147" s="47"/>
      <c r="Z147" s="36"/>
      <c r="BT147" s="34"/>
      <c r="BU147" s="34"/>
      <c r="BV147" s="150"/>
      <c r="BW147" s="34"/>
      <c r="BX147" s="172"/>
      <c r="BY147" s="34"/>
      <c r="BZ147" s="35"/>
      <c r="CA147" s="149"/>
      <c r="CB147" s="149"/>
      <c r="CC147" s="405"/>
    </row>
    <row r="148" spans="2:81" ht="20.100000000000001" customHeight="1" x14ac:dyDescent="0.25">
      <c r="B148" s="32" t="s">
        <v>484</v>
      </c>
      <c r="C148" s="41"/>
      <c r="D148" s="38"/>
      <c r="E148" s="38"/>
      <c r="F148" s="38"/>
      <c r="G148" s="38"/>
      <c r="H148" s="37"/>
      <c r="I148" s="2"/>
      <c r="J148" s="2"/>
      <c r="K148" s="2"/>
      <c r="L148" s="37"/>
      <c r="M148" s="37"/>
      <c r="N148" s="37"/>
      <c r="O148" s="403"/>
      <c r="P148" s="403"/>
      <c r="Q148" s="2"/>
      <c r="R148" s="37"/>
      <c r="S148" s="37"/>
      <c r="T148" s="37"/>
      <c r="U148" s="403"/>
      <c r="V148" s="2"/>
      <c r="W148" s="37"/>
      <c r="X148" s="108"/>
      <c r="Y148" s="47"/>
      <c r="Z148" s="36"/>
      <c r="BT148" s="34"/>
      <c r="BU148" s="34"/>
      <c r="BV148" s="150"/>
      <c r="BW148" s="34"/>
      <c r="BX148" s="172"/>
      <c r="BY148" s="34"/>
      <c r="BZ148" s="35"/>
      <c r="CA148" s="149"/>
      <c r="CB148" s="149"/>
      <c r="CC148" s="405"/>
    </row>
    <row r="149" spans="2:81" ht="20.100000000000001" customHeight="1" x14ac:dyDescent="0.25">
      <c r="B149" s="752" t="s">
        <v>222</v>
      </c>
      <c r="C149" s="752"/>
      <c r="D149" s="752"/>
      <c r="E149" s="752"/>
      <c r="F149" s="752"/>
      <c r="G149" s="752"/>
      <c r="H149" s="407" t="s">
        <v>487</v>
      </c>
      <c r="I149" s="416" t="s">
        <v>228</v>
      </c>
      <c r="J149" s="816"/>
      <c r="K149" s="817"/>
      <c r="L149" s="817"/>
      <c r="M149" s="818"/>
      <c r="N149" s="37"/>
      <c r="O149" s="403"/>
      <c r="P149" s="403"/>
      <c r="Q149" s="2"/>
      <c r="R149" s="37"/>
      <c r="S149" s="37"/>
      <c r="T149" s="37"/>
      <c r="U149" s="403"/>
      <c r="V149" s="2"/>
      <c r="W149" s="37"/>
      <c r="X149" s="108"/>
      <c r="Y149" s="47"/>
      <c r="Z149" s="36"/>
      <c r="BT149" s="34"/>
      <c r="BU149" s="34"/>
      <c r="BV149" s="150"/>
      <c r="BW149" s="34"/>
      <c r="BX149" s="172"/>
      <c r="BY149" s="34"/>
      <c r="BZ149" s="35"/>
      <c r="CA149" s="149"/>
      <c r="CB149" s="149"/>
      <c r="CC149" s="405"/>
    </row>
    <row r="150" spans="2:81" ht="20.100000000000001" customHeight="1" x14ac:dyDescent="0.25">
      <c r="B150" s="752" t="s">
        <v>223</v>
      </c>
      <c r="C150" s="752"/>
      <c r="D150" s="752"/>
      <c r="E150" s="752"/>
      <c r="F150" s="752"/>
      <c r="G150" s="752"/>
      <c r="H150" s="407" t="s">
        <v>488</v>
      </c>
      <c r="I150" s="416" t="s">
        <v>228</v>
      </c>
      <c r="J150" s="816"/>
      <c r="K150" s="817"/>
      <c r="L150" s="817"/>
      <c r="M150" s="818"/>
      <c r="N150" s="37"/>
      <c r="O150" s="403"/>
      <c r="P150" s="403"/>
      <c r="Q150" s="2"/>
      <c r="R150" s="37"/>
      <c r="S150" s="37"/>
      <c r="T150" s="37"/>
      <c r="U150" s="403"/>
      <c r="V150" s="2"/>
      <c r="W150" s="37"/>
      <c r="X150" s="108"/>
      <c r="Y150" s="47"/>
      <c r="Z150" s="36"/>
      <c r="BT150" s="34"/>
      <c r="BU150" s="34"/>
      <c r="BV150" s="150"/>
      <c r="BW150" s="34"/>
      <c r="BX150" s="172"/>
      <c r="BY150" s="34"/>
      <c r="BZ150" s="35"/>
      <c r="CA150" s="149"/>
      <c r="CB150" s="149"/>
      <c r="CC150" s="405"/>
    </row>
    <row r="151" spans="2:81" ht="20.100000000000001" customHeight="1" x14ac:dyDescent="0.25">
      <c r="B151" s="752" t="s">
        <v>492</v>
      </c>
      <c r="C151" s="752"/>
      <c r="D151" s="752"/>
      <c r="E151" s="752"/>
      <c r="F151" s="752"/>
      <c r="G151" s="752"/>
      <c r="H151" s="407" t="s">
        <v>485</v>
      </c>
      <c r="I151" s="408" t="s">
        <v>3</v>
      </c>
      <c r="J151" s="816"/>
      <c r="K151" s="817"/>
      <c r="L151" s="817"/>
      <c r="M151" s="818"/>
      <c r="N151" s="37"/>
      <c r="O151" s="403"/>
      <c r="P151" s="403"/>
      <c r="Q151" s="2"/>
      <c r="R151" s="37"/>
      <c r="S151" s="37"/>
      <c r="T151" s="37"/>
      <c r="U151" s="403"/>
      <c r="V151" s="2"/>
      <c r="W151" s="37"/>
      <c r="X151" s="108"/>
      <c r="Y151" s="47"/>
      <c r="Z151" s="36"/>
      <c r="BT151" s="34"/>
      <c r="BU151" s="34"/>
      <c r="BV151" s="150"/>
      <c r="BW151" s="34"/>
      <c r="BX151" s="172"/>
      <c r="BY151" s="34"/>
      <c r="BZ151" s="35"/>
      <c r="CA151" s="149"/>
      <c r="CB151" s="149"/>
      <c r="CC151" s="405"/>
    </row>
    <row r="152" spans="2:81" ht="20.100000000000001" customHeight="1" x14ac:dyDescent="0.25">
      <c r="B152" s="752" t="s">
        <v>493</v>
      </c>
      <c r="C152" s="752"/>
      <c r="D152" s="752"/>
      <c r="E152" s="752"/>
      <c r="F152" s="752"/>
      <c r="G152" s="752"/>
      <c r="H152" s="407" t="s">
        <v>502</v>
      </c>
      <c r="I152" s="408" t="s">
        <v>3</v>
      </c>
      <c r="J152" s="816"/>
      <c r="K152" s="817"/>
      <c r="L152" s="817"/>
      <c r="M152" s="818"/>
      <c r="N152" s="37"/>
      <c r="O152" s="403"/>
      <c r="P152" s="403"/>
      <c r="Q152" s="2"/>
      <c r="R152" s="37"/>
      <c r="S152" s="37"/>
      <c r="T152" s="37"/>
      <c r="U152" s="403"/>
      <c r="V152" s="2"/>
      <c r="W152" s="37"/>
      <c r="X152" s="108"/>
      <c r="Y152" s="47"/>
      <c r="Z152" s="36"/>
      <c r="BT152" s="34"/>
      <c r="BU152" s="34"/>
      <c r="BV152" s="150"/>
      <c r="BW152" s="34"/>
      <c r="BX152" s="172"/>
      <c r="BY152" s="34"/>
      <c r="BZ152" s="35"/>
      <c r="CA152" s="149"/>
      <c r="CB152" s="149"/>
      <c r="CC152" s="405"/>
    </row>
    <row r="153" spans="2:81" ht="20.100000000000001" customHeight="1" x14ac:dyDescent="0.25">
      <c r="B153" s="38"/>
      <c r="C153" s="41"/>
      <c r="D153" s="38"/>
      <c r="E153" s="38"/>
      <c r="F153" s="38"/>
      <c r="G153" s="38"/>
      <c r="H153" s="37"/>
      <c r="I153" s="2"/>
      <c r="J153" s="2"/>
      <c r="K153" s="2"/>
      <c r="L153" s="37"/>
      <c r="M153" s="37"/>
      <c r="N153" s="37"/>
      <c r="O153" s="280"/>
      <c r="P153" s="280"/>
      <c r="Q153" s="2"/>
      <c r="R153" s="37"/>
      <c r="S153" s="37"/>
      <c r="T153" s="37"/>
      <c r="U153" s="280"/>
      <c r="V153" s="2"/>
      <c r="W153" s="37"/>
      <c r="X153" s="108"/>
      <c r="Y153" s="47"/>
      <c r="Z153" s="36"/>
      <c r="BT153" s="34"/>
      <c r="BU153" s="34"/>
      <c r="BV153" s="150"/>
      <c r="BW153" s="34"/>
      <c r="BX153" s="172"/>
      <c r="BY153" s="34"/>
      <c r="BZ153" s="35"/>
      <c r="CA153" s="149"/>
      <c r="CB153" s="149"/>
      <c r="CC153" s="279"/>
    </row>
    <row r="154" spans="2:81" s="46" customFormat="1" ht="20.100000000000001" customHeight="1" x14ac:dyDescent="0.25">
      <c r="B154" s="32" t="s">
        <v>213</v>
      </c>
      <c r="C154" s="44"/>
      <c r="D154" s="73"/>
      <c r="E154" s="44"/>
      <c r="F154" s="48"/>
      <c r="G154" s="45"/>
      <c r="H154" s="49"/>
      <c r="I154" s="49"/>
      <c r="J154" s="2"/>
      <c r="K154" s="2"/>
      <c r="L154" s="37"/>
      <c r="M154" s="37"/>
      <c r="N154" s="37"/>
      <c r="O154" s="83"/>
      <c r="P154" s="114"/>
      <c r="Q154" s="2"/>
      <c r="R154" s="37"/>
      <c r="S154" s="37"/>
      <c r="T154" s="37"/>
      <c r="U154" s="73"/>
      <c r="V154" s="2"/>
      <c r="W154" s="37"/>
      <c r="X154" s="20"/>
      <c r="Y154" s="47"/>
      <c r="Z154" s="36"/>
    </row>
    <row r="155" spans="2:81" s="46" customFormat="1" ht="20.100000000000001" customHeight="1" x14ac:dyDescent="0.25">
      <c r="B155" s="664" t="s">
        <v>18</v>
      </c>
      <c r="C155" s="665"/>
      <c r="D155" s="665"/>
      <c r="E155" s="665"/>
      <c r="F155" s="665"/>
      <c r="G155" s="666"/>
      <c r="H155" s="94" t="s">
        <v>0</v>
      </c>
      <c r="I155" s="106" t="s">
        <v>161</v>
      </c>
      <c r="J155" s="816"/>
      <c r="K155" s="817"/>
      <c r="L155" s="817"/>
      <c r="M155" s="818"/>
      <c r="N155" s="37"/>
      <c r="O155" s="74"/>
      <c r="P155" s="74"/>
      <c r="Q155" s="2"/>
      <c r="R155" s="37"/>
      <c r="S155" s="37"/>
      <c r="T155" s="37"/>
      <c r="U155" s="73"/>
      <c r="V155" s="2"/>
      <c r="W155" s="37"/>
      <c r="X155" s="20"/>
      <c r="Y155" s="47"/>
      <c r="Z155" s="36"/>
    </row>
    <row r="156" spans="2:81" s="46" customFormat="1" ht="20.100000000000001" customHeight="1" x14ac:dyDescent="0.3">
      <c r="B156" s="664" t="s">
        <v>216</v>
      </c>
      <c r="C156" s="665"/>
      <c r="D156" s="665"/>
      <c r="E156" s="665"/>
      <c r="F156" s="665"/>
      <c r="G156" s="666"/>
      <c r="H156" s="79" t="s">
        <v>100</v>
      </c>
      <c r="I156" s="106" t="s">
        <v>228</v>
      </c>
      <c r="J156" s="357"/>
      <c r="K156" s="358"/>
      <c r="L156" s="358"/>
      <c r="M156" s="359"/>
      <c r="N156" s="37"/>
      <c r="O156" s="74"/>
      <c r="P156" s="74"/>
      <c r="Q156" s="2"/>
      <c r="R156" s="37"/>
      <c r="S156" s="37"/>
      <c r="T156" s="37"/>
      <c r="U156" s="90"/>
      <c r="V156" s="2"/>
      <c r="W156" s="37"/>
      <c r="X156" s="93"/>
      <c r="Y156" s="47"/>
      <c r="Z156" s="36"/>
    </row>
    <row r="157" spans="2:81" s="46" customFormat="1" ht="20.100000000000001" customHeight="1" x14ac:dyDescent="0.3">
      <c r="B157" s="664" t="s">
        <v>404</v>
      </c>
      <c r="C157" s="665"/>
      <c r="D157" s="665"/>
      <c r="E157" s="665"/>
      <c r="F157" s="665"/>
      <c r="G157" s="666"/>
      <c r="H157" s="79" t="s">
        <v>503</v>
      </c>
      <c r="I157" s="106" t="s">
        <v>228</v>
      </c>
      <c r="J157" s="357"/>
      <c r="K157" s="358"/>
      <c r="L157" s="358"/>
      <c r="M157" s="359"/>
      <c r="N157" s="37"/>
      <c r="O157" s="74"/>
      <c r="P157" s="74"/>
      <c r="Q157" s="2"/>
      <c r="R157" s="37"/>
      <c r="S157" s="37"/>
      <c r="T157" s="37"/>
      <c r="U157" s="90"/>
      <c r="V157" s="2"/>
      <c r="W157" s="37"/>
      <c r="X157" s="93"/>
      <c r="Y157" s="47"/>
      <c r="Z157" s="36"/>
    </row>
    <row r="158" spans="2:81" s="46" customFormat="1" ht="20.100000000000001" customHeight="1" x14ac:dyDescent="0.25">
      <c r="B158" s="698" t="s">
        <v>229</v>
      </c>
      <c r="C158" s="699"/>
      <c r="D158" s="699"/>
      <c r="E158" s="699"/>
      <c r="F158" s="699"/>
      <c r="G158" s="700"/>
      <c r="H158" s="707" t="s">
        <v>147</v>
      </c>
      <c r="I158" s="707" t="s">
        <v>227</v>
      </c>
      <c r="J158" s="805"/>
      <c r="K158" s="806"/>
      <c r="L158" s="806"/>
      <c r="M158" s="807"/>
      <c r="N158" s="37"/>
      <c r="O158" s="74"/>
      <c r="P158" s="74"/>
      <c r="Q158" s="2"/>
      <c r="R158" s="37"/>
      <c r="S158" s="37"/>
      <c r="T158" s="37"/>
      <c r="U158" s="107"/>
      <c r="V158" s="2"/>
      <c r="W158" s="37"/>
      <c r="X158" s="108"/>
      <c r="Y158" s="47"/>
      <c r="Z158" s="36"/>
    </row>
    <row r="159" spans="2:81" s="46" customFormat="1" ht="20.100000000000001" customHeight="1" x14ac:dyDescent="0.25">
      <c r="B159" s="704"/>
      <c r="C159" s="705"/>
      <c r="D159" s="705"/>
      <c r="E159" s="705"/>
      <c r="F159" s="705"/>
      <c r="G159" s="706"/>
      <c r="H159" s="708"/>
      <c r="I159" s="708"/>
      <c r="J159" s="808"/>
      <c r="K159" s="809"/>
      <c r="L159" s="809"/>
      <c r="M159" s="810"/>
      <c r="N159" s="37"/>
      <c r="O159" s="74"/>
      <c r="P159" s="74"/>
      <c r="Q159" s="2"/>
      <c r="R159" s="37"/>
      <c r="S159" s="37"/>
      <c r="T159" s="37"/>
      <c r="U159" s="90"/>
      <c r="V159" s="2"/>
      <c r="W159" s="37"/>
      <c r="X159" s="93"/>
      <c r="Y159" s="47"/>
      <c r="Z159" s="36"/>
    </row>
    <row r="160" spans="2:81" s="46" customFormat="1" ht="20.100000000000001" customHeight="1" x14ac:dyDescent="0.25">
      <c r="B160" s="698" t="s">
        <v>405</v>
      </c>
      <c r="C160" s="699"/>
      <c r="D160" s="699"/>
      <c r="E160" s="699"/>
      <c r="F160" s="699"/>
      <c r="G160" s="700"/>
      <c r="H160" s="707" t="s">
        <v>231</v>
      </c>
      <c r="I160" s="707" t="s">
        <v>227</v>
      </c>
      <c r="J160" s="805"/>
      <c r="K160" s="806"/>
      <c r="L160" s="806"/>
      <c r="M160" s="807"/>
      <c r="N160" s="37"/>
      <c r="O160" s="74"/>
      <c r="P160" s="74"/>
      <c r="Q160" s="2"/>
      <c r="R160" s="37"/>
      <c r="S160" s="37"/>
      <c r="T160" s="37"/>
      <c r="U160" s="107"/>
      <c r="V160" s="2"/>
      <c r="W160" s="37"/>
      <c r="X160" s="108"/>
      <c r="Y160" s="47"/>
      <c r="Z160" s="36"/>
    </row>
    <row r="161" spans="2:27" s="46" customFormat="1" ht="20.100000000000001" customHeight="1" x14ac:dyDescent="0.25">
      <c r="B161" s="704"/>
      <c r="C161" s="705"/>
      <c r="D161" s="705"/>
      <c r="E161" s="705"/>
      <c r="F161" s="705"/>
      <c r="G161" s="706"/>
      <c r="H161" s="708"/>
      <c r="I161" s="708"/>
      <c r="J161" s="808"/>
      <c r="K161" s="809"/>
      <c r="L161" s="809"/>
      <c r="M161" s="810"/>
      <c r="N161" s="37"/>
      <c r="O161" s="225"/>
      <c r="P161" s="74"/>
      <c r="Q161" s="2"/>
      <c r="R161" s="37"/>
      <c r="S161" s="37"/>
      <c r="T161" s="37"/>
      <c r="U161" s="107"/>
      <c r="V161" s="2"/>
      <c r="W161" s="37"/>
      <c r="X161" s="108"/>
      <c r="Y161" s="47"/>
      <c r="Z161" s="36"/>
    </row>
    <row r="162" spans="2:27" s="46" customFormat="1" ht="20.100000000000001" customHeight="1" x14ac:dyDescent="0.25">
      <c r="B162" s="664" t="s">
        <v>407</v>
      </c>
      <c r="C162" s="665"/>
      <c r="D162" s="665"/>
      <c r="E162" s="665"/>
      <c r="F162" s="665"/>
      <c r="G162" s="666"/>
      <c r="H162" s="241" t="s">
        <v>409</v>
      </c>
      <c r="I162" s="241" t="s">
        <v>227</v>
      </c>
      <c r="J162" s="816"/>
      <c r="K162" s="817"/>
      <c r="L162" s="817"/>
      <c r="M162" s="818"/>
      <c r="N162" s="37"/>
      <c r="O162" s="74"/>
      <c r="P162" s="74"/>
      <c r="Q162" s="2"/>
      <c r="R162" s="37"/>
      <c r="S162" s="37"/>
      <c r="T162" s="37"/>
      <c r="U162" s="107"/>
      <c r="V162" s="2"/>
      <c r="W162" s="37"/>
      <c r="X162" s="108"/>
      <c r="Y162" s="47"/>
      <c r="Z162" s="36"/>
    </row>
    <row r="163" spans="2:27" s="46" customFormat="1" ht="20.100000000000001" customHeight="1" x14ac:dyDescent="0.25">
      <c r="B163" s="698" t="s">
        <v>406</v>
      </c>
      <c r="C163" s="699"/>
      <c r="D163" s="699"/>
      <c r="E163" s="699"/>
      <c r="F163" s="699"/>
      <c r="G163" s="700"/>
      <c r="H163" s="707" t="s">
        <v>410</v>
      </c>
      <c r="I163" s="707"/>
      <c r="J163" s="805"/>
      <c r="K163" s="806"/>
      <c r="L163" s="806"/>
      <c r="M163" s="807"/>
      <c r="N163" s="37"/>
      <c r="O163" s="74"/>
      <c r="P163" s="74"/>
      <c r="Q163" s="2"/>
      <c r="R163" s="37"/>
      <c r="S163" s="37"/>
      <c r="T163" s="37"/>
      <c r="U163" s="107"/>
      <c r="V163" s="2"/>
      <c r="W163" s="37"/>
      <c r="X163" s="108"/>
      <c r="Y163" s="47"/>
      <c r="Z163" s="36"/>
    </row>
    <row r="164" spans="2:27" s="46" customFormat="1" ht="20.100000000000001" customHeight="1" x14ac:dyDescent="0.25">
      <c r="B164" s="704"/>
      <c r="C164" s="705"/>
      <c r="D164" s="705"/>
      <c r="E164" s="705"/>
      <c r="F164" s="705"/>
      <c r="G164" s="706"/>
      <c r="H164" s="708"/>
      <c r="I164" s="708"/>
      <c r="J164" s="808"/>
      <c r="K164" s="809"/>
      <c r="L164" s="809"/>
      <c r="M164" s="810"/>
      <c r="N164" s="37"/>
      <c r="O164" s="74"/>
      <c r="P164" s="74"/>
      <c r="Q164" s="2"/>
      <c r="R164" s="37"/>
      <c r="S164" s="37"/>
      <c r="T164" s="37"/>
      <c r="U164" s="107"/>
      <c r="V164" s="2"/>
      <c r="W164" s="37"/>
      <c r="X164" s="108"/>
      <c r="Y164" s="47"/>
      <c r="Z164" s="36"/>
    </row>
    <row r="165" spans="2:27" s="46" customFormat="1" ht="20.100000000000001" customHeight="1" x14ac:dyDescent="0.25">
      <c r="B165" s="664" t="s">
        <v>214</v>
      </c>
      <c r="C165" s="665"/>
      <c r="D165" s="665"/>
      <c r="E165" s="665"/>
      <c r="F165" s="665"/>
      <c r="G165" s="666"/>
      <c r="H165" s="241" t="s">
        <v>239</v>
      </c>
      <c r="I165" s="241"/>
      <c r="J165" s="816"/>
      <c r="K165" s="817"/>
      <c r="L165" s="817"/>
      <c r="M165" s="818"/>
      <c r="N165" s="37"/>
      <c r="O165" s="74"/>
      <c r="P165" s="74"/>
      <c r="Q165" s="2"/>
      <c r="R165" s="37"/>
      <c r="S165" s="37"/>
      <c r="T165" s="37"/>
      <c r="U165" s="216"/>
      <c r="V165" s="2"/>
      <c r="W165" s="37"/>
      <c r="X165" s="108"/>
      <c r="Y165" s="47"/>
      <c r="Z165" s="36"/>
    </row>
    <row r="166" spans="2:27" s="46" customFormat="1" ht="20.100000000000001" customHeight="1" x14ac:dyDescent="0.25">
      <c r="B166" s="698" t="s">
        <v>408</v>
      </c>
      <c r="C166" s="699"/>
      <c r="D166" s="699"/>
      <c r="E166" s="699"/>
      <c r="F166" s="699"/>
      <c r="G166" s="700"/>
      <c r="H166" s="707" t="s">
        <v>230</v>
      </c>
      <c r="I166" s="707" t="s">
        <v>227</v>
      </c>
      <c r="J166" s="805"/>
      <c r="K166" s="806"/>
      <c r="L166" s="806"/>
      <c r="M166" s="807"/>
      <c r="N166" s="37"/>
      <c r="O166" s="74"/>
      <c r="P166" s="74"/>
      <c r="Q166" s="2"/>
      <c r="R166" s="37"/>
      <c r="S166" s="37"/>
      <c r="T166" s="37"/>
      <c r="U166" s="216"/>
      <c r="V166" s="2"/>
      <c r="W166" s="37"/>
      <c r="X166" s="108"/>
      <c r="Y166" s="47"/>
      <c r="Z166" s="36"/>
    </row>
    <row r="167" spans="2:27" s="46" customFormat="1" ht="20.100000000000001" customHeight="1" x14ac:dyDescent="0.25">
      <c r="B167" s="704"/>
      <c r="C167" s="705"/>
      <c r="D167" s="705"/>
      <c r="E167" s="705"/>
      <c r="F167" s="705"/>
      <c r="G167" s="706"/>
      <c r="H167" s="708"/>
      <c r="I167" s="708"/>
      <c r="J167" s="808"/>
      <c r="K167" s="809"/>
      <c r="L167" s="809"/>
      <c r="M167" s="810"/>
      <c r="N167" s="37"/>
      <c r="O167" s="74"/>
      <c r="P167" s="74"/>
      <c r="Q167" s="2"/>
      <c r="R167" s="37"/>
      <c r="S167" s="37"/>
      <c r="T167" s="37"/>
      <c r="U167" s="216"/>
      <c r="V167" s="2"/>
      <c r="W167" s="37"/>
      <c r="X167" s="108"/>
      <c r="Y167" s="47"/>
      <c r="Z167" s="36"/>
    </row>
    <row r="168" spans="2:27" s="46" customFormat="1" ht="20.100000000000001" customHeight="1" x14ac:dyDescent="0.25">
      <c r="B168" s="752" t="s">
        <v>233</v>
      </c>
      <c r="C168" s="752"/>
      <c r="D168" s="752"/>
      <c r="E168" s="752"/>
      <c r="F168" s="752"/>
      <c r="G168" s="752"/>
      <c r="H168" s="106" t="s">
        <v>232</v>
      </c>
      <c r="I168" s="106" t="s">
        <v>3</v>
      </c>
      <c r="J168" s="790"/>
      <c r="K168" s="790"/>
      <c r="L168" s="790"/>
      <c r="M168" s="790"/>
      <c r="N168" s="37"/>
      <c r="O168" s="74"/>
      <c r="P168" s="74"/>
      <c r="Q168" s="2"/>
      <c r="R168" s="37"/>
      <c r="S168" s="37"/>
      <c r="T168" s="37"/>
      <c r="U168" s="107"/>
      <c r="V168" s="2"/>
      <c r="W168" s="37"/>
      <c r="X168" s="108"/>
      <c r="Y168" s="47"/>
      <c r="Z168" s="36"/>
    </row>
    <row r="169" spans="2:27" s="46" customFormat="1" ht="20.100000000000001" customHeight="1" x14ac:dyDescent="0.25">
      <c r="B169" s="251"/>
      <c r="C169" s="251"/>
      <c r="D169" s="251"/>
      <c r="E169" s="251"/>
      <c r="F169" s="251"/>
      <c r="G169" s="251"/>
      <c r="H169" s="225"/>
      <c r="I169" s="76"/>
      <c r="J169" s="44"/>
      <c r="K169" s="44"/>
      <c r="L169" s="44"/>
      <c r="M169" s="44"/>
      <c r="N169" s="37"/>
      <c r="O169" s="71"/>
      <c r="P169" s="114"/>
      <c r="Q169" s="121"/>
      <c r="R169" s="37"/>
      <c r="S169" s="37"/>
      <c r="T169" s="37"/>
      <c r="U169" s="71"/>
      <c r="V169" s="2"/>
      <c r="W169" s="37"/>
      <c r="X169" s="20"/>
      <c r="Y169" s="47"/>
      <c r="Z169" s="36"/>
    </row>
    <row r="170" spans="2:27" s="46" customFormat="1" ht="20.100000000000001" customHeight="1" x14ac:dyDescent="0.25">
      <c r="B170" s="22" t="s">
        <v>169</v>
      </c>
      <c r="C170" s="251"/>
      <c r="D170" s="251"/>
      <c r="E170" s="251"/>
      <c r="F170" s="251"/>
      <c r="G170" s="251"/>
      <c r="H170" s="225"/>
      <c r="I170" s="76"/>
      <c r="J170" s="44"/>
      <c r="K170" s="44"/>
      <c r="L170" s="44"/>
      <c r="M170" s="44"/>
      <c r="N170" s="62"/>
      <c r="O170" s="71"/>
      <c r="P170" s="114"/>
      <c r="Q170" s="121"/>
      <c r="R170" s="37"/>
      <c r="S170" s="37"/>
      <c r="T170" s="37"/>
      <c r="U170" s="71"/>
      <c r="V170" s="2"/>
      <c r="W170" s="37"/>
      <c r="X170" s="20"/>
      <c r="Y170" s="47"/>
      <c r="Z170" s="36"/>
    </row>
    <row r="171" spans="2:27" s="46" customFormat="1" ht="20.100000000000001" customHeight="1" x14ac:dyDescent="0.25">
      <c r="B171" s="664" t="s">
        <v>234</v>
      </c>
      <c r="C171" s="665"/>
      <c r="D171" s="665"/>
      <c r="E171" s="665"/>
      <c r="F171" s="665"/>
      <c r="G171" s="666"/>
      <c r="H171" s="293" t="s">
        <v>472</v>
      </c>
      <c r="I171" s="57" t="s">
        <v>235</v>
      </c>
      <c r="J171" s="987"/>
      <c r="K171" s="882"/>
      <c r="L171" s="882"/>
      <c r="M171" s="883"/>
      <c r="N171" s="62"/>
      <c r="O171" s="119"/>
      <c r="P171" s="119"/>
      <c r="Q171" s="121"/>
      <c r="R171" s="37"/>
      <c r="S171" s="37"/>
      <c r="T171" s="37"/>
      <c r="U171" s="71"/>
      <c r="V171" s="2"/>
      <c r="W171" s="37"/>
      <c r="X171" s="20"/>
      <c r="Y171" s="47"/>
      <c r="Z171" s="36"/>
    </row>
    <row r="172" spans="2:27" s="46" customFormat="1" ht="20.100000000000001" customHeight="1" x14ac:dyDescent="0.25">
      <c r="B172" s="664" t="s">
        <v>236</v>
      </c>
      <c r="C172" s="665"/>
      <c r="D172" s="665"/>
      <c r="E172" s="665"/>
      <c r="F172" s="665"/>
      <c r="G172" s="666"/>
      <c r="H172" s="292" t="s">
        <v>464</v>
      </c>
      <c r="I172" s="57" t="s">
        <v>3</v>
      </c>
      <c r="J172" s="881"/>
      <c r="K172" s="882"/>
      <c r="L172" s="882"/>
      <c r="M172" s="883"/>
      <c r="N172" s="62"/>
      <c r="O172" s="119"/>
      <c r="P172" s="119"/>
      <c r="Q172" s="121"/>
      <c r="R172" s="37"/>
      <c r="S172" s="37"/>
      <c r="T172" s="37"/>
      <c r="U172" s="71"/>
      <c r="V172" s="2"/>
      <c r="W172" s="37"/>
      <c r="X172" s="20"/>
      <c r="Y172" s="47"/>
      <c r="Z172" s="36"/>
    </row>
    <row r="173" spans="2:27" s="46" customFormat="1" ht="20.100000000000001" customHeight="1" x14ac:dyDescent="0.25">
      <c r="B173" s="664" t="s">
        <v>265</v>
      </c>
      <c r="C173" s="665"/>
      <c r="D173" s="665"/>
      <c r="E173" s="665"/>
      <c r="F173" s="665"/>
      <c r="G173" s="666"/>
      <c r="H173" s="258" t="s">
        <v>465</v>
      </c>
      <c r="I173" s="57" t="s">
        <v>250</v>
      </c>
      <c r="J173" s="360"/>
      <c r="K173" s="361"/>
      <c r="L173" s="361"/>
      <c r="M173" s="362"/>
      <c r="N173" s="286"/>
      <c r="O173" s="119"/>
      <c r="P173" s="119"/>
      <c r="Q173" s="121"/>
      <c r="R173" s="37"/>
      <c r="S173" s="37"/>
      <c r="T173" s="37"/>
      <c r="U173" s="114"/>
      <c r="V173" s="2"/>
      <c r="W173" s="37"/>
      <c r="X173" s="108"/>
      <c r="Y173" s="47"/>
      <c r="Z173" s="36"/>
    </row>
    <row r="174" spans="2:27" s="46" customFormat="1" ht="20.100000000000001" customHeight="1" x14ac:dyDescent="0.25">
      <c r="B174" s="664" t="s">
        <v>266</v>
      </c>
      <c r="C174" s="665"/>
      <c r="D174" s="665"/>
      <c r="E174" s="665"/>
      <c r="F174" s="665"/>
      <c r="G174" s="666"/>
      <c r="H174" s="258" t="s">
        <v>466</v>
      </c>
      <c r="I174" s="57" t="s">
        <v>3</v>
      </c>
      <c r="J174" s="360"/>
      <c r="K174" s="361"/>
      <c r="L174" s="361"/>
      <c r="M174" s="362"/>
      <c r="N174" s="286"/>
      <c r="O174" s="119"/>
      <c r="P174" s="119"/>
      <c r="Q174" s="121"/>
      <c r="R174" s="37"/>
      <c r="S174" s="37"/>
      <c r="T174" s="37"/>
      <c r="U174" s="114"/>
      <c r="V174" s="2"/>
      <c r="W174" s="37"/>
      <c r="X174" s="108"/>
      <c r="Y174" s="47"/>
      <c r="Z174" s="36"/>
    </row>
    <row r="175" spans="2:27" s="46" customFormat="1" ht="20.100000000000001" customHeight="1" x14ac:dyDescent="0.25">
      <c r="B175" s="664" t="s">
        <v>264</v>
      </c>
      <c r="C175" s="665"/>
      <c r="D175" s="665"/>
      <c r="E175" s="665"/>
      <c r="F175" s="665"/>
      <c r="G175" s="666"/>
      <c r="H175" s="291" t="s">
        <v>467</v>
      </c>
      <c r="I175" s="57" t="s">
        <v>3</v>
      </c>
      <c r="J175" s="881"/>
      <c r="K175" s="882"/>
      <c r="L175" s="882"/>
      <c r="M175" s="883"/>
      <c r="N175" s="286"/>
      <c r="O175" s="119"/>
      <c r="P175" s="119"/>
      <c r="Q175" s="121"/>
      <c r="R175" s="37"/>
      <c r="S175" s="37"/>
      <c r="T175" s="37"/>
      <c r="U175" s="71"/>
      <c r="V175" s="2"/>
      <c r="W175" s="37"/>
      <c r="X175" s="129"/>
      <c r="Y175" s="128"/>
      <c r="Z175" s="36"/>
    </row>
    <row r="176" spans="2:27" s="46" customFormat="1" ht="20.100000000000001" customHeight="1" x14ac:dyDescent="0.25">
      <c r="B176" s="664" t="s">
        <v>237</v>
      </c>
      <c r="C176" s="665"/>
      <c r="D176" s="665"/>
      <c r="E176" s="665"/>
      <c r="F176" s="665"/>
      <c r="G176" s="666"/>
      <c r="H176" s="292" t="s">
        <v>468</v>
      </c>
      <c r="I176" s="57" t="s">
        <v>3</v>
      </c>
      <c r="J176" s="881"/>
      <c r="K176" s="882"/>
      <c r="L176" s="882"/>
      <c r="M176" s="883"/>
      <c r="N176" s="286"/>
      <c r="O176" s="119"/>
      <c r="P176" s="119"/>
      <c r="Q176" s="121"/>
      <c r="R176" s="37"/>
      <c r="S176" s="37"/>
      <c r="T176" s="37"/>
      <c r="U176" s="126"/>
      <c r="V176" s="2"/>
      <c r="W176" s="37"/>
      <c r="X176" s="129"/>
      <c r="Y176" s="128"/>
      <c r="Z176" s="36"/>
      <c r="AA176" s="130"/>
    </row>
    <row r="177" spans="2:26" s="46" customFormat="1" ht="20.100000000000001" customHeight="1" x14ac:dyDescent="0.25">
      <c r="B177" s="664" t="s">
        <v>238</v>
      </c>
      <c r="C177" s="665"/>
      <c r="D177" s="665"/>
      <c r="E177" s="665"/>
      <c r="F177" s="665"/>
      <c r="G177" s="666"/>
      <c r="H177" s="293" t="s">
        <v>473</v>
      </c>
      <c r="I177" s="57" t="s">
        <v>235</v>
      </c>
      <c r="J177" s="881"/>
      <c r="K177" s="882"/>
      <c r="L177" s="882"/>
      <c r="M177" s="883"/>
      <c r="N177" s="286"/>
      <c r="O177" s="119"/>
      <c r="P177" s="119"/>
      <c r="Q177" s="121"/>
      <c r="R177" s="62"/>
      <c r="S177" s="62"/>
      <c r="T177" s="62"/>
      <c r="U177" s="126"/>
      <c r="V177" s="2"/>
      <c r="W177" s="37"/>
      <c r="X177" s="20"/>
      <c r="Y177" s="128"/>
      <c r="Z177" s="36"/>
    </row>
    <row r="178" spans="2:26" s="46" customFormat="1" ht="20.100000000000001" customHeight="1" x14ac:dyDescent="0.25">
      <c r="B178" s="698" t="s">
        <v>240</v>
      </c>
      <c r="C178" s="699"/>
      <c r="D178" s="699"/>
      <c r="E178" s="699"/>
      <c r="F178" s="699"/>
      <c r="G178" s="700"/>
      <c r="H178" s="709" t="s">
        <v>469</v>
      </c>
      <c r="I178" s="746"/>
      <c r="J178" s="866"/>
      <c r="K178" s="867"/>
      <c r="L178" s="867"/>
      <c r="M178" s="868"/>
      <c r="N178" s="286"/>
      <c r="O178" s="119"/>
      <c r="P178" s="119"/>
      <c r="Q178" s="121"/>
      <c r="R178" s="43"/>
      <c r="S178" s="43"/>
      <c r="T178" s="43"/>
      <c r="U178" s="126"/>
      <c r="V178" s="2"/>
      <c r="W178" s="37"/>
      <c r="X178" s="129"/>
      <c r="Y178" s="128"/>
      <c r="Z178" s="36"/>
    </row>
    <row r="179" spans="2:26" s="46" customFormat="1" ht="20.100000000000001" customHeight="1" x14ac:dyDescent="0.25">
      <c r="B179" s="704"/>
      <c r="C179" s="705"/>
      <c r="D179" s="705"/>
      <c r="E179" s="705"/>
      <c r="F179" s="705"/>
      <c r="G179" s="706"/>
      <c r="H179" s="710"/>
      <c r="I179" s="747"/>
      <c r="J179" s="869"/>
      <c r="K179" s="870"/>
      <c r="L179" s="870"/>
      <c r="M179" s="871"/>
      <c r="N179" s="286"/>
      <c r="O179" s="119"/>
      <c r="P179" s="119"/>
      <c r="Q179" s="121"/>
      <c r="R179" s="43"/>
      <c r="S179" s="43"/>
      <c r="T179" s="43"/>
      <c r="U179" s="126"/>
      <c r="V179" s="2"/>
      <c r="W179" s="37"/>
      <c r="X179" s="108"/>
      <c r="Y179" s="128"/>
      <c r="Z179" s="36"/>
    </row>
    <row r="180" spans="2:26" s="46" customFormat="1" ht="20.100000000000001" customHeight="1" x14ac:dyDescent="0.25">
      <c r="B180" s="698" t="s">
        <v>458</v>
      </c>
      <c r="C180" s="699"/>
      <c r="D180" s="699"/>
      <c r="E180" s="699"/>
      <c r="F180" s="699"/>
      <c r="G180" s="700"/>
      <c r="H180" s="709" t="s">
        <v>470</v>
      </c>
      <c r="I180" s="746"/>
      <c r="J180" s="866"/>
      <c r="K180" s="867"/>
      <c r="L180" s="867"/>
      <c r="M180" s="868"/>
      <c r="N180" s="286"/>
      <c r="O180" s="119"/>
      <c r="P180" s="119"/>
      <c r="Q180" s="121"/>
      <c r="R180" s="43"/>
      <c r="S180" s="43"/>
      <c r="T180" s="43"/>
      <c r="U180" s="126"/>
      <c r="V180" s="2"/>
      <c r="W180" s="37"/>
      <c r="X180" s="108"/>
      <c r="Y180" s="128"/>
      <c r="Z180" s="36"/>
    </row>
    <row r="181" spans="2:26" s="46" customFormat="1" ht="20.100000000000001" customHeight="1" x14ac:dyDescent="0.25">
      <c r="B181" s="704"/>
      <c r="C181" s="705"/>
      <c r="D181" s="705"/>
      <c r="E181" s="705"/>
      <c r="F181" s="705"/>
      <c r="G181" s="706"/>
      <c r="H181" s="710"/>
      <c r="I181" s="747"/>
      <c r="J181" s="869"/>
      <c r="K181" s="870"/>
      <c r="L181" s="870"/>
      <c r="M181" s="871"/>
      <c r="N181" s="286"/>
      <c r="O181" s="119"/>
      <c r="P181" s="119"/>
      <c r="Q181" s="121"/>
      <c r="R181" s="43"/>
      <c r="S181" s="43"/>
      <c r="T181" s="43"/>
      <c r="U181" s="126"/>
      <c r="V181" s="2"/>
      <c r="W181" s="37"/>
      <c r="X181" s="108"/>
      <c r="Y181" s="128"/>
      <c r="Z181" s="36"/>
    </row>
    <row r="182" spans="2:26" s="46" customFormat="1" ht="20.100000000000001" customHeight="1" x14ac:dyDescent="0.25">
      <c r="B182" s="698" t="s">
        <v>241</v>
      </c>
      <c r="C182" s="699"/>
      <c r="D182" s="699"/>
      <c r="E182" s="699"/>
      <c r="F182" s="699"/>
      <c r="G182" s="700"/>
      <c r="H182" s="709" t="s">
        <v>471</v>
      </c>
      <c r="I182" s="746"/>
      <c r="J182" s="866"/>
      <c r="K182" s="867"/>
      <c r="L182" s="867"/>
      <c r="M182" s="868"/>
      <c r="N182" s="286"/>
      <c r="O182" s="119"/>
      <c r="P182" s="119"/>
      <c r="Q182" s="121"/>
      <c r="R182" s="43"/>
      <c r="S182" s="43"/>
      <c r="T182" s="43"/>
      <c r="U182" s="127"/>
      <c r="V182" s="2"/>
      <c r="W182" s="37"/>
      <c r="X182" s="129"/>
      <c r="Y182" s="131"/>
      <c r="Z182" s="36"/>
    </row>
    <row r="183" spans="2:26" s="46" customFormat="1" ht="20.100000000000001" customHeight="1" x14ac:dyDescent="0.25">
      <c r="B183" s="704"/>
      <c r="C183" s="705"/>
      <c r="D183" s="705"/>
      <c r="E183" s="705"/>
      <c r="F183" s="705"/>
      <c r="G183" s="706"/>
      <c r="H183" s="710"/>
      <c r="I183" s="747"/>
      <c r="J183" s="869"/>
      <c r="K183" s="870"/>
      <c r="L183" s="870"/>
      <c r="M183" s="871"/>
      <c r="N183" s="286"/>
      <c r="O183" s="119"/>
      <c r="P183" s="290"/>
      <c r="Q183" s="121"/>
      <c r="R183" s="43"/>
      <c r="S183" s="43"/>
      <c r="T183" s="43"/>
      <c r="U183" s="110"/>
      <c r="V183" s="2"/>
      <c r="W183" s="37"/>
      <c r="X183" s="108"/>
      <c r="Y183" s="128"/>
      <c r="Z183" s="36"/>
    </row>
    <row r="184" spans="2:26" s="46" customFormat="1" ht="20.100000000000001" customHeight="1" x14ac:dyDescent="0.25">
      <c r="B184" s="664" t="s">
        <v>251</v>
      </c>
      <c r="C184" s="665"/>
      <c r="D184" s="665"/>
      <c r="E184" s="665"/>
      <c r="F184" s="665"/>
      <c r="G184" s="666"/>
      <c r="H184" s="291" t="s">
        <v>262</v>
      </c>
      <c r="I184" s="242"/>
      <c r="J184" s="885" t="s">
        <v>259</v>
      </c>
      <c r="K184" s="886"/>
      <c r="L184" s="886"/>
      <c r="M184" s="887"/>
      <c r="N184" s="62"/>
      <c r="O184" s="44"/>
      <c r="P184" s="44"/>
      <c r="Q184" s="121"/>
      <c r="R184" s="122"/>
      <c r="S184" s="62"/>
      <c r="T184" s="62"/>
      <c r="U184" s="110"/>
      <c r="V184" s="2"/>
      <c r="W184" s="37"/>
      <c r="X184" s="108"/>
      <c r="Y184" s="47"/>
      <c r="Z184" s="36"/>
    </row>
    <row r="185" spans="2:26" s="46" customFormat="1" ht="20.100000000000001" customHeight="1" x14ac:dyDescent="0.25">
      <c r="B185" s="664" t="s">
        <v>459</v>
      </c>
      <c r="C185" s="665"/>
      <c r="D185" s="665"/>
      <c r="E185" s="665"/>
      <c r="F185" s="665"/>
      <c r="G185" s="666"/>
      <c r="H185" s="291"/>
      <c r="I185" s="242"/>
      <c r="J185" s="888" t="s">
        <v>260</v>
      </c>
      <c r="K185" s="889"/>
      <c r="L185" s="889"/>
      <c r="M185" s="890"/>
      <c r="N185" s="62"/>
      <c r="O185" s="44"/>
      <c r="P185" s="44"/>
      <c r="Q185" s="121"/>
      <c r="R185" s="122"/>
      <c r="S185" s="62"/>
      <c r="T185" s="62"/>
      <c r="U185" s="110"/>
      <c r="V185" s="2"/>
      <c r="W185" s="37"/>
      <c r="X185" s="108"/>
      <c r="Y185" s="47"/>
      <c r="Z185" s="36"/>
    </row>
    <row r="186" spans="2:26" s="46" customFormat="1" ht="20.100000000000001" customHeight="1" x14ac:dyDescent="0.25">
      <c r="B186" s="664" t="s">
        <v>460</v>
      </c>
      <c r="C186" s="665"/>
      <c r="D186" s="665"/>
      <c r="E186" s="665"/>
      <c r="F186" s="665"/>
      <c r="G186" s="666"/>
      <c r="H186" s="291"/>
      <c r="I186" s="57"/>
      <c r="J186" s="885" t="s">
        <v>261</v>
      </c>
      <c r="K186" s="886"/>
      <c r="L186" s="886"/>
      <c r="M186" s="887"/>
      <c r="N186" s="62"/>
      <c r="O186" s="120"/>
      <c r="P186" s="120"/>
      <c r="Q186" s="121"/>
      <c r="R186" s="122"/>
      <c r="S186" s="62"/>
      <c r="T186" s="62"/>
      <c r="U186" s="111"/>
      <c r="V186" s="2"/>
      <c r="W186" s="37"/>
      <c r="X186" s="108"/>
      <c r="Y186" s="47"/>
      <c r="Z186" s="36"/>
    </row>
    <row r="187" spans="2:26" s="46" customFormat="1" ht="20.100000000000001" customHeight="1" x14ac:dyDescent="0.25">
      <c r="B187" s="664" t="s">
        <v>462</v>
      </c>
      <c r="C187" s="665"/>
      <c r="D187" s="665"/>
      <c r="E187" s="665"/>
      <c r="F187" s="665"/>
      <c r="G187" s="666"/>
      <c r="H187" s="291"/>
      <c r="I187" s="270"/>
      <c r="J187" s="885" t="s">
        <v>463</v>
      </c>
      <c r="K187" s="886"/>
      <c r="L187" s="886"/>
      <c r="M187" s="887"/>
      <c r="N187" s="62"/>
      <c r="O187" s="120"/>
      <c r="P187" s="120"/>
      <c r="Q187" s="121"/>
      <c r="R187" s="122"/>
      <c r="S187" s="62"/>
      <c r="T187" s="62"/>
      <c r="U187" s="252"/>
      <c r="V187" s="2"/>
      <c r="W187" s="37"/>
      <c r="X187" s="108"/>
      <c r="Y187" s="47"/>
      <c r="Z187" s="36"/>
    </row>
    <row r="188" spans="2:26" s="46" customFormat="1" ht="20.100000000000001" customHeight="1" x14ac:dyDescent="0.25">
      <c r="B188" s="10"/>
      <c r="C188" s="10"/>
      <c r="D188" s="10"/>
      <c r="E188" s="10"/>
      <c r="F188" s="10"/>
      <c r="G188" s="10"/>
      <c r="H188" s="159"/>
      <c r="I188" s="76"/>
      <c r="J188" s="223"/>
      <c r="K188" s="223"/>
      <c r="L188" s="223"/>
      <c r="M188" s="223"/>
      <c r="N188" s="62"/>
      <c r="O188" s="120"/>
      <c r="P188" s="120"/>
      <c r="Q188" s="121"/>
      <c r="R188" s="122"/>
      <c r="S188" s="62"/>
      <c r="T188" s="62"/>
      <c r="U188" s="223"/>
      <c r="V188" s="2"/>
      <c r="W188" s="37"/>
      <c r="X188" s="108"/>
      <c r="Y188" s="47"/>
      <c r="Z188" s="36"/>
    </row>
    <row r="189" spans="2:26" s="46" customFormat="1" ht="20.100000000000001" customHeight="1" x14ac:dyDescent="0.25">
      <c r="B189" s="32" t="s">
        <v>112</v>
      </c>
      <c r="C189" s="44"/>
      <c r="D189" s="114"/>
      <c r="E189" s="44"/>
      <c r="F189" s="48"/>
      <c r="G189" s="45"/>
      <c r="H189" s="49"/>
      <c r="I189" s="49"/>
      <c r="J189" s="2"/>
      <c r="K189" s="2"/>
      <c r="L189" s="37"/>
      <c r="M189" s="37"/>
      <c r="N189" s="62"/>
      <c r="O189" s="120"/>
      <c r="P189" s="120"/>
      <c r="Q189" s="121"/>
      <c r="R189" s="122"/>
      <c r="S189" s="62"/>
      <c r="T189" s="62"/>
      <c r="U189" s="114"/>
      <c r="V189" s="2"/>
      <c r="W189" s="37"/>
      <c r="X189" s="108"/>
      <c r="Y189" s="47"/>
      <c r="Z189" s="36"/>
    </row>
    <row r="190" spans="2:26" s="46" customFormat="1" ht="20.100000000000001" customHeight="1" x14ac:dyDescent="0.25">
      <c r="B190" s="32"/>
      <c r="C190" s="44"/>
      <c r="D190" s="114"/>
      <c r="E190" s="44"/>
      <c r="F190" s="48"/>
      <c r="G190" s="45"/>
      <c r="H190" s="49"/>
      <c r="I190" s="49"/>
      <c r="J190" s="2"/>
      <c r="K190" s="2"/>
      <c r="L190" s="37"/>
      <c r="M190" s="37"/>
      <c r="N190" s="62"/>
      <c r="O190" s="120"/>
      <c r="P190" s="120"/>
      <c r="Q190" s="121"/>
      <c r="R190" s="122"/>
      <c r="S190" s="62"/>
      <c r="T190" s="62"/>
      <c r="U190" s="114"/>
      <c r="V190" s="2"/>
      <c r="W190" s="37"/>
      <c r="X190" s="108"/>
      <c r="Y190" s="47"/>
      <c r="Z190" s="36"/>
    </row>
    <row r="191" spans="2:26" s="46" customFormat="1" ht="20.100000000000001" customHeight="1" x14ac:dyDescent="0.25">
      <c r="B191" s="32" t="s">
        <v>420</v>
      </c>
      <c r="C191" s="44"/>
      <c r="D191" s="114"/>
      <c r="E191" s="44"/>
      <c r="F191" s="48"/>
      <c r="G191" s="45"/>
      <c r="H191" s="49"/>
      <c r="I191" s="49"/>
      <c r="J191" s="2"/>
      <c r="K191" s="2"/>
      <c r="L191" s="37"/>
      <c r="M191" s="37"/>
      <c r="N191" s="62"/>
      <c r="O191" s="120"/>
      <c r="P191" s="120"/>
      <c r="Q191" s="121"/>
      <c r="R191" s="122"/>
      <c r="S191" s="62"/>
      <c r="T191" s="62"/>
      <c r="U191" s="114"/>
      <c r="V191" s="2"/>
      <c r="W191" s="37"/>
      <c r="X191" s="108"/>
      <c r="Y191" s="47"/>
      <c r="Z191" s="36"/>
    </row>
    <row r="192" spans="2:26" s="46" customFormat="1" ht="20.100000000000001" customHeight="1" x14ac:dyDescent="0.25">
      <c r="B192" s="664" t="s">
        <v>115</v>
      </c>
      <c r="C192" s="665"/>
      <c r="D192" s="665"/>
      <c r="E192" s="665"/>
      <c r="F192" s="665"/>
      <c r="G192" s="666"/>
      <c r="H192" s="106" t="s">
        <v>8</v>
      </c>
      <c r="I192" s="77"/>
      <c r="J192" s="816"/>
      <c r="K192" s="817"/>
      <c r="L192" s="817"/>
      <c r="M192" s="818"/>
      <c r="N192" s="62"/>
      <c r="O192" s="120"/>
      <c r="P192" s="120"/>
      <c r="Q192" s="121"/>
      <c r="R192" s="122"/>
      <c r="S192" s="62"/>
      <c r="T192" s="62"/>
      <c r="U192" s="114"/>
      <c r="V192" s="2"/>
      <c r="W192" s="37"/>
      <c r="X192" s="108"/>
      <c r="Y192" s="47"/>
      <c r="Z192" s="36"/>
    </row>
    <row r="193" spans="2:26" s="46" customFormat="1" ht="20.100000000000001" customHeight="1" x14ac:dyDescent="0.25">
      <c r="B193" s="664" t="s">
        <v>765</v>
      </c>
      <c r="C193" s="665"/>
      <c r="D193" s="665"/>
      <c r="E193" s="665"/>
      <c r="F193" s="665"/>
      <c r="G193" s="666"/>
      <c r="H193" s="106" t="s">
        <v>101</v>
      </c>
      <c r="I193" s="78" t="s">
        <v>160</v>
      </c>
      <c r="J193" s="357"/>
      <c r="K193" s="358"/>
      <c r="L193" s="358"/>
      <c r="M193" s="359"/>
      <c r="N193" s="62"/>
      <c r="O193" s="120"/>
      <c r="P193" s="120"/>
      <c r="Q193" s="121"/>
      <c r="R193" s="122"/>
      <c r="S193" s="62"/>
      <c r="T193" s="62"/>
      <c r="U193" s="114"/>
      <c r="V193" s="2"/>
      <c r="W193" s="37"/>
      <c r="X193" s="108"/>
      <c r="Y193" s="47"/>
      <c r="Z193" s="36"/>
    </row>
    <row r="194" spans="2:26" s="46" customFormat="1" ht="20.100000000000001" customHeight="1" x14ac:dyDescent="0.25">
      <c r="B194" s="664" t="s">
        <v>124</v>
      </c>
      <c r="C194" s="665"/>
      <c r="D194" s="665"/>
      <c r="E194" s="665"/>
      <c r="F194" s="665"/>
      <c r="G194" s="666"/>
      <c r="H194" s="94" t="s">
        <v>378</v>
      </c>
      <c r="I194" s="94" t="s">
        <v>125</v>
      </c>
      <c r="J194" s="891"/>
      <c r="K194" s="891"/>
      <c r="L194" s="891"/>
      <c r="M194" s="891"/>
      <c r="N194" s="62"/>
      <c r="O194" s="120"/>
      <c r="P194" s="120"/>
      <c r="Q194" s="121"/>
      <c r="R194" s="122"/>
      <c r="S194" s="62"/>
      <c r="T194" s="62"/>
      <c r="U194" s="114"/>
      <c r="V194" s="2"/>
      <c r="W194" s="37"/>
      <c r="X194" s="108"/>
      <c r="Y194" s="47"/>
      <c r="Z194" s="36"/>
    </row>
    <row r="195" spans="2:26" s="46" customFormat="1" ht="20.100000000000001" customHeight="1" x14ac:dyDescent="0.25">
      <c r="B195" s="664" t="s">
        <v>372</v>
      </c>
      <c r="C195" s="665"/>
      <c r="D195" s="665"/>
      <c r="E195" s="665"/>
      <c r="F195" s="665"/>
      <c r="G195" s="666"/>
      <c r="H195" s="94" t="s">
        <v>379</v>
      </c>
      <c r="I195" s="94" t="s">
        <v>123</v>
      </c>
      <c r="J195" s="891"/>
      <c r="K195" s="891"/>
      <c r="L195" s="891"/>
      <c r="M195" s="891"/>
      <c r="N195" s="62"/>
      <c r="O195" s="120"/>
      <c r="P195" s="120"/>
      <c r="Q195" s="121"/>
      <c r="R195" s="122"/>
      <c r="S195" s="62"/>
      <c r="T195" s="62"/>
      <c r="U195" s="114"/>
      <c r="V195" s="2"/>
      <c r="W195" s="37"/>
      <c r="X195" s="108"/>
      <c r="Y195" s="47"/>
      <c r="Z195" s="36"/>
    </row>
    <row r="196" spans="2:26" s="46" customFormat="1" ht="20.100000000000001" customHeight="1" x14ac:dyDescent="0.25">
      <c r="B196" s="664" t="s">
        <v>766</v>
      </c>
      <c r="C196" s="665"/>
      <c r="D196" s="665"/>
      <c r="E196" s="665"/>
      <c r="F196" s="665"/>
      <c r="G196" s="666"/>
      <c r="H196" s="94" t="s">
        <v>380</v>
      </c>
      <c r="I196" s="94" t="s">
        <v>123</v>
      </c>
      <c r="J196" s="986"/>
      <c r="K196" s="986"/>
      <c r="L196" s="986"/>
      <c r="M196" s="986"/>
      <c r="N196" s="62"/>
      <c r="O196" s="120"/>
      <c r="P196" s="120"/>
      <c r="Q196" s="121"/>
      <c r="R196" s="122"/>
      <c r="S196" s="62"/>
      <c r="T196" s="62"/>
      <c r="U196" s="114"/>
      <c r="V196" s="2"/>
      <c r="W196" s="37"/>
      <c r="X196" s="108"/>
      <c r="Y196" s="47"/>
      <c r="Z196" s="36"/>
    </row>
    <row r="197" spans="2:26" s="46" customFormat="1" ht="20.100000000000001" customHeight="1" x14ac:dyDescent="0.25">
      <c r="B197" s="664" t="s">
        <v>767</v>
      </c>
      <c r="C197" s="665"/>
      <c r="D197" s="665"/>
      <c r="E197" s="665"/>
      <c r="F197" s="665"/>
      <c r="G197" s="666"/>
      <c r="H197" s="94" t="s">
        <v>381</v>
      </c>
      <c r="I197" s="94" t="s">
        <v>123</v>
      </c>
      <c r="J197" s="872"/>
      <c r="K197" s="873"/>
      <c r="L197" s="873"/>
      <c r="M197" s="874"/>
      <c r="N197" s="62"/>
      <c r="O197" s="120"/>
      <c r="P197" s="120"/>
      <c r="Q197" s="121"/>
      <c r="R197" s="122"/>
      <c r="S197" s="62"/>
      <c r="T197" s="62"/>
      <c r="U197" s="114"/>
      <c r="V197" s="2"/>
      <c r="W197" s="37"/>
      <c r="X197" s="108"/>
      <c r="Y197" s="47"/>
      <c r="Z197" s="36"/>
    </row>
    <row r="198" spans="2:26" s="46" customFormat="1" ht="20.100000000000001" customHeight="1" x14ac:dyDescent="0.25">
      <c r="B198" s="664" t="s">
        <v>768</v>
      </c>
      <c r="C198" s="665"/>
      <c r="D198" s="665"/>
      <c r="E198" s="665"/>
      <c r="F198" s="665"/>
      <c r="G198" s="666"/>
      <c r="H198" s="94" t="s">
        <v>382</v>
      </c>
      <c r="I198" s="94" t="s">
        <v>123</v>
      </c>
      <c r="J198" s="891"/>
      <c r="K198" s="891"/>
      <c r="L198" s="891"/>
      <c r="M198" s="891"/>
      <c r="N198" s="62"/>
      <c r="O198" s="120"/>
      <c r="P198" s="120"/>
      <c r="Q198" s="121"/>
      <c r="R198" s="122"/>
      <c r="S198" s="62"/>
      <c r="T198" s="62"/>
      <c r="U198" s="114"/>
      <c r="V198" s="2"/>
      <c r="W198" s="37"/>
      <c r="X198" s="108"/>
      <c r="Y198" s="47"/>
      <c r="Z198" s="36"/>
    </row>
    <row r="199" spans="2:26" s="46" customFormat="1" ht="20.100000000000001" customHeight="1" x14ac:dyDescent="0.25">
      <c r="B199" s="698" t="s">
        <v>373</v>
      </c>
      <c r="C199" s="699"/>
      <c r="D199" s="699"/>
      <c r="E199" s="699"/>
      <c r="F199" s="699"/>
      <c r="G199" s="700"/>
      <c r="H199" s="709" t="s">
        <v>383</v>
      </c>
      <c r="I199" s="709"/>
      <c r="J199" s="875"/>
      <c r="K199" s="876"/>
      <c r="L199" s="876"/>
      <c r="M199" s="877"/>
      <c r="N199" s="62"/>
      <c r="O199" s="120"/>
      <c r="P199" s="120"/>
      <c r="Q199" s="121"/>
      <c r="R199" s="122"/>
      <c r="S199" s="62"/>
      <c r="T199" s="62"/>
      <c r="U199" s="208"/>
      <c r="V199" s="2"/>
      <c r="W199" s="37"/>
      <c r="X199" s="108"/>
      <c r="Y199" s="47"/>
      <c r="Z199" s="36"/>
    </row>
    <row r="200" spans="2:26" s="46" customFormat="1" ht="20.100000000000001" customHeight="1" x14ac:dyDescent="0.25">
      <c r="B200" s="704"/>
      <c r="C200" s="705"/>
      <c r="D200" s="705"/>
      <c r="E200" s="705"/>
      <c r="F200" s="705"/>
      <c r="G200" s="706"/>
      <c r="H200" s="710"/>
      <c r="I200" s="710"/>
      <c r="J200" s="878"/>
      <c r="K200" s="879"/>
      <c r="L200" s="879"/>
      <c r="M200" s="880"/>
      <c r="N200" s="62"/>
      <c r="O200" s="120"/>
      <c r="P200" s="120"/>
      <c r="Q200" s="121"/>
      <c r="R200" s="122"/>
      <c r="S200" s="62"/>
      <c r="T200" s="62"/>
      <c r="U200" s="208"/>
      <c r="V200" s="2"/>
      <c r="W200" s="37"/>
      <c r="X200" s="108"/>
      <c r="Y200" s="47"/>
      <c r="Z200" s="36"/>
    </row>
    <row r="201" spans="2:26" s="46" customFormat="1" ht="20.100000000000001" customHeight="1" x14ac:dyDescent="0.25">
      <c r="B201" s="664" t="s">
        <v>374</v>
      </c>
      <c r="C201" s="665"/>
      <c r="D201" s="665"/>
      <c r="E201" s="665"/>
      <c r="F201" s="665"/>
      <c r="G201" s="666"/>
      <c r="H201" s="94" t="s">
        <v>46</v>
      </c>
      <c r="I201" s="94" t="s">
        <v>3</v>
      </c>
      <c r="J201" s="891"/>
      <c r="K201" s="891"/>
      <c r="L201" s="891"/>
      <c r="M201" s="891"/>
      <c r="N201" s="62"/>
      <c r="O201" s="120"/>
      <c r="P201" s="120"/>
      <c r="Q201" s="121"/>
      <c r="R201" s="122"/>
      <c r="S201" s="62"/>
      <c r="T201" s="62"/>
      <c r="U201" s="208"/>
      <c r="V201" s="2"/>
      <c r="W201" s="37"/>
      <c r="X201" s="108"/>
      <c r="Y201" s="47"/>
      <c r="Z201" s="36"/>
    </row>
    <row r="202" spans="2:26" s="46" customFormat="1" ht="20.100000000000001" customHeight="1" x14ac:dyDescent="0.25">
      <c r="B202" s="698" t="s">
        <v>375</v>
      </c>
      <c r="C202" s="699"/>
      <c r="D202" s="699"/>
      <c r="E202" s="699"/>
      <c r="F202" s="699"/>
      <c r="G202" s="700"/>
      <c r="H202" s="709" t="s">
        <v>384</v>
      </c>
      <c r="I202" s="709" t="s">
        <v>3</v>
      </c>
      <c r="J202" s="875"/>
      <c r="K202" s="876"/>
      <c r="L202" s="876"/>
      <c r="M202" s="877"/>
      <c r="N202" s="62"/>
      <c r="O202" s="120"/>
      <c r="P202" s="120"/>
      <c r="Q202" s="121"/>
      <c r="R202" s="122"/>
      <c r="S202" s="62"/>
      <c r="T202" s="62"/>
      <c r="U202" s="208"/>
      <c r="V202" s="2"/>
      <c r="W202" s="37"/>
      <c r="X202" s="108"/>
      <c r="Y202" s="47"/>
      <c r="Z202" s="36"/>
    </row>
    <row r="203" spans="2:26" s="46" customFormat="1" ht="20.100000000000001" customHeight="1" x14ac:dyDescent="0.25">
      <c r="B203" s="704"/>
      <c r="C203" s="705"/>
      <c r="D203" s="705"/>
      <c r="E203" s="705"/>
      <c r="F203" s="705"/>
      <c r="G203" s="706"/>
      <c r="H203" s="710"/>
      <c r="I203" s="710"/>
      <c r="J203" s="878"/>
      <c r="K203" s="879"/>
      <c r="L203" s="879"/>
      <c r="M203" s="880"/>
      <c r="N203" s="62"/>
      <c r="O203" s="120"/>
      <c r="P203" s="120"/>
      <c r="Q203" s="121"/>
      <c r="R203" s="122"/>
      <c r="S203" s="62"/>
      <c r="T203" s="62"/>
      <c r="U203" s="208"/>
      <c r="V203" s="2"/>
      <c r="W203" s="37"/>
      <c r="X203" s="108"/>
      <c r="Y203" s="47"/>
      <c r="Z203" s="36"/>
    </row>
    <row r="204" spans="2:26" s="46" customFormat="1" ht="20.100000000000001" customHeight="1" x14ac:dyDescent="0.25">
      <c r="B204" s="698" t="s">
        <v>376</v>
      </c>
      <c r="C204" s="699"/>
      <c r="D204" s="699"/>
      <c r="E204" s="699"/>
      <c r="F204" s="699"/>
      <c r="G204" s="700"/>
      <c r="H204" s="709" t="s">
        <v>377</v>
      </c>
      <c r="I204" s="709" t="s">
        <v>201</v>
      </c>
      <c r="J204" s="875"/>
      <c r="K204" s="876"/>
      <c r="L204" s="876"/>
      <c r="M204" s="877"/>
      <c r="N204" s="884"/>
      <c r="O204" s="120"/>
      <c r="P204" s="120"/>
      <c r="Q204" s="121"/>
      <c r="R204" s="122"/>
      <c r="S204" s="62"/>
      <c r="T204" s="62"/>
      <c r="U204" s="208"/>
      <c r="V204" s="2"/>
      <c r="W204" s="37"/>
      <c r="X204" s="108"/>
      <c r="Y204" s="47"/>
      <c r="Z204" s="36"/>
    </row>
    <row r="205" spans="2:26" s="46" customFormat="1" ht="20.100000000000001" customHeight="1" x14ac:dyDescent="0.25">
      <c r="B205" s="704"/>
      <c r="C205" s="705"/>
      <c r="D205" s="705"/>
      <c r="E205" s="705"/>
      <c r="F205" s="705"/>
      <c r="G205" s="706"/>
      <c r="H205" s="710"/>
      <c r="I205" s="710"/>
      <c r="J205" s="878"/>
      <c r="K205" s="879"/>
      <c r="L205" s="879"/>
      <c r="M205" s="880"/>
      <c r="N205" s="884"/>
      <c r="O205" s="120"/>
      <c r="P205" s="120"/>
      <c r="Q205" s="121"/>
      <c r="R205" s="122"/>
      <c r="S205" s="62"/>
      <c r="T205" s="62"/>
      <c r="U205" s="208"/>
      <c r="V205" s="2"/>
      <c r="W205" s="37"/>
      <c r="X205" s="108"/>
      <c r="Y205" s="47"/>
      <c r="Z205" s="36"/>
    </row>
    <row r="206" spans="2:26" s="46" customFormat="1" ht="20.100000000000001" customHeight="1" x14ac:dyDescent="0.25">
      <c r="B206" s="10"/>
      <c r="C206" s="10"/>
      <c r="D206" s="10"/>
      <c r="E206" s="10"/>
      <c r="F206" s="10"/>
      <c r="G206" s="10"/>
      <c r="H206" s="123"/>
      <c r="I206" s="76"/>
      <c r="J206" s="124"/>
      <c r="K206" s="124"/>
      <c r="L206" s="124"/>
      <c r="M206" s="124"/>
      <c r="N206" s="62"/>
      <c r="O206" s="120"/>
      <c r="P206" s="120"/>
      <c r="Q206" s="121"/>
      <c r="R206" s="122"/>
      <c r="S206" s="62"/>
      <c r="T206" s="62"/>
      <c r="U206" s="114"/>
      <c r="V206" s="2"/>
      <c r="W206" s="37"/>
      <c r="X206" s="108"/>
      <c r="Y206" s="47"/>
      <c r="Z206" s="36"/>
    </row>
    <row r="207" spans="2:26" s="46" customFormat="1" ht="20.100000000000001" customHeight="1" x14ac:dyDescent="0.25">
      <c r="B207" s="14" t="s">
        <v>278</v>
      </c>
      <c r="C207" s="10"/>
      <c r="D207" s="10"/>
      <c r="E207" s="10"/>
      <c r="F207" s="10"/>
      <c r="G207" s="10"/>
      <c r="H207" s="123"/>
      <c r="I207" s="76"/>
      <c r="J207" s="124"/>
      <c r="K207" s="124"/>
      <c r="L207" s="124"/>
      <c r="M207" s="124"/>
      <c r="N207" s="62"/>
      <c r="O207" s="120"/>
      <c r="P207" s="120"/>
      <c r="Q207" s="11"/>
      <c r="R207" s="122"/>
      <c r="S207" s="62"/>
      <c r="T207" s="62"/>
      <c r="U207" s="114"/>
      <c r="V207" s="2"/>
      <c r="W207" s="37"/>
      <c r="X207" s="108"/>
      <c r="Y207" s="47"/>
      <c r="Z207" s="36"/>
    </row>
    <row r="208" spans="2:26" s="46" customFormat="1" ht="20.100000000000001" customHeight="1" x14ac:dyDescent="0.25">
      <c r="B208" s="718" t="s">
        <v>267</v>
      </c>
      <c r="C208" s="719"/>
      <c r="D208" s="719"/>
      <c r="E208" s="719"/>
      <c r="F208" s="719"/>
      <c r="G208" s="720"/>
      <c r="H208" s="112" t="s">
        <v>269</v>
      </c>
      <c r="I208" s="57" t="s">
        <v>38</v>
      </c>
      <c r="J208" s="881"/>
      <c r="K208" s="882"/>
      <c r="L208" s="882"/>
      <c r="M208" s="883"/>
      <c r="N208" s="62"/>
      <c r="O208" s="120"/>
      <c r="P208" s="120"/>
      <c r="Q208" s="11"/>
      <c r="R208" s="122"/>
      <c r="S208" s="62"/>
      <c r="T208" s="62"/>
      <c r="U208" s="114"/>
      <c r="V208" s="2"/>
      <c r="W208" s="37"/>
      <c r="X208" s="108"/>
      <c r="Y208" s="47"/>
      <c r="Z208" s="36"/>
    </row>
    <row r="209" spans="2:26" s="46" customFormat="1" ht="20.100000000000001" customHeight="1" x14ac:dyDescent="0.25">
      <c r="B209" s="718" t="s">
        <v>272</v>
      </c>
      <c r="C209" s="719"/>
      <c r="D209" s="719"/>
      <c r="E209" s="719"/>
      <c r="F209" s="719"/>
      <c r="G209" s="720"/>
      <c r="H209" s="112" t="s">
        <v>274</v>
      </c>
      <c r="I209" s="57" t="s">
        <v>200</v>
      </c>
      <c r="J209" s="360"/>
      <c r="K209" s="361"/>
      <c r="L209" s="361"/>
      <c r="M209" s="362"/>
      <c r="N209" s="62"/>
      <c r="O209" s="120"/>
      <c r="P209" s="120"/>
      <c r="Q209" s="11"/>
      <c r="R209" s="122"/>
      <c r="S209" s="62"/>
      <c r="T209" s="62"/>
      <c r="U209" s="114"/>
      <c r="V209" s="2"/>
      <c r="W209" s="37"/>
      <c r="X209" s="108"/>
      <c r="Y209" s="47"/>
      <c r="Z209" s="36"/>
    </row>
    <row r="210" spans="2:26" s="46" customFormat="1" ht="20.100000000000001" customHeight="1" x14ac:dyDescent="0.25">
      <c r="B210" s="718" t="s">
        <v>351</v>
      </c>
      <c r="C210" s="719"/>
      <c r="D210" s="719"/>
      <c r="E210" s="719"/>
      <c r="F210" s="719"/>
      <c r="G210" s="720"/>
      <c r="H210" s="57" t="s">
        <v>352</v>
      </c>
      <c r="I210" s="57" t="s">
        <v>123</v>
      </c>
      <c r="J210" s="881"/>
      <c r="K210" s="882"/>
      <c r="L210" s="882"/>
      <c r="M210" s="883"/>
      <c r="N210" s="62"/>
      <c r="O210" s="120"/>
      <c r="P210" s="120"/>
      <c r="Q210" s="11"/>
      <c r="R210" s="122"/>
      <c r="S210" s="62"/>
      <c r="T210" s="62"/>
      <c r="U210" s="114"/>
      <c r="V210" s="2"/>
      <c r="W210" s="37"/>
      <c r="X210" s="108"/>
      <c r="Y210" s="47"/>
      <c r="Z210" s="36"/>
    </row>
    <row r="211" spans="2:26" s="46" customFormat="1" ht="20.100000000000001" customHeight="1" x14ac:dyDescent="0.3">
      <c r="B211" s="664" t="s">
        <v>216</v>
      </c>
      <c r="C211" s="665"/>
      <c r="D211" s="665"/>
      <c r="E211" s="665"/>
      <c r="F211" s="665"/>
      <c r="G211" s="666"/>
      <c r="H211" s="79" t="s">
        <v>100</v>
      </c>
      <c r="I211" s="106" t="s">
        <v>228</v>
      </c>
      <c r="J211" s="881"/>
      <c r="K211" s="882"/>
      <c r="L211" s="882"/>
      <c r="M211" s="883"/>
      <c r="N211" s="62"/>
      <c r="O211" s="120"/>
      <c r="P211" s="120"/>
      <c r="Q211" s="11"/>
      <c r="R211" s="122"/>
      <c r="S211" s="62"/>
      <c r="T211" s="62"/>
      <c r="U211" s="114"/>
      <c r="V211" s="2"/>
      <c r="W211" s="37"/>
      <c r="X211" s="108"/>
      <c r="Y211" s="47"/>
      <c r="Z211" s="36"/>
    </row>
    <row r="212" spans="2:26" s="46" customFormat="1" ht="20.100000000000001" customHeight="1" x14ac:dyDescent="0.25">
      <c r="B212" s="664" t="s">
        <v>271</v>
      </c>
      <c r="C212" s="665"/>
      <c r="D212" s="665"/>
      <c r="E212" s="665"/>
      <c r="F212" s="665"/>
      <c r="G212" s="666"/>
      <c r="H212" s="241" t="s">
        <v>230</v>
      </c>
      <c r="I212" s="241" t="s">
        <v>227</v>
      </c>
      <c r="J212" s="881"/>
      <c r="K212" s="882"/>
      <c r="L212" s="882"/>
      <c r="M212" s="883"/>
      <c r="N212" s="62"/>
      <c r="O212" s="120"/>
      <c r="P212" s="120"/>
      <c r="Q212" s="11"/>
      <c r="R212" s="122"/>
      <c r="S212" s="62"/>
      <c r="T212" s="62"/>
      <c r="U212" s="114"/>
      <c r="V212" s="2"/>
      <c r="W212" s="37"/>
      <c r="X212" s="108"/>
      <c r="Y212" s="47"/>
      <c r="Z212" s="36"/>
    </row>
    <row r="213" spans="2:26" s="46" customFormat="1" ht="20.100000000000001" customHeight="1" x14ac:dyDescent="0.25">
      <c r="B213" s="664" t="s">
        <v>333</v>
      </c>
      <c r="C213" s="665"/>
      <c r="D213" s="665"/>
      <c r="E213" s="665"/>
      <c r="F213" s="665"/>
      <c r="G213" s="666"/>
      <c r="H213" s="112" t="s">
        <v>311</v>
      </c>
      <c r="I213" s="57" t="s">
        <v>310</v>
      </c>
      <c r="J213" s="881"/>
      <c r="K213" s="882"/>
      <c r="L213" s="882"/>
      <c r="M213" s="883"/>
      <c r="N213" s="155"/>
      <c r="O213" s="120"/>
      <c r="P213" s="120"/>
      <c r="Q213" s="11"/>
      <c r="R213" s="122"/>
      <c r="S213" s="62"/>
      <c r="T213" s="62"/>
      <c r="U213" s="114"/>
      <c r="V213" s="2"/>
      <c r="W213" s="37"/>
      <c r="X213" s="108"/>
      <c r="Y213" s="47"/>
      <c r="Z213" s="36"/>
    </row>
    <row r="214" spans="2:26" s="46" customFormat="1" ht="20.100000000000001" customHeight="1" x14ac:dyDescent="0.25">
      <c r="B214" s="718" t="s">
        <v>277</v>
      </c>
      <c r="C214" s="719"/>
      <c r="D214" s="719"/>
      <c r="E214" s="719"/>
      <c r="F214" s="719"/>
      <c r="G214" s="720"/>
      <c r="H214" s="112" t="s">
        <v>312</v>
      </c>
      <c r="I214" s="57" t="s">
        <v>275</v>
      </c>
      <c r="J214" s="881"/>
      <c r="K214" s="882"/>
      <c r="L214" s="882"/>
      <c r="M214" s="883"/>
      <c r="N214" s="62"/>
      <c r="O214" s="120"/>
      <c r="P214" s="120"/>
      <c r="Q214" s="11"/>
      <c r="R214" s="122"/>
      <c r="S214" s="62"/>
      <c r="T214" s="62"/>
      <c r="U214" s="114"/>
      <c r="V214" s="2"/>
      <c r="W214" s="37"/>
      <c r="X214" s="108"/>
      <c r="Y214" s="47"/>
      <c r="Z214" s="36"/>
    </row>
    <row r="215" spans="2:26" s="46" customFormat="1" ht="20.100000000000001" customHeight="1" x14ac:dyDescent="0.25">
      <c r="B215" s="718" t="s">
        <v>276</v>
      </c>
      <c r="C215" s="719"/>
      <c r="D215" s="719"/>
      <c r="E215" s="719"/>
      <c r="F215" s="719"/>
      <c r="G215" s="720"/>
      <c r="H215" s="112" t="s">
        <v>313</v>
      </c>
      <c r="I215" s="57" t="s">
        <v>275</v>
      </c>
      <c r="J215" s="881"/>
      <c r="K215" s="882"/>
      <c r="L215" s="882"/>
      <c r="M215" s="883"/>
      <c r="N215" s="62"/>
      <c r="O215" s="120"/>
      <c r="P215" s="120"/>
      <c r="Q215" s="11"/>
      <c r="R215" s="122"/>
      <c r="S215" s="62"/>
      <c r="T215" s="62"/>
      <c r="U215" s="114"/>
      <c r="V215" s="2"/>
      <c r="W215" s="37"/>
      <c r="X215" s="108"/>
      <c r="Y215" s="47"/>
      <c r="Z215" s="36"/>
    </row>
    <row r="216" spans="2:26" s="46" customFormat="1" ht="20.100000000000001" customHeight="1" x14ac:dyDescent="0.25">
      <c r="B216" s="717" t="s">
        <v>273</v>
      </c>
      <c r="C216" s="717"/>
      <c r="D216" s="717"/>
      <c r="E216" s="717"/>
      <c r="F216" s="717"/>
      <c r="G216" s="717"/>
      <c r="H216" s="57" t="s">
        <v>314</v>
      </c>
      <c r="I216" s="57" t="s">
        <v>201</v>
      </c>
      <c r="J216" s="924"/>
      <c r="K216" s="924"/>
      <c r="L216" s="924"/>
      <c r="M216" s="924"/>
      <c r="N216" s="62"/>
      <c r="O216" s="44"/>
      <c r="P216" s="44"/>
      <c r="Q216" s="11"/>
      <c r="R216" s="122"/>
      <c r="S216" s="62"/>
      <c r="T216" s="62"/>
      <c r="U216" s="114"/>
      <c r="V216" s="2"/>
      <c r="W216" s="37"/>
      <c r="X216" s="108"/>
      <c r="Y216" s="47"/>
      <c r="Z216" s="36"/>
    </row>
    <row r="217" spans="2:26" s="46" customFormat="1" ht="20.100000000000001" customHeight="1" x14ac:dyDescent="0.25">
      <c r="B217" s="10"/>
      <c r="C217" s="10"/>
      <c r="D217" s="10"/>
      <c r="E217" s="10"/>
      <c r="F217" s="10"/>
      <c r="G217" s="10"/>
      <c r="H217" s="76"/>
      <c r="I217" s="44"/>
      <c r="J217" s="44"/>
      <c r="K217" s="44"/>
      <c r="L217" s="44"/>
      <c r="M217" s="44"/>
      <c r="N217" s="62"/>
      <c r="O217" s="44"/>
      <c r="P217" s="44"/>
      <c r="Q217" s="11"/>
      <c r="R217" s="122"/>
      <c r="S217" s="62"/>
      <c r="T217" s="62"/>
      <c r="U217" s="110"/>
      <c r="V217" s="2"/>
      <c r="W217" s="37"/>
      <c r="X217" s="20"/>
      <c r="Y217" s="47"/>
      <c r="Z217" s="36"/>
    </row>
    <row r="218" spans="2:26" s="46" customFormat="1" ht="20.100000000000001" customHeight="1" x14ac:dyDescent="0.25">
      <c r="B218" s="32" t="s">
        <v>114</v>
      </c>
      <c r="C218" s="44"/>
      <c r="D218" s="52"/>
      <c r="E218" s="44"/>
      <c r="F218" s="48"/>
      <c r="G218" s="45"/>
      <c r="H218" s="49"/>
      <c r="I218" s="49"/>
      <c r="J218" s="2"/>
      <c r="K218" s="2"/>
      <c r="L218" s="37"/>
      <c r="M218" s="37"/>
      <c r="N218" s="37"/>
      <c r="O218" s="44"/>
      <c r="P218" s="44"/>
      <c r="Q218" s="11"/>
      <c r="R218" s="62"/>
      <c r="S218" s="62"/>
      <c r="T218" s="62"/>
      <c r="U218" s="110"/>
      <c r="V218" s="2"/>
      <c r="W218" s="37"/>
      <c r="X218" s="20"/>
      <c r="Y218" s="47"/>
      <c r="Z218" s="36"/>
    </row>
    <row r="219" spans="2:26" s="46" customFormat="1" ht="20.100000000000001" customHeight="1" x14ac:dyDescent="0.25">
      <c r="B219" s="718" t="s">
        <v>116</v>
      </c>
      <c r="C219" s="719"/>
      <c r="D219" s="719"/>
      <c r="E219" s="719"/>
      <c r="F219" s="719"/>
      <c r="G219" s="720"/>
      <c r="H219" s="57" t="s">
        <v>46</v>
      </c>
      <c r="I219" s="57" t="s">
        <v>3</v>
      </c>
      <c r="J219" s="924"/>
      <c r="K219" s="924"/>
      <c r="L219" s="924"/>
      <c r="M219" s="924"/>
      <c r="N219" s="37"/>
      <c r="O219" s="62"/>
      <c r="P219" s="62"/>
      <c r="Q219" s="62"/>
      <c r="R219" s="122"/>
      <c r="S219" s="62"/>
      <c r="T219" s="62"/>
      <c r="U219" s="110"/>
      <c r="V219" s="2"/>
      <c r="W219" s="37"/>
      <c r="X219" s="20"/>
      <c r="Y219" s="47"/>
      <c r="Z219" s="36"/>
    </row>
    <row r="220" spans="2:26" s="46" customFormat="1" ht="20.100000000000001" customHeight="1" x14ac:dyDescent="0.25">
      <c r="B220" s="718" t="s">
        <v>115</v>
      </c>
      <c r="C220" s="719"/>
      <c r="D220" s="719"/>
      <c r="E220" s="719"/>
      <c r="F220" s="719"/>
      <c r="G220" s="720"/>
      <c r="H220" s="57" t="s">
        <v>8</v>
      </c>
      <c r="I220" s="57"/>
      <c r="J220" s="924"/>
      <c r="K220" s="924"/>
      <c r="L220" s="924"/>
      <c r="M220" s="924"/>
      <c r="N220" s="37"/>
      <c r="O220" s="37"/>
      <c r="P220" s="37"/>
      <c r="Q220" s="37"/>
      <c r="R220" s="37"/>
      <c r="S220" s="37"/>
      <c r="T220" s="37"/>
      <c r="U220" s="110"/>
      <c r="V220" s="2"/>
      <c r="W220" s="37"/>
      <c r="X220" s="20"/>
      <c r="Y220" s="47"/>
      <c r="Z220" s="36"/>
    </row>
    <row r="221" spans="2:26" s="46" customFormat="1" ht="20.100000000000001" customHeight="1" x14ac:dyDescent="0.25">
      <c r="B221" s="718" t="s">
        <v>117</v>
      </c>
      <c r="C221" s="719"/>
      <c r="D221" s="719"/>
      <c r="E221" s="719"/>
      <c r="F221" s="719"/>
      <c r="G221" s="720"/>
      <c r="H221" s="57" t="s">
        <v>118</v>
      </c>
      <c r="I221" s="57"/>
      <c r="J221" s="924"/>
      <c r="K221" s="924"/>
      <c r="L221" s="924"/>
      <c r="M221" s="924"/>
      <c r="N221" s="37"/>
      <c r="O221" s="37"/>
      <c r="P221" s="37"/>
      <c r="Q221" s="37"/>
      <c r="R221" s="61"/>
      <c r="S221" s="37"/>
      <c r="T221" s="37"/>
      <c r="U221" s="52"/>
      <c r="V221" s="2"/>
      <c r="W221" s="37"/>
      <c r="X221" s="20"/>
      <c r="Y221" s="47"/>
      <c r="Z221" s="36"/>
    </row>
    <row r="222" spans="2:26" s="46" customFormat="1" ht="20.100000000000001" customHeight="1" x14ac:dyDescent="0.25">
      <c r="B222" s="717" t="s">
        <v>120</v>
      </c>
      <c r="C222" s="717"/>
      <c r="D222" s="717"/>
      <c r="E222" s="717"/>
      <c r="F222" s="717"/>
      <c r="G222" s="717"/>
      <c r="H222" s="57" t="s">
        <v>119</v>
      </c>
      <c r="I222" s="57" t="s">
        <v>3</v>
      </c>
      <c r="J222" s="924"/>
      <c r="K222" s="924"/>
      <c r="L222" s="924"/>
      <c r="M222" s="924"/>
      <c r="N222" s="37"/>
      <c r="O222" s="37"/>
      <c r="P222" s="37"/>
      <c r="Q222" s="37"/>
      <c r="R222" s="37"/>
      <c r="S222" s="37"/>
      <c r="T222" s="37"/>
      <c r="U222" s="52"/>
      <c r="V222" s="2"/>
      <c r="W222" s="37"/>
      <c r="X222" s="20"/>
      <c r="Y222" s="47"/>
      <c r="Z222" s="36"/>
    </row>
    <row r="223" spans="2:26" s="46" customFormat="1" ht="20.100000000000001" customHeight="1" x14ac:dyDescent="0.25">
      <c r="B223" s="32"/>
      <c r="C223" s="44"/>
      <c r="D223" s="52"/>
      <c r="E223" s="44"/>
      <c r="F223" s="48"/>
      <c r="G223" s="45"/>
      <c r="H223" s="49"/>
      <c r="I223" s="49"/>
      <c r="J223" s="2"/>
      <c r="K223" s="2"/>
      <c r="L223" s="37"/>
      <c r="M223" s="37"/>
      <c r="N223" s="37"/>
      <c r="O223" s="52"/>
      <c r="P223" s="114"/>
      <c r="Q223" s="2"/>
      <c r="R223" s="61"/>
      <c r="S223" s="37"/>
      <c r="T223" s="37"/>
      <c r="U223" s="52"/>
      <c r="V223" s="2"/>
      <c r="W223" s="37"/>
      <c r="X223" s="20"/>
      <c r="Y223" s="47"/>
      <c r="Z223" s="36"/>
    </row>
    <row r="224" spans="2:26" s="46" customFormat="1" ht="20.100000000000001" customHeight="1" x14ac:dyDescent="0.25">
      <c r="B224" s="32" t="s">
        <v>454</v>
      </c>
      <c r="C224" s="44"/>
      <c r="D224" s="54"/>
      <c r="E224" s="44"/>
      <c r="F224" s="48"/>
      <c r="G224" s="45"/>
      <c r="H224" s="49"/>
      <c r="I224" s="49"/>
      <c r="J224" s="2"/>
      <c r="K224" s="2"/>
      <c r="L224" s="37"/>
      <c r="M224" s="37"/>
      <c r="N224" s="37"/>
      <c r="O224" s="54"/>
      <c r="P224" s="114"/>
      <c r="Q224" s="2"/>
      <c r="R224" s="37"/>
      <c r="S224" s="37"/>
      <c r="T224" s="37"/>
      <c r="U224" s="54"/>
      <c r="V224" s="2"/>
      <c r="W224" s="37"/>
      <c r="X224" s="20"/>
      <c r="Y224" s="47"/>
      <c r="Z224" s="36"/>
    </row>
    <row r="225" spans="2:26" s="46" customFormat="1" ht="20.100000000000001" customHeight="1" x14ac:dyDescent="0.25">
      <c r="B225" s="718" t="s">
        <v>351</v>
      </c>
      <c r="C225" s="719"/>
      <c r="D225" s="719"/>
      <c r="E225" s="719"/>
      <c r="F225" s="719"/>
      <c r="G225" s="720"/>
      <c r="H225" s="57" t="s">
        <v>352</v>
      </c>
      <c r="I225" s="57" t="s">
        <v>123</v>
      </c>
      <c r="J225" s="915"/>
      <c r="K225" s="916"/>
      <c r="L225" s="916"/>
      <c r="M225" s="917"/>
      <c r="N225" s="37"/>
      <c r="O225" s="114"/>
      <c r="P225" s="114"/>
      <c r="Q225" s="2"/>
      <c r="R225" s="37"/>
      <c r="S225" s="37"/>
      <c r="T225" s="37"/>
      <c r="U225" s="114"/>
      <c r="V225" s="2"/>
      <c r="W225" s="37"/>
      <c r="X225" s="108"/>
      <c r="Y225" s="47"/>
      <c r="Z225" s="36"/>
    </row>
    <row r="226" spans="2:26" s="46" customFormat="1" ht="20.100000000000001" customHeight="1" x14ac:dyDescent="0.3">
      <c r="B226" s="664" t="s">
        <v>165</v>
      </c>
      <c r="C226" s="665"/>
      <c r="D226" s="665"/>
      <c r="E226" s="665"/>
      <c r="F226" s="665"/>
      <c r="G226" s="666"/>
      <c r="H226" s="79" t="s">
        <v>166</v>
      </c>
      <c r="I226" s="57" t="s">
        <v>3</v>
      </c>
      <c r="J226" s="915"/>
      <c r="K226" s="916"/>
      <c r="L226" s="916"/>
      <c r="M226" s="917"/>
      <c r="N226" s="37"/>
      <c r="O226" s="114"/>
      <c r="P226" s="114"/>
      <c r="Q226" s="2"/>
      <c r="R226" s="37"/>
      <c r="S226" s="37"/>
      <c r="T226" s="37"/>
      <c r="U226" s="114"/>
      <c r="V226" s="2"/>
      <c r="W226" s="37"/>
      <c r="X226" s="108"/>
      <c r="Y226" s="47"/>
      <c r="Z226" s="36"/>
    </row>
    <row r="227" spans="2:26" s="46" customFormat="1" ht="20.100000000000001" customHeight="1" x14ac:dyDescent="0.25">
      <c r="B227" s="698" t="s">
        <v>353</v>
      </c>
      <c r="C227" s="699"/>
      <c r="D227" s="699"/>
      <c r="E227" s="699"/>
      <c r="F227" s="699"/>
      <c r="G227" s="700"/>
      <c r="H227" s="746" t="s">
        <v>354</v>
      </c>
      <c r="I227" s="746" t="s">
        <v>3</v>
      </c>
      <c r="J227" s="918"/>
      <c r="K227" s="919"/>
      <c r="L227" s="919"/>
      <c r="M227" s="920"/>
      <c r="N227" s="37"/>
      <c r="O227" s="201"/>
      <c r="P227" s="201"/>
      <c r="Q227" s="2"/>
      <c r="R227" s="37"/>
      <c r="S227" s="37"/>
      <c r="T227" s="37"/>
      <c r="U227" s="201"/>
      <c r="V227" s="2"/>
      <c r="W227" s="37"/>
      <c r="X227" s="108"/>
      <c r="Y227" s="47"/>
      <c r="Z227" s="36"/>
    </row>
    <row r="228" spans="2:26" s="46" customFormat="1" ht="20.100000000000001" customHeight="1" x14ac:dyDescent="0.25">
      <c r="B228" s="704"/>
      <c r="C228" s="705"/>
      <c r="D228" s="705"/>
      <c r="E228" s="705"/>
      <c r="F228" s="705"/>
      <c r="G228" s="706"/>
      <c r="H228" s="747"/>
      <c r="I228" s="747"/>
      <c r="J228" s="921"/>
      <c r="K228" s="922"/>
      <c r="L228" s="922"/>
      <c r="M228" s="923"/>
      <c r="N228" s="37"/>
      <c r="O228" s="114"/>
      <c r="P228" s="114"/>
      <c r="Q228" s="2"/>
      <c r="R228" s="37"/>
      <c r="S228" s="37"/>
      <c r="T228" s="37"/>
      <c r="U228" s="114"/>
      <c r="V228" s="2"/>
      <c r="W228" s="37"/>
      <c r="X228" s="108"/>
      <c r="Y228" s="47"/>
      <c r="Z228" s="36"/>
    </row>
    <row r="229" spans="2:26" s="46" customFormat="1" ht="20.100000000000001" customHeight="1" x14ac:dyDescent="0.25">
      <c r="B229" s="32"/>
      <c r="C229" s="44"/>
      <c r="D229" s="54"/>
      <c r="E229" s="44"/>
      <c r="F229" s="48"/>
      <c r="G229" s="45"/>
      <c r="H229" s="49"/>
      <c r="I229" s="49"/>
      <c r="J229" s="2"/>
      <c r="K229" s="2"/>
      <c r="L229" s="37"/>
      <c r="M229" s="37"/>
      <c r="N229" s="37"/>
      <c r="O229" s="54"/>
      <c r="P229" s="114"/>
      <c r="Q229" s="2"/>
      <c r="R229" s="37"/>
      <c r="S229" s="37"/>
      <c r="T229" s="37"/>
      <c r="U229" s="54"/>
      <c r="V229" s="2"/>
      <c r="W229" s="37"/>
      <c r="X229" s="20"/>
      <c r="Y229" s="47"/>
      <c r="Z229" s="36"/>
    </row>
    <row r="230" spans="2:26" s="46" customFormat="1" ht="20.100000000000001" customHeight="1" x14ac:dyDescent="0.25">
      <c r="B230" s="32" t="s">
        <v>455</v>
      </c>
      <c r="C230" s="44"/>
      <c r="D230" s="1"/>
      <c r="E230" s="45"/>
      <c r="F230" s="1"/>
      <c r="G230" s="1"/>
      <c r="H230" s="37"/>
      <c r="I230" s="2"/>
      <c r="J230" s="2"/>
      <c r="K230" s="2"/>
      <c r="L230" s="37"/>
      <c r="M230" s="37"/>
      <c r="N230" s="37"/>
      <c r="O230" s="1"/>
      <c r="P230" s="114"/>
      <c r="Q230" s="2"/>
      <c r="R230" s="61"/>
      <c r="S230" s="37"/>
      <c r="T230" s="37"/>
      <c r="U230" s="1"/>
      <c r="V230" s="2"/>
      <c r="W230" s="37"/>
      <c r="X230" s="20"/>
      <c r="Y230" s="47"/>
      <c r="Z230" s="36"/>
    </row>
    <row r="231" spans="2:26" s="46" customFormat="1" ht="20.100000000000001" customHeight="1" x14ac:dyDescent="0.25">
      <c r="B231" s="718" t="s">
        <v>351</v>
      </c>
      <c r="C231" s="719"/>
      <c r="D231" s="719"/>
      <c r="E231" s="719"/>
      <c r="F231" s="719"/>
      <c r="G231" s="720"/>
      <c r="H231" s="270" t="s">
        <v>352</v>
      </c>
      <c r="I231" s="57" t="s">
        <v>5</v>
      </c>
      <c r="J231" s="915"/>
      <c r="K231" s="916"/>
      <c r="L231" s="916"/>
      <c r="M231" s="917"/>
      <c r="N231" s="37"/>
      <c r="O231" s="114"/>
      <c r="P231" s="114"/>
      <c r="Q231" s="2"/>
      <c r="R231" s="61"/>
      <c r="S231" s="37"/>
      <c r="T231" s="37"/>
      <c r="U231" s="114"/>
      <c r="V231" s="2"/>
      <c r="W231" s="37"/>
      <c r="X231" s="108"/>
      <c r="Y231" s="47"/>
      <c r="Z231" s="36"/>
    </row>
    <row r="232" spans="2:26" s="46" customFormat="1" ht="20.100000000000001" customHeight="1" x14ac:dyDescent="0.25">
      <c r="B232" s="718" t="s">
        <v>355</v>
      </c>
      <c r="C232" s="719"/>
      <c r="D232" s="719"/>
      <c r="E232" s="719"/>
      <c r="F232" s="719"/>
      <c r="G232" s="720"/>
      <c r="H232" s="153" t="s">
        <v>44</v>
      </c>
      <c r="I232" s="153"/>
      <c r="J232" s="915"/>
      <c r="K232" s="916"/>
      <c r="L232" s="916"/>
      <c r="M232" s="917"/>
      <c r="N232" s="37"/>
      <c r="O232" s="114"/>
      <c r="P232" s="114"/>
      <c r="Q232" s="2"/>
      <c r="R232" s="61"/>
      <c r="S232" s="37"/>
      <c r="T232" s="37"/>
      <c r="U232" s="114"/>
      <c r="V232" s="2"/>
      <c r="W232" s="37"/>
      <c r="X232" s="108"/>
      <c r="Y232" s="47"/>
      <c r="Z232" s="36"/>
    </row>
    <row r="233" spans="2:26" s="46" customFormat="1" ht="20.100000000000001" customHeight="1" x14ac:dyDescent="0.25">
      <c r="B233" s="718" t="s">
        <v>251</v>
      </c>
      <c r="C233" s="719"/>
      <c r="D233" s="719"/>
      <c r="E233" s="719"/>
      <c r="F233" s="719"/>
      <c r="G233" s="720"/>
      <c r="H233" s="270" t="s">
        <v>262</v>
      </c>
      <c r="I233" s="153"/>
      <c r="J233" s="915"/>
      <c r="K233" s="916"/>
      <c r="L233" s="916"/>
      <c r="M233" s="917"/>
      <c r="N233" s="37"/>
      <c r="O233" s="114"/>
      <c r="P233" s="114"/>
      <c r="Q233" s="2"/>
      <c r="R233" s="61"/>
      <c r="S233" s="37"/>
      <c r="T233" s="37"/>
      <c r="U233" s="114"/>
      <c r="V233" s="2"/>
      <c r="W233" s="37"/>
      <c r="X233" s="108"/>
      <c r="Y233" s="47"/>
      <c r="Z233" s="36"/>
    </row>
    <row r="234" spans="2:26" s="46" customFormat="1" ht="20.100000000000001" customHeight="1" x14ac:dyDescent="0.25">
      <c r="B234" s="738" t="s">
        <v>357</v>
      </c>
      <c r="C234" s="739"/>
      <c r="D234" s="739"/>
      <c r="E234" s="739"/>
      <c r="F234" s="739"/>
      <c r="G234" s="740"/>
      <c r="H234" s="814" t="s">
        <v>358</v>
      </c>
      <c r="I234" s="746" t="s">
        <v>3</v>
      </c>
      <c r="J234" s="918"/>
      <c r="K234" s="919"/>
      <c r="L234" s="919"/>
      <c r="M234" s="920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20"/>
      <c r="Y234" s="47"/>
      <c r="Z234" s="36"/>
    </row>
    <row r="235" spans="2:26" s="46" customFormat="1" ht="20.100000000000001" customHeight="1" x14ac:dyDescent="0.25">
      <c r="B235" s="741"/>
      <c r="C235" s="742"/>
      <c r="D235" s="742"/>
      <c r="E235" s="742"/>
      <c r="F235" s="742"/>
      <c r="G235" s="743"/>
      <c r="H235" s="815"/>
      <c r="I235" s="747"/>
      <c r="J235" s="921"/>
      <c r="K235" s="922"/>
      <c r="L235" s="922"/>
      <c r="M235" s="923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108"/>
      <c r="Y235" s="47"/>
      <c r="Z235" s="36"/>
    </row>
    <row r="236" spans="2:26" s="46" customFormat="1" ht="20.100000000000001" customHeight="1" x14ac:dyDescent="0.25">
      <c r="B236" s="26"/>
      <c r="C236" s="26"/>
      <c r="D236" s="26"/>
      <c r="E236" s="26"/>
      <c r="F236" s="27"/>
      <c r="G236" s="28"/>
      <c r="H236" s="29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108"/>
      <c r="Y236" s="47"/>
      <c r="Z236" s="36"/>
    </row>
    <row r="237" spans="2:26" s="46" customFormat="1" ht="20.100000000000001" customHeight="1" x14ac:dyDescent="0.25">
      <c r="B237" s="32" t="s">
        <v>306</v>
      </c>
      <c r="C237" s="26"/>
      <c r="D237" s="26"/>
      <c r="E237" s="26"/>
      <c r="F237" s="27"/>
      <c r="G237" s="28"/>
      <c r="H237" s="29"/>
      <c r="I237" s="37"/>
      <c r="J237" s="37"/>
      <c r="K237" s="37"/>
      <c r="L237" s="37"/>
      <c r="M237" s="37"/>
      <c r="N237" s="37"/>
      <c r="O237" s="32"/>
      <c r="P237" s="37"/>
      <c r="Q237" s="37"/>
      <c r="R237" s="37"/>
      <c r="S237" s="37"/>
      <c r="T237" s="37"/>
      <c r="U237" s="37"/>
      <c r="V237" s="37"/>
      <c r="W237" s="37"/>
      <c r="X237" s="108"/>
      <c r="Y237" s="47"/>
      <c r="Z237" s="36"/>
    </row>
    <row r="238" spans="2:26" s="46" customFormat="1" ht="20.100000000000001" customHeight="1" x14ac:dyDescent="0.25">
      <c r="B238" s="718" t="s">
        <v>307</v>
      </c>
      <c r="C238" s="719"/>
      <c r="D238" s="719"/>
      <c r="E238" s="719"/>
      <c r="F238" s="719"/>
      <c r="G238" s="720"/>
      <c r="H238" s="913" t="s">
        <v>282</v>
      </c>
      <c r="I238" s="914"/>
      <c r="J238" s="714"/>
      <c r="K238" s="715"/>
      <c r="L238" s="715"/>
      <c r="M238" s="716"/>
      <c r="N238" s="37"/>
      <c r="O238" s="162"/>
      <c r="P238" s="162"/>
      <c r="Q238" s="162"/>
      <c r="R238" s="162"/>
      <c r="S238" s="37"/>
      <c r="T238" s="37"/>
      <c r="U238" s="37"/>
      <c r="V238" s="37"/>
      <c r="W238" s="37"/>
      <c r="X238" s="108"/>
      <c r="Y238" s="47"/>
      <c r="Z238" s="36"/>
    </row>
    <row r="239" spans="2:26" s="46" customFormat="1" ht="20.100000000000001" customHeight="1" x14ac:dyDescent="0.25">
      <c r="B239" s="718" t="s">
        <v>320</v>
      </c>
      <c r="C239" s="719"/>
      <c r="D239" s="719"/>
      <c r="E239" s="719"/>
      <c r="F239" s="719"/>
      <c r="G239" s="720"/>
      <c r="H239" s="240" t="s">
        <v>326</v>
      </c>
      <c r="I239" s="106" t="s">
        <v>125</v>
      </c>
      <c r="J239" s="363"/>
      <c r="K239" s="364"/>
      <c r="L239" s="364"/>
      <c r="M239" s="365"/>
      <c r="N239" s="37"/>
      <c r="O239" s="162"/>
      <c r="P239" s="162"/>
      <c r="Q239" s="162"/>
      <c r="R239" s="162"/>
      <c r="S239" s="37"/>
      <c r="T239" s="37"/>
      <c r="U239" s="37"/>
      <c r="V239" s="37"/>
      <c r="W239" s="37"/>
      <c r="X239" s="108"/>
      <c r="Y239" s="47"/>
      <c r="Z239" s="36"/>
    </row>
    <row r="240" spans="2:26" s="46" customFormat="1" ht="20.100000000000001" customHeight="1" x14ac:dyDescent="0.25">
      <c r="B240" s="718" t="s">
        <v>327</v>
      </c>
      <c r="C240" s="719"/>
      <c r="D240" s="719"/>
      <c r="E240" s="719"/>
      <c r="F240" s="719"/>
      <c r="G240" s="720"/>
      <c r="H240" s="240" t="s">
        <v>328</v>
      </c>
      <c r="I240" s="106" t="s">
        <v>3</v>
      </c>
      <c r="J240" s="363"/>
      <c r="K240" s="364"/>
      <c r="L240" s="364"/>
      <c r="M240" s="365"/>
      <c r="N240" s="37"/>
      <c r="O240" s="162"/>
      <c r="P240" s="162"/>
      <c r="Q240" s="162"/>
      <c r="R240" s="162"/>
      <c r="S240" s="37"/>
      <c r="T240" s="37"/>
      <c r="U240" s="37"/>
      <c r="V240" s="37"/>
      <c r="W240" s="37"/>
      <c r="X240" s="108"/>
      <c r="Y240" s="47"/>
      <c r="Z240" s="36"/>
    </row>
    <row r="241" spans="2:26" s="46" customFormat="1" ht="20.100000000000001" customHeight="1" x14ac:dyDescent="0.25">
      <c r="B241" s="718" t="s">
        <v>308</v>
      </c>
      <c r="C241" s="719"/>
      <c r="D241" s="719"/>
      <c r="E241" s="719"/>
      <c r="F241" s="719"/>
      <c r="G241" s="720"/>
      <c r="H241" s="240" t="s">
        <v>316</v>
      </c>
      <c r="I241" s="106" t="str">
        <f>IF($H$238=$BP$9,"pulgadas",IF($H$238=$BP$10,"pulgadas",IF($H$238=$BP$11,"mm",IF($H$238=$BP$12,"mm",IF($H$238=$BP$13,"mm",IF($H$238=$BP$14,"mm",IF($H$238=$BP$15,"pulgadas",IF($H$238=$BP$16,"pulgadas",""))))))))</f>
        <v>pulgadas</v>
      </c>
      <c r="J241" s="714"/>
      <c r="K241" s="715"/>
      <c r="L241" s="715"/>
      <c r="M241" s="716"/>
      <c r="N241" s="37"/>
      <c r="O241" s="162"/>
      <c r="P241" s="162"/>
      <c r="Q241" s="162"/>
      <c r="R241" s="162"/>
      <c r="S241" s="37"/>
      <c r="T241" s="37"/>
      <c r="U241" s="37"/>
      <c r="V241" s="37"/>
      <c r="W241" s="37"/>
      <c r="X241" s="108"/>
      <c r="Y241" s="47"/>
      <c r="Z241" s="36"/>
    </row>
    <row r="242" spans="2:26" s="46" customFormat="1" ht="20.100000000000001" customHeight="1" x14ac:dyDescent="0.25">
      <c r="B242" s="718" t="s">
        <v>309</v>
      </c>
      <c r="C242" s="719"/>
      <c r="D242" s="719"/>
      <c r="E242" s="719"/>
      <c r="F242" s="719"/>
      <c r="G242" s="720"/>
      <c r="H242" s="240" t="s">
        <v>317</v>
      </c>
      <c r="I242" s="106" t="s">
        <v>3</v>
      </c>
      <c r="J242" s="714"/>
      <c r="K242" s="715"/>
      <c r="L242" s="715"/>
      <c r="M242" s="716"/>
      <c r="N242" s="37"/>
      <c r="O242" s="115"/>
      <c r="P242" s="895"/>
      <c r="Q242" s="895"/>
      <c r="R242" s="114"/>
      <c r="S242" s="157"/>
      <c r="T242" s="157"/>
      <c r="U242" s="37"/>
      <c r="V242" s="37"/>
      <c r="W242" s="37"/>
      <c r="X242" s="108"/>
      <c r="Y242" s="47"/>
      <c r="Z242" s="36"/>
    </row>
    <row r="243" spans="2:26" s="46" customFormat="1" ht="20.100000000000001" customHeight="1" x14ac:dyDescent="0.25">
      <c r="B243" s="698" t="s">
        <v>315</v>
      </c>
      <c r="C243" s="699"/>
      <c r="D243" s="699"/>
      <c r="E243" s="699"/>
      <c r="F243" s="699"/>
      <c r="G243" s="700"/>
      <c r="H243" s="814" t="s">
        <v>318</v>
      </c>
      <c r="I243" s="707" t="s">
        <v>5</v>
      </c>
      <c r="J243" s="701"/>
      <c r="K243" s="702"/>
      <c r="L243" s="702"/>
      <c r="M243" s="703"/>
      <c r="N243" s="37"/>
      <c r="O243" s="158"/>
      <c r="P243" s="895"/>
      <c r="Q243" s="895"/>
      <c r="R243" s="114"/>
      <c r="S243" s="157"/>
      <c r="T243" s="157"/>
      <c r="U243" s="37"/>
      <c r="V243" s="37"/>
      <c r="W243" s="37"/>
      <c r="X243" s="108"/>
      <c r="Y243" s="47"/>
      <c r="Z243" s="36"/>
    </row>
    <row r="244" spans="2:26" s="46" customFormat="1" ht="20.100000000000001" customHeight="1" x14ac:dyDescent="0.25">
      <c r="B244" s="704"/>
      <c r="C244" s="705"/>
      <c r="D244" s="705"/>
      <c r="E244" s="705"/>
      <c r="F244" s="705"/>
      <c r="G244" s="706"/>
      <c r="H244" s="815"/>
      <c r="I244" s="708"/>
      <c r="J244" s="711"/>
      <c r="K244" s="712"/>
      <c r="L244" s="712"/>
      <c r="M244" s="713"/>
      <c r="N244" s="37"/>
      <c r="O244" s="158"/>
      <c r="P244" s="895"/>
      <c r="Q244" s="895"/>
      <c r="R244" s="114"/>
      <c r="S244" s="157"/>
      <c r="T244" s="157"/>
      <c r="U244" s="37"/>
      <c r="V244" s="37"/>
      <c r="W244" s="37"/>
      <c r="X244" s="108"/>
      <c r="Y244" s="47"/>
      <c r="Z244" s="36"/>
    </row>
    <row r="245" spans="2:26" s="46" customFormat="1" ht="20.100000000000001" customHeight="1" x14ac:dyDescent="0.25">
      <c r="B245" s="698" t="s">
        <v>344</v>
      </c>
      <c r="C245" s="699"/>
      <c r="D245" s="699"/>
      <c r="E245" s="699"/>
      <c r="F245" s="699"/>
      <c r="G245" s="700"/>
      <c r="H245" s="814"/>
      <c r="I245" s="707" t="s">
        <v>3</v>
      </c>
      <c r="J245" s="701"/>
      <c r="K245" s="702"/>
      <c r="L245" s="702"/>
      <c r="M245" s="703"/>
      <c r="N245" s="37"/>
      <c r="O245" s="158"/>
      <c r="P245" s="201"/>
      <c r="Q245" s="201"/>
      <c r="R245" s="201"/>
      <c r="S245" s="157"/>
      <c r="T245" s="157"/>
      <c r="U245" s="37"/>
      <c r="V245" s="37"/>
      <c r="W245" s="37"/>
      <c r="X245" s="108"/>
      <c r="Y245" s="47"/>
      <c r="Z245" s="36"/>
    </row>
    <row r="246" spans="2:26" s="46" customFormat="1" ht="20.100000000000001" customHeight="1" x14ac:dyDescent="0.25">
      <c r="B246" s="704"/>
      <c r="C246" s="705"/>
      <c r="D246" s="705"/>
      <c r="E246" s="705"/>
      <c r="F246" s="705"/>
      <c r="G246" s="706"/>
      <c r="H246" s="815"/>
      <c r="I246" s="708"/>
      <c r="J246" s="711"/>
      <c r="K246" s="712"/>
      <c r="L246" s="712"/>
      <c r="M246" s="713"/>
      <c r="N246" s="37"/>
      <c r="O246" s="158"/>
      <c r="P246" s="201"/>
      <c r="Q246" s="201"/>
      <c r="R246" s="201"/>
      <c r="S246" s="157"/>
      <c r="T246" s="157"/>
      <c r="U246" s="37"/>
      <c r="V246" s="37"/>
      <c r="W246" s="37"/>
      <c r="X246" s="108"/>
      <c r="Y246" s="47"/>
      <c r="Z246" s="36"/>
    </row>
    <row r="247" spans="2:26" s="46" customFormat="1" ht="20.100000000000001" customHeight="1" x14ac:dyDescent="0.25">
      <c r="B247" s="664" t="s">
        <v>769</v>
      </c>
      <c r="C247" s="665"/>
      <c r="D247" s="665"/>
      <c r="E247" s="665"/>
      <c r="F247" s="665"/>
      <c r="G247" s="666"/>
      <c r="H247" s="17" t="s">
        <v>2</v>
      </c>
      <c r="I247" s="78" t="s">
        <v>164</v>
      </c>
      <c r="J247" s="714"/>
      <c r="K247" s="715"/>
      <c r="L247" s="715"/>
      <c r="M247" s="716"/>
      <c r="N247" s="37"/>
      <c r="O247" s="158"/>
      <c r="P247" s="895"/>
      <c r="Q247" s="895"/>
      <c r="R247" s="114"/>
      <c r="S247" s="157"/>
      <c r="T247" s="157"/>
      <c r="U247" s="37"/>
      <c r="V247" s="37"/>
      <c r="W247" s="37"/>
      <c r="X247" s="108"/>
      <c r="Y247" s="47"/>
      <c r="Z247" s="36"/>
    </row>
    <row r="248" spans="2:26" s="46" customFormat="1" ht="20.100000000000001" customHeight="1" x14ac:dyDescent="0.25">
      <c r="B248" s="698" t="s">
        <v>53</v>
      </c>
      <c r="C248" s="699"/>
      <c r="D248" s="699"/>
      <c r="E248" s="699"/>
      <c r="F248" s="699"/>
      <c r="G248" s="700"/>
      <c r="H248" s="707" t="s">
        <v>1</v>
      </c>
      <c r="I248" s="727"/>
      <c r="J248" s="805"/>
      <c r="K248" s="806"/>
      <c r="L248" s="806"/>
      <c r="M248" s="807"/>
      <c r="N248" s="37"/>
      <c r="O248" s="158"/>
      <c r="P248" s="895"/>
      <c r="Q248" s="895"/>
      <c r="R248" s="114"/>
      <c r="S248" s="157"/>
      <c r="T248" s="157"/>
      <c r="U248" s="37"/>
      <c r="V248" s="37"/>
      <c r="W248" s="37"/>
      <c r="X248" s="108"/>
      <c r="Y248" s="47"/>
      <c r="Z248" s="36"/>
    </row>
    <row r="249" spans="2:26" s="46" customFormat="1" ht="20.100000000000001" customHeight="1" x14ac:dyDescent="0.25">
      <c r="B249" s="704"/>
      <c r="C249" s="705"/>
      <c r="D249" s="705"/>
      <c r="E249" s="705"/>
      <c r="F249" s="705"/>
      <c r="G249" s="706"/>
      <c r="H249" s="708"/>
      <c r="I249" s="728"/>
      <c r="J249" s="808"/>
      <c r="K249" s="809"/>
      <c r="L249" s="809"/>
      <c r="M249" s="810"/>
      <c r="N249" s="37"/>
      <c r="O249" s="156"/>
      <c r="P249" s="156"/>
      <c r="Q249" s="37"/>
      <c r="R249" s="37"/>
      <c r="S249" s="37"/>
      <c r="T249" s="37"/>
      <c r="U249" s="37"/>
      <c r="V249" s="37"/>
      <c r="W249" s="37"/>
      <c r="X249" s="108"/>
      <c r="Y249" s="47"/>
      <c r="Z249" s="36"/>
    </row>
    <row r="250" spans="2:26" s="46" customFormat="1" ht="20.100000000000001" customHeight="1" x14ac:dyDescent="0.25">
      <c r="B250" s="664" t="s">
        <v>321</v>
      </c>
      <c r="C250" s="665"/>
      <c r="D250" s="665"/>
      <c r="E250" s="665"/>
      <c r="F250" s="665"/>
      <c r="G250" s="666"/>
      <c r="H250" s="233" t="s">
        <v>319</v>
      </c>
      <c r="I250" s="236"/>
      <c r="J250" s="366"/>
      <c r="K250" s="367"/>
      <c r="L250" s="367"/>
      <c r="M250" s="368"/>
      <c r="N250" s="37"/>
      <c r="O250" s="156"/>
      <c r="P250" s="156"/>
      <c r="Q250" s="37"/>
      <c r="R250" s="37"/>
      <c r="S250" s="37"/>
      <c r="T250" s="37"/>
      <c r="U250" s="37"/>
      <c r="V250" s="37"/>
      <c r="W250" s="37"/>
      <c r="X250" s="108"/>
      <c r="Y250" s="47"/>
      <c r="Z250" s="36"/>
    </row>
    <row r="251" spans="2:26" s="46" customFormat="1" ht="20.100000000000001" customHeight="1" x14ac:dyDescent="0.25">
      <c r="B251" s="698" t="s">
        <v>322</v>
      </c>
      <c r="C251" s="699"/>
      <c r="D251" s="699"/>
      <c r="E251" s="699"/>
      <c r="F251" s="699"/>
      <c r="G251" s="700"/>
      <c r="H251" s="707" t="s">
        <v>319</v>
      </c>
      <c r="I251" s="727"/>
      <c r="J251" s="835"/>
      <c r="K251" s="836"/>
      <c r="L251" s="836"/>
      <c r="M251" s="837"/>
      <c r="N251" s="37"/>
      <c r="O251" s="156"/>
      <c r="P251" s="156"/>
      <c r="Q251" s="37"/>
      <c r="R251" s="37"/>
      <c r="S251" s="37"/>
      <c r="T251" s="37"/>
      <c r="U251" s="37"/>
      <c r="V251" s="37"/>
      <c r="W251" s="37"/>
      <c r="X251" s="108"/>
      <c r="Y251" s="47"/>
      <c r="Z251" s="36"/>
    </row>
    <row r="252" spans="2:26" s="46" customFormat="1" ht="20.100000000000001" customHeight="1" x14ac:dyDescent="0.25">
      <c r="B252" s="704"/>
      <c r="C252" s="705"/>
      <c r="D252" s="705"/>
      <c r="E252" s="705"/>
      <c r="F252" s="705"/>
      <c r="G252" s="706"/>
      <c r="H252" s="708"/>
      <c r="I252" s="728"/>
      <c r="J252" s="838"/>
      <c r="K252" s="839"/>
      <c r="L252" s="839"/>
      <c r="M252" s="840"/>
      <c r="N252" s="37"/>
      <c r="O252" s="156"/>
      <c r="P252" s="156"/>
      <c r="Q252" s="37"/>
      <c r="R252" s="37"/>
      <c r="S252" s="37"/>
      <c r="T252" s="37"/>
      <c r="U252" s="37"/>
      <c r="V252" s="37"/>
      <c r="W252" s="37"/>
      <c r="X252" s="108"/>
      <c r="Y252" s="47"/>
      <c r="Z252" s="36"/>
    </row>
    <row r="253" spans="2:26" s="46" customFormat="1" ht="20.100000000000001" customHeight="1" x14ac:dyDescent="0.25">
      <c r="B253" s="664" t="s">
        <v>323</v>
      </c>
      <c r="C253" s="665"/>
      <c r="D253" s="665"/>
      <c r="E253" s="665"/>
      <c r="F253" s="665"/>
      <c r="G253" s="666"/>
      <c r="H253" s="233" t="s">
        <v>319</v>
      </c>
      <c r="I253" s="236"/>
      <c r="J253" s="366"/>
      <c r="K253" s="367"/>
      <c r="L253" s="367"/>
      <c r="M253" s="368"/>
      <c r="N253" s="37"/>
      <c r="O253" s="156"/>
      <c r="P253" s="156"/>
      <c r="Q253" s="37"/>
      <c r="R253" s="37"/>
      <c r="S253" s="37"/>
      <c r="T253" s="37"/>
      <c r="U253" s="37"/>
      <c r="V253" s="37"/>
      <c r="W253" s="37"/>
      <c r="X253" s="108"/>
      <c r="Y253" s="47"/>
      <c r="Z253" s="36"/>
    </row>
    <row r="254" spans="2:26" s="46" customFormat="1" ht="20.100000000000001" customHeight="1" x14ac:dyDescent="0.25">
      <c r="B254" s="664" t="s">
        <v>324</v>
      </c>
      <c r="C254" s="665"/>
      <c r="D254" s="665"/>
      <c r="E254" s="665"/>
      <c r="F254" s="665"/>
      <c r="G254" s="666"/>
      <c r="H254" s="233" t="s">
        <v>319</v>
      </c>
      <c r="I254" s="236"/>
      <c r="J254" s="366"/>
      <c r="K254" s="367"/>
      <c r="L254" s="367"/>
      <c r="M254" s="368"/>
      <c r="N254" s="37"/>
      <c r="O254" s="156"/>
      <c r="P254" s="156"/>
      <c r="Q254" s="37"/>
      <c r="R254" s="37"/>
      <c r="S254" s="37"/>
      <c r="T254" s="37"/>
      <c r="U254" s="37"/>
      <c r="V254" s="37"/>
      <c r="W254" s="37"/>
      <c r="X254" s="108"/>
      <c r="Y254" s="47"/>
      <c r="Z254" s="36"/>
    </row>
    <row r="255" spans="2:26" s="46" customFormat="1" ht="20.100000000000001" customHeight="1" x14ac:dyDescent="0.25">
      <c r="B255" s="664" t="s">
        <v>325</v>
      </c>
      <c r="C255" s="665"/>
      <c r="D255" s="665"/>
      <c r="E255" s="665"/>
      <c r="F255" s="665"/>
      <c r="G255" s="666"/>
      <c r="H255" s="233" t="s">
        <v>319</v>
      </c>
      <c r="I255" s="153"/>
      <c r="J255" s="816"/>
      <c r="K255" s="817"/>
      <c r="L255" s="817"/>
      <c r="M255" s="818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108"/>
      <c r="Y255" s="47"/>
      <c r="Z255" s="36"/>
    </row>
    <row r="256" spans="2:26" s="46" customFormat="1" ht="20.100000000000001" customHeight="1" x14ac:dyDescent="0.25">
      <c r="B256" s="698" t="s">
        <v>350</v>
      </c>
      <c r="C256" s="699"/>
      <c r="D256" s="699"/>
      <c r="E256" s="699"/>
      <c r="F256" s="699"/>
      <c r="G256" s="700"/>
      <c r="H256" s="814" t="s">
        <v>329</v>
      </c>
      <c r="I256" s="727" t="s">
        <v>3</v>
      </c>
      <c r="J256" s="805"/>
      <c r="K256" s="806"/>
      <c r="L256" s="806"/>
      <c r="M256" s="80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108"/>
      <c r="Y256" s="47"/>
      <c r="Z256" s="36"/>
    </row>
    <row r="257" spans="2:26" s="46" customFormat="1" ht="20.100000000000001" customHeight="1" x14ac:dyDescent="0.25">
      <c r="B257" s="704"/>
      <c r="C257" s="705"/>
      <c r="D257" s="705"/>
      <c r="E257" s="705"/>
      <c r="F257" s="705"/>
      <c r="G257" s="706"/>
      <c r="H257" s="815"/>
      <c r="I257" s="728"/>
      <c r="J257" s="808"/>
      <c r="K257" s="809"/>
      <c r="L257" s="809"/>
      <c r="M257" s="810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108"/>
      <c r="Y257" s="47"/>
      <c r="Z257" s="36"/>
    </row>
    <row r="258" spans="2:26" s="46" customFormat="1" ht="20.100000000000001" customHeight="1" x14ac:dyDescent="0.25">
      <c r="B258" s="154"/>
      <c r="C258" s="154"/>
      <c r="D258" s="154"/>
      <c r="E258" s="154"/>
      <c r="F258" s="154"/>
      <c r="G258" s="154"/>
      <c r="H258" s="159"/>
      <c r="I258" s="161"/>
      <c r="J258" s="114"/>
      <c r="K258" s="201"/>
      <c r="L258" s="114"/>
      <c r="M258" s="114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108"/>
      <c r="Y258" s="47"/>
      <c r="Z258" s="36"/>
    </row>
    <row r="259" spans="2:26" s="46" customFormat="1" ht="20.100000000000001" customHeight="1" x14ac:dyDescent="0.25">
      <c r="B259" s="32" t="s">
        <v>330</v>
      </c>
      <c r="C259" s="154"/>
      <c r="D259" s="154"/>
      <c r="E259" s="154"/>
      <c r="F259" s="154"/>
      <c r="G259" s="154"/>
      <c r="H259" s="159"/>
      <c r="I259" s="161"/>
      <c r="J259" s="114"/>
      <c r="K259" s="201"/>
      <c r="L259" s="114"/>
      <c r="M259" s="114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108"/>
      <c r="Y259" s="47"/>
      <c r="Z259" s="36"/>
    </row>
    <row r="260" spans="2:26" s="46" customFormat="1" ht="20.100000000000001" customHeight="1" x14ac:dyDescent="0.25">
      <c r="B260" s="718" t="s">
        <v>307</v>
      </c>
      <c r="C260" s="719"/>
      <c r="D260" s="719"/>
      <c r="E260" s="719"/>
      <c r="F260" s="719"/>
      <c r="G260" s="720"/>
      <c r="H260" s="811" t="str">
        <f>$H$238</f>
        <v>Acero al carbono API 5L SCH-40</v>
      </c>
      <c r="I260" s="813"/>
      <c r="J260" s="816"/>
      <c r="K260" s="817"/>
      <c r="L260" s="817"/>
      <c r="M260" s="818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108"/>
      <c r="Y260" s="47"/>
      <c r="Z260" s="36"/>
    </row>
    <row r="261" spans="2:26" s="46" customFormat="1" ht="20.100000000000001" customHeight="1" x14ac:dyDescent="0.25">
      <c r="B261" s="718" t="s">
        <v>331</v>
      </c>
      <c r="C261" s="719"/>
      <c r="D261" s="719"/>
      <c r="E261" s="719"/>
      <c r="F261" s="719"/>
      <c r="G261" s="720"/>
      <c r="H261" s="105" t="s">
        <v>332</v>
      </c>
      <c r="I261" s="153" t="s">
        <v>367</v>
      </c>
      <c r="J261" s="897"/>
      <c r="K261" s="898"/>
      <c r="L261" s="898"/>
      <c r="M261" s="899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108"/>
      <c r="Y261" s="47"/>
      <c r="Z261" s="36"/>
    </row>
    <row r="262" spans="2:26" s="46" customFormat="1" ht="20.100000000000001" customHeight="1" x14ac:dyDescent="0.25">
      <c r="B262" s="718" t="s">
        <v>327</v>
      </c>
      <c r="C262" s="719"/>
      <c r="D262" s="719"/>
      <c r="E262" s="719"/>
      <c r="F262" s="719"/>
      <c r="G262" s="720"/>
      <c r="H262" s="105" t="s">
        <v>328</v>
      </c>
      <c r="I262" s="106" t="s">
        <v>3</v>
      </c>
      <c r="J262" s="816"/>
      <c r="K262" s="817"/>
      <c r="L262" s="817"/>
      <c r="M262" s="818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108"/>
      <c r="Y262" s="47"/>
      <c r="Z262" s="36"/>
    </row>
    <row r="263" spans="2:26" s="46" customFormat="1" ht="20.100000000000001" customHeight="1" x14ac:dyDescent="0.25">
      <c r="B263" s="718" t="s">
        <v>308</v>
      </c>
      <c r="C263" s="719"/>
      <c r="D263" s="719"/>
      <c r="E263" s="719"/>
      <c r="F263" s="719"/>
      <c r="G263" s="720"/>
      <c r="H263" s="105" t="s">
        <v>316</v>
      </c>
      <c r="I263" s="106" t="str">
        <f>IF($H$238=$BP$9,"pulgadas",IF($H$238=$BP$10,"pulgadas",IF($H$238=$BP$11,"mm",IF($H$238=$BP$12,"mm",IF($H$238=$BP$13,"mm",IF($H$238=$BP$14,"mm",IF($H$238=$BP$15,"pulgadas",IF($H$238=$BP$16,"pulgadas",""))))))))</f>
        <v>pulgadas</v>
      </c>
      <c r="J263" s="816"/>
      <c r="K263" s="817"/>
      <c r="L263" s="817"/>
      <c r="M263" s="818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108"/>
      <c r="Y263" s="47"/>
      <c r="Z263" s="36"/>
    </row>
    <row r="264" spans="2:26" s="46" customFormat="1" ht="20.100000000000001" customHeight="1" x14ac:dyDescent="0.25">
      <c r="B264" s="718" t="s">
        <v>309</v>
      </c>
      <c r="C264" s="719"/>
      <c r="D264" s="719"/>
      <c r="E264" s="719"/>
      <c r="F264" s="719"/>
      <c r="G264" s="720"/>
      <c r="H264" s="105" t="s">
        <v>317</v>
      </c>
      <c r="I264" s="106" t="s">
        <v>3</v>
      </c>
      <c r="J264" s="816"/>
      <c r="K264" s="817"/>
      <c r="L264" s="817"/>
      <c r="M264" s="818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108"/>
      <c r="Y264" s="47"/>
      <c r="Z264" s="36"/>
    </row>
    <row r="265" spans="2:26" s="46" customFormat="1" ht="20.100000000000001" customHeight="1" x14ac:dyDescent="0.25">
      <c r="B265" s="752" t="s">
        <v>315</v>
      </c>
      <c r="C265" s="752"/>
      <c r="D265" s="752"/>
      <c r="E265" s="752"/>
      <c r="F265" s="752"/>
      <c r="G265" s="752"/>
      <c r="H265" s="105" t="s">
        <v>318</v>
      </c>
      <c r="I265" s="106" t="s">
        <v>5</v>
      </c>
      <c r="J265" s="897"/>
      <c r="K265" s="898"/>
      <c r="L265" s="898"/>
      <c r="M265" s="899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108"/>
      <c r="Y265" s="47"/>
      <c r="Z265" s="36"/>
    </row>
    <row r="266" spans="2:26" s="46" customFormat="1" ht="20.100000000000001" customHeight="1" x14ac:dyDescent="0.25">
      <c r="B266" s="698" t="s">
        <v>334</v>
      </c>
      <c r="C266" s="699"/>
      <c r="D266" s="699"/>
      <c r="E266" s="699"/>
      <c r="F266" s="699"/>
      <c r="G266" s="700"/>
      <c r="H266" s="814" t="s">
        <v>335</v>
      </c>
      <c r="I266" s="727" t="s">
        <v>336</v>
      </c>
      <c r="J266" s="805"/>
      <c r="K266" s="806"/>
      <c r="L266" s="806"/>
      <c r="M266" s="807"/>
      <c r="N266" s="37"/>
      <c r="O266" s="166"/>
      <c r="P266" s="37"/>
      <c r="Q266" s="37"/>
      <c r="R266" s="37"/>
      <c r="S266" s="37"/>
      <c r="T266" s="37"/>
      <c r="U266" s="37"/>
      <c r="V266" s="37"/>
      <c r="W266" s="37"/>
      <c r="X266" s="108"/>
      <c r="Y266" s="47"/>
      <c r="Z266" s="36"/>
    </row>
    <row r="267" spans="2:26" s="46" customFormat="1" ht="20.100000000000001" customHeight="1" x14ac:dyDescent="0.25">
      <c r="B267" s="704"/>
      <c r="C267" s="705"/>
      <c r="D267" s="705"/>
      <c r="E267" s="705"/>
      <c r="F267" s="705"/>
      <c r="G267" s="706"/>
      <c r="H267" s="815"/>
      <c r="I267" s="728"/>
      <c r="J267" s="808"/>
      <c r="K267" s="809"/>
      <c r="L267" s="809"/>
      <c r="M267" s="810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108"/>
      <c r="Y267" s="47"/>
      <c r="Z267" s="36"/>
    </row>
    <row r="268" spans="2:26" s="46" customFormat="1" ht="20.100000000000001" customHeight="1" x14ac:dyDescent="0.25">
      <c r="B268" s="664" t="s">
        <v>350</v>
      </c>
      <c r="C268" s="665"/>
      <c r="D268" s="665"/>
      <c r="E268" s="665"/>
      <c r="F268" s="665"/>
      <c r="G268" s="666"/>
      <c r="H268" s="105" t="s">
        <v>329</v>
      </c>
      <c r="I268" s="153" t="s">
        <v>3</v>
      </c>
      <c r="J268" s="816"/>
      <c r="K268" s="817"/>
      <c r="L268" s="817"/>
      <c r="M268" s="818"/>
      <c r="N268" s="37"/>
      <c r="O268" s="165"/>
      <c r="P268" s="37"/>
      <c r="Q268" s="37"/>
      <c r="R268" s="37"/>
      <c r="S268" s="37"/>
      <c r="T268" s="37"/>
      <c r="U268" s="37"/>
      <c r="V268" s="37"/>
      <c r="W268" s="37"/>
      <c r="X268" s="108"/>
      <c r="Y268" s="47"/>
      <c r="Z268" s="36"/>
    </row>
    <row r="269" spans="2:26" s="46" customFormat="1" ht="20.100000000000001" customHeight="1" x14ac:dyDescent="0.25">
      <c r="B269" s="154"/>
      <c r="C269" s="154"/>
      <c r="D269" s="154"/>
      <c r="E269" s="154"/>
      <c r="F269" s="154"/>
      <c r="G269" s="154"/>
      <c r="H269" s="159"/>
      <c r="I269" s="161"/>
      <c r="J269" s="114"/>
      <c r="K269" s="201"/>
      <c r="L269" s="114"/>
      <c r="M269" s="114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108"/>
      <c r="Y269" s="47"/>
      <c r="Z269" s="36"/>
    </row>
    <row r="270" spans="2:26" s="46" customFormat="1" ht="20.100000000000001" customHeight="1" x14ac:dyDescent="0.25">
      <c r="B270" s="22" t="s">
        <v>345</v>
      </c>
      <c r="C270" s="164"/>
      <c r="D270" s="164"/>
      <c r="E270" s="164"/>
      <c r="F270" s="164"/>
      <c r="G270" s="164"/>
      <c r="H270" s="159"/>
      <c r="I270" s="161"/>
      <c r="J270" s="163"/>
      <c r="K270" s="201"/>
      <c r="L270" s="163"/>
      <c r="M270" s="163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108"/>
      <c r="Y270" s="47"/>
      <c r="Z270" s="36"/>
    </row>
    <row r="271" spans="2:26" s="46" customFormat="1" ht="20.100000000000001" customHeight="1" x14ac:dyDescent="0.25">
      <c r="B271" s="900" t="s">
        <v>295</v>
      </c>
      <c r="C271" s="900"/>
      <c r="D271" s="900"/>
      <c r="E271" s="900"/>
      <c r="F271" s="900"/>
      <c r="G271" s="892"/>
      <c r="H271" s="803" t="s">
        <v>341</v>
      </c>
      <c r="I271" s="791" t="s">
        <v>359</v>
      </c>
      <c r="J271" s="203"/>
      <c r="K271" s="80"/>
      <c r="L271" s="80"/>
      <c r="M271" s="238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108"/>
      <c r="Y271" s="47"/>
      <c r="Z271" s="36"/>
    </row>
    <row r="272" spans="2:26" s="46" customFormat="1" ht="20.100000000000001" customHeight="1" x14ac:dyDescent="0.25">
      <c r="B272" s="900"/>
      <c r="C272" s="900"/>
      <c r="D272" s="900"/>
      <c r="E272" s="900"/>
      <c r="F272" s="900"/>
      <c r="G272" s="892"/>
      <c r="H272" s="804"/>
      <c r="I272" s="791"/>
      <c r="J272" s="203"/>
      <c r="K272" s="37"/>
      <c r="L272" s="37"/>
      <c r="M272" s="238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108"/>
      <c r="Y272" s="47"/>
      <c r="Z272" s="36"/>
    </row>
    <row r="273" spans="2:26" s="46" customFormat="1" ht="20.100000000000001" customHeight="1" x14ac:dyDescent="0.25">
      <c r="B273" s="900"/>
      <c r="C273" s="900"/>
      <c r="D273" s="900"/>
      <c r="E273" s="900"/>
      <c r="F273" s="900"/>
      <c r="G273" s="892"/>
      <c r="H273" s="192" t="str">
        <f>IF(H238=BP9,"(pulgadas)",IF(H238=BP10,"(pulgadas)",IF(H238=BP11,"(mm)",IF(H238=BP12,"(mm)",IF(H238=BP13,"(mm)",IF(H238=BP14,"(mm)",IF(H238=BP15,"(pulgadas)",IF(H238=BP16,"(pulgadas)"))))))))</f>
        <v>(pulgadas)</v>
      </c>
      <c r="I273" s="791"/>
      <c r="J273" s="204"/>
      <c r="K273" s="37"/>
      <c r="L273" s="37"/>
      <c r="M273" s="238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108"/>
      <c r="Y273" s="47"/>
      <c r="Z273" s="36"/>
    </row>
    <row r="274" spans="2:26" s="46" customFormat="1" ht="20.100000000000001" customHeight="1" x14ac:dyDescent="0.25">
      <c r="B274" s="664" t="s">
        <v>299</v>
      </c>
      <c r="C274" s="665"/>
      <c r="D274" s="665"/>
      <c r="E274" s="665"/>
      <c r="F274" s="665"/>
      <c r="G274" s="666"/>
      <c r="H274" s="235" t="e">
        <f>#REF!</f>
        <v>#REF!</v>
      </c>
      <c r="I274" s="57" t="e">
        <f>IF(B274=CD9,HLOOKUP(H274,$CG$7:$DJ$23,3,FALSE))</f>
        <v>#REF!</v>
      </c>
      <c r="J274" s="45"/>
      <c r="K274" s="165"/>
      <c r="L274" s="238"/>
      <c r="M274" s="238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108"/>
      <c r="Y274" s="47"/>
      <c r="Z274" s="36"/>
    </row>
    <row r="275" spans="2:26" s="46" customFormat="1" ht="20.100000000000001" customHeight="1" x14ac:dyDescent="0.25">
      <c r="B275" s="664" t="s">
        <v>298</v>
      </c>
      <c r="C275" s="665"/>
      <c r="D275" s="665"/>
      <c r="E275" s="665"/>
      <c r="F275" s="665"/>
      <c r="G275" s="666"/>
      <c r="H275" s="240" t="e">
        <f>#REF!</f>
        <v>#REF!</v>
      </c>
      <c r="I275" s="200" t="e">
        <f>IF(B275=CD11,HLOOKUP(H275,$CG$7:$DJ$23,5,FALSE),IF(B275=CD12,HLOOKUP(H275,$CG$7:$DJ$23,6,FALSE)))</f>
        <v>#REF!</v>
      </c>
      <c r="J275" s="45"/>
      <c r="K275" s="165"/>
      <c r="L275" s="238"/>
      <c r="M275" s="238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108"/>
      <c r="Y275" s="47"/>
      <c r="Z275" s="36"/>
    </row>
    <row r="276" spans="2:26" s="46" customFormat="1" ht="20.100000000000001" customHeight="1" x14ac:dyDescent="0.25">
      <c r="B276" s="664" t="s">
        <v>300</v>
      </c>
      <c r="C276" s="665"/>
      <c r="D276" s="665"/>
      <c r="E276" s="665"/>
      <c r="F276" s="665"/>
      <c r="G276" s="666"/>
      <c r="H276" s="240" t="e">
        <f>#REF!</f>
        <v>#REF!</v>
      </c>
      <c r="I276" s="57" t="e">
        <f>IF(B276=CD14,HLOOKUP(H276,$CG$7:$DJ$23,8,FALSE))</f>
        <v>#REF!</v>
      </c>
      <c r="J276" s="45"/>
      <c r="K276" s="165"/>
      <c r="L276" s="238"/>
      <c r="M276" s="238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108"/>
      <c r="Y276" s="47"/>
      <c r="Z276" s="36"/>
    </row>
    <row r="277" spans="2:26" s="46" customFormat="1" ht="20.100000000000001" customHeight="1" x14ac:dyDescent="0.25">
      <c r="B277" s="664" t="s">
        <v>301</v>
      </c>
      <c r="C277" s="665"/>
      <c r="D277" s="665"/>
      <c r="E277" s="665"/>
      <c r="F277" s="665"/>
      <c r="G277" s="666"/>
      <c r="H277" s="240" t="e">
        <f>#REF!</f>
        <v>#REF!</v>
      </c>
      <c r="I277" s="57" t="e">
        <f>IF(B277=CD16,HLOOKUP(H277,$CG$7:$DJ$23,10,FALSE))</f>
        <v>#REF!</v>
      </c>
      <c r="J277" s="45"/>
      <c r="K277" s="165"/>
      <c r="L277" s="238"/>
      <c r="M277" s="238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108"/>
      <c r="Y277" s="47"/>
      <c r="Z277" s="36"/>
    </row>
    <row r="278" spans="2:26" s="46" customFormat="1" ht="20.100000000000001" customHeight="1" x14ac:dyDescent="0.25">
      <c r="B278" s="664" t="s">
        <v>304</v>
      </c>
      <c r="C278" s="665"/>
      <c r="D278" s="665"/>
      <c r="E278" s="665"/>
      <c r="F278" s="665"/>
      <c r="G278" s="666"/>
      <c r="H278" s="240" t="e">
        <f>#REF!</f>
        <v>#REF!</v>
      </c>
      <c r="I278" s="57" t="e">
        <f>IF(B278=CD18,HLOOKUP(H278,$CG$7:$DJ$23,12,FALSE))</f>
        <v>#REF!</v>
      </c>
      <c r="J278" s="45"/>
      <c r="K278" s="165"/>
      <c r="L278" s="238"/>
      <c r="M278" s="238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108"/>
      <c r="Y278" s="47"/>
      <c r="Z278" s="36"/>
    </row>
    <row r="279" spans="2:26" s="46" customFormat="1" ht="20.100000000000001" customHeight="1" x14ac:dyDescent="0.25">
      <c r="B279" s="664" t="s">
        <v>302</v>
      </c>
      <c r="C279" s="665"/>
      <c r="D279" s="665"/>
      <c r="E279" s="665"/>
      <c r="F279" s="665"/>
      <c r="G279" s="666"/>
      <c r="H279" s="240" t="e">
        <f>#REF!</f>
        <v>#REF!</v>
      </c>
      <c r="I279" s="57" t="e">
        <f>IF(B279=CD20,HLOOKUP(H279,$CG$7:$DJ$23,14,FALSE),IF(B279=CD21,HLOOKUP(H279,$CG$7:$DJ$23,15,FALSE)))</f>
        <v>#REF!</v>
      </c>
      <c r="J279" s="45"/>
      <c r="K279" s="165"/>
      <c r="L279" s="238"/>
      <c r="M279" s="238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108"/>
      <c r="Y279" s="47"/>
      <c r="Z279" s="36"/>
    </row>
    <row r="280" spans="2:26" s="46" customFormat="1" ht="20.100000000000001" customHeight="1" x14ac:dyDescent="0.25">
      <c r="B280" s="664" t="s">
        <v>340</v>
      </c>
      <c r="C280" s="665"/>
      <c r="D280" s="665"/>
      <c r="E280" s="665"/>
      <c r="F280" s="665"/>
      <c r="G280" s="666"/>
      <c r="H280" s="240" t="e">
        <f>#REF!</f>
        <v>#REF!</v>
      </c>
      <c r="I280" s="57" t="e">
        <f>IF(B280=CD23,HLOOKUP(H280,$CG$7:$DJ$23,17,FALSE))</f>
        <v>#REF!</v>
      </c>
      <c r="J280" s="45"/>
      <c r="K280" s="165"/>
      <c r="L280" s="238"/>
      <c r="M280" s="238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108"/>
      <c r="Y280" s="47"/>
      <c r="Z280" s="36"/>
    </row>
    <row r="281" spans="2:26" s="46" customFormat="1" ht="20.100000000000001" customHeight="1" x14ac:dyDescent="0.25">
      <c r="B281" s="26"/>
      <c r="C281" s="26"/>
      <c r="D281" s="26"/>
      <c r="E281" s="26"/>
      <c r="F281" s="27"/>
      <c r="G281" s="28"/>
      <c r="H281" s="145"/>
      <c r="I281" s="37"/>
      <c r="J281" s="37"/>
      <c r="K281" s="37"/>
      <c r="L281" s="37"/>
      <c r="M281" s="37"/>
      <c r="N281" s="37"/>
      <c r="O281" s="61"/>
      <c r="P281" s="37"/>
      <c r="Q281" s="37"/>
      <c r="R281" s="37"/>
      <c r="S281" s="37"/>
      <c r="T281" s="37"/>
      <c r="U281" s="37"/>
      <c r="V281" s="37"/>
      <c r="W281" s="37"/>
      <c r="X281" s="108"/>
      <c r="Y281" s="47"/>
      <c r="Z281" s="36"/>
    </row>
    <row r="282" spans="2:26" s="46" customFormat="1" ht="20.100000000000001" customHeight="1" x14ac:dyDescent="0.25">
      <c r="B282" s="752" t="s">
        <v>346</v>
      </c>
      <c r="C282" s="752"/>
      <c r="D282" s="752"/>
      <c r="E282" s="752"/>
      <c r="F282" s="752"/>
      <c r="G282" s="752"/>
      <c r="H282" s="240" t="s">
        <v>349</v>
      </c>
      <c r="I282" s="237" t="s">
        <v>367</v>
      </c>
      <c r="J282" s="790"/>
      <c r="K282" s="790"/>
      <c r="L282" s="790"/>
      <c r="M282" s="790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108"/>
      <c r="Y282" s="47"/>
      <c r="Z282" s="36"/>
    </row>
    <row r="283" spans="2:26" s="46" customFormat="1" ht="20.100000000000001" customHeight="1" x14ac:dyDescent="0.25">
      <c r="B283" s="752" t="s">
        <v>347</v>
      </c>
      <c r="C283" s="752"/>
      <c r="D283" s="752"/>
      <c r="E283" s="752"/>
      <c r="F283" s="752"/>
      <c r="G283" s="752"/>
      <c r="H283" s="801" t="s">
        <v>348</v>
      </c>
      <c r="I283" s="896" t="s">
        <v>3</v>
      </c>
      <c r="J283" s="790"/>
      <c r="K283" s="790"/>
      <c r="L283" s="790"/>
      <c r="M283" s="790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108"/>
      <c r="Y283" s="47"/>
      <c r="Z283" s="36"/>
    </row>
    <row r="284" spans="2:26" s="46" customFormat="1" ht="20.100000000000001" customHeight="1" x14ac:dyDescent="0.25">
      <c r="B284" s="752"/>
      <c r="C284" s="752"/>
      <c r="D284" s="752"/>
      <c r="E284" s="752"/>
      <c r="F284" s="752"/>
      <c r="G284" s="752"/>
      <c r="H284" s="801"/>
      <c r="I284" s="896"/>
      <c r="J284" s="790"/>
      <c r="K284" s="790"/>
      <c r="L284" s="790"/>
      <c r="M284" s="790"/>
      <c r="N284" s="37"/>
      <c r="O284" s="37"/>
      <c r="P284" s="205"/>
      <c r="Q284" s="37"/>
      <c r="R284" s="37"/>
      <c r="S284" s="37"/>
      <c r="T284" s="37"/>
      <c r="U284" s="37"/>
      <c r="V284" s="37"/>
      <c r="W284" s="37"/>
      <c r="X284" s="108"/>
      <c r="Y284" s="47"/>
      <c r="Z284" s="36"/>
    </row>
    <row r="285" spans="2:26" s="46" customFormat="1" ht="20.100000000000001" customHeight="1" x14ac:dyDescent="0.25">
      <c r="B285" s="26"/>
      <c r="C285" s="26"/>
      <c r="D285" s="26"/>
      <c r="E285" s="26"/>
      <c r="F285" s="27"/>
      <c r="G285" s="28"/>
      <c r="H285" s="145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108"/>
      <c r="Y285" s="47"/>
      <c r="Z285" s="36"/>
    </row>
    <row r="286" spans="2:26" s="46" customFormat="1" ht="20.100000000000001" customHeight="1" x14ac:dyDescent="0.25">
      <c r="B286" s="22" t="s">
        <v>499</v>
      </c>
      <c r="C286" s="26"/>
      <c r="D286" s="26"/>
      <c r="E286" s="26"/>
      <c r="F286" s="27"/>
      <c r="G286" s="28"/>
      <c r="H286" s="29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108"/>
      <c r="Y286" s="47"/>
      <c r="Z286" s="36"/>
    </row>
    <row r="287" spans="2:26" s="46" customFormat="1" ht="20.100000000000001" customHeight="1" x14ac:dyDescent="0.25">
      <c r="B287" s="664" t="s">
        <v>120</v>
      </c>
      <c r="C287" s="665"/>
      <c r="D287" s="665"/>
      <c r="E287" s="665"/>
      <c r="F287" s="665"/>
      <c r="G287" s="666"/>
      <c r="H287" s="105" t="s">
        <v>360</v>
      </c>
      <c r="I287" s="153" t="s">
        <v>3</v>
      </c>
      <c r="J287" s="895"/>
      <c r="K287" s="895"/>
      <c r="L287" s="895"/>
      <c r="M287" s="895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108"/>
      <c r="Y287" s="47"/>
      <c r="Z287" s="36"/>
    </row>
    <row r="288" spans="2:26" s="46" customFormat="1" ht="20.100000000000001" customHeight="1" x14ac:dyDescent="0.25">
      <c r="B288" s="664" t="s">
        <v>353</v>
      </c>
      <c r="C288" s="665"/>
      <c r="D288" s="665"/>
      <c r="E288" s="665"/>
      <c r="F288" s="665"/>
      <c r="G288" s="666"/>
      <c r="H288" s="105" t="s">
        <v>361</v>
      </c>
      <c r="I288" s="153" t="s">
        <v>3</v>
      </c>
      <c r="J288" s="895"/>
      <c r="K288" s="895"/>
      <c r="L288" s="895"/>
      <c r="M288" s="895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108"/>
      <c r="Y288" s="47"/>
      <c r="Z288" s="36"/>
    </row>
    <row r="289" spans="2:26" s="46" customFormat="1" ht="20.100000000000001" customHeight="1" x14ac:dyDescent="0.25">
      <c r="B289" s="664" t="s">
        <v>357</v>
      </c>
      <c r="C289" s="665"/>
      <c r="D289" s="665"/>
      <c r="E289" s="665"/>
      <c r="F289" s="665"/>
      <c r="G289" s="666"/>
      <c r="H289" s="105" t="s">
        <v>358</v>
      </c>
      <c r="I289" s="153" t="s">
        <v>3</v>
      </c>
      <c r="J289" s="895"/>
      <c r="K289" s="895"/>
      <c r="L289" s="895"/>
      <c r="M289" s="895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108"/>
      <c r="Y289" s="47"/>
      <c r="Z289" s="36"/>
    </row>
    <row r="290" spans="2:26" s="46" customFormat="1" ht="20.100000000000001" customHeight="1" x14ac:dyDescent="0.25">
      <c r="B290" s="664" t="s">
        <v>362</v>
      </c>
      <c r="C290" s="665"/>
      <c r="D290" s="665"/>
      <c r="E290" s="665"/>
      <c r="F290" s="665"/>
      <c r="G290" s="666"/>
      <c r="H290" s="105" t="s">
        <v>329</v>
      </c>
      <c r="I290" s="153" t="s">
        <v>3</v>
      </c>
      <c r="J290" s="895"/>
      <c r="K290" s="895"/>
      <c r="L290" s="895"/>
      <c r="M290" s="895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108"/>
      <c r="Y290" s="47"/>
      <c r="Z290" s="36"/>
    </row>
    <row r="291" spans="2:26" s="46" customFormat="1" ht="20.100000000000001" customHeight="1" x14ac:dyDescent="0.25">
      <c r="B291" s="664" t="s">
        <v>365</v>
      </c>
      <c r="C291" s="665"/>
      <c r="D291" s="665"/>
      <c r="E291" s="665"/>
      <c r="F291" s="665"/>
      <c r="G291" s="666"/>
      <c r="H291" s="105" t="s">
        <v>348</v>
      </c>
      <c r="I291" s="153" t="s">
        <v>3</v>
      </c>
      <c r="J291" s="895"/>
      <c r="K291" s="895"/>
      <c r="L291" s="895"/>
      <c r="M291" s="895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108"/>
      <c r="Y291" s="47"/>
      <c r="Z291" s="36"/>
    </row>
    <row r="292" spans="2:26" s="46" customFormat="1" ht="20.100000000000001" customHeight="1" x14ac:dyDescent="0.25">
      <c r="B292" s="664" t="s">
        <v>366</v>
      </c>
      <c r="C292" s="665"/>
      <c r="D292" s="665"/>
      <c r="E292" s="665"/>
      <c r="F292" s="665"/>
      <c r="G292" s="666"/>
      <c r="H292" s="206" t="s">
        <v>389</v>
      </c>
      <c r="I292" s="153" t="s">
        <v>3</v>
      </c>
      <c r="J292" s="895"/>
      <c r="K292" s="895"/>
      <c r="L292" s="895"/>
      <c r="M292" s="895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108"/>
      <c r="Y292" s="47"/>
      <c r="Z292" s="36"/>
    </row>
    <row r="293" spans="2:26" s="46" customFormat="1" ht="20.100000000000001" customHeight="1" x14ac:dyDescent="0.25">
      <c r="B293" s="243"/>
      <c r="C293" s="243"/>
      <c r="D293" s="243"/>
      <c r="E293" s="243"/>
      <c r="F293" s="243"/>
      <c r="G293" s="243"/>
      <c r="H293" s="212"/>
      <c r="I293" s="161"/>
      <c r="J293" s="244"/>
      <c r="K293" s="244"/>
      <c r="L293" s="244"/>
      <c r="M293" s="244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108"/>
      <c r="Y293" s="47"/>
      <c r="Z293" s="36"/>
    </row>
    <row r="294" spans="2:26" s="46" customFormat="1" ht="20.100000000000001" customHeight="1" x14ac:dyDescent="0.25">
      <c r="B294" s="22" t="s">
        <v>453</v>
      </c>
      <c r="C294" s="243"/>
      <c r="D294" s="243"/>
      <c r="E294" s="243"/>
      <c r="F294" s="243"/>
      <c r="G294" s="243"/>
      <c r="H294" s="212"/>
      <c r="I294" s="161"/>
      <c r="J294" s="244"/>
      <c r="K294" s="244"/>
      <c r="L294" s="244"/>
      <c r="M294" s="244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108"/>
      <c r="Y294" s="47"/>
      <c r="Z294" s="36"/>
    </row>
    <row r="295" spans="2:26" s="46" customFormat="1" ht="20.100000000000001" customHeight="1" x14ac:dyDescent="0.25">
      <c r="B295" s="900" t="s">
        <v>447</v>
      </c>
      <c r="C295" s="900"/>
      <c r="D295" s="900"/>
      <c r="E295" s="900"/>
      <c r="F295" s="900"/>
      <c r="G295" s="900"/>
      <c r="H295" s="900"/>
      <c r="I295" s="1002" t="s">
        <v>446</v>
      </c>
      <c r="J295" s="1006"/>
      <c r="K295" s="1006"/>
      <c r="L295" s="1006"/>
      <c r="M295" s="1006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108"/>
      <c r="Y295" s="47"/>
      <c r="Z295" s="36"/>
    </row>
    <row r="296" spans="2:26" s="46" customFormat="1" ht="20.100000000000001" customHeight="1" x14ac:dyDescent="0.25">
      <c r="B296" s="900"/>
      <c r="C296" s="900"/>
      <c r="D296" s="900"/>
      <c r="E296" s="900"/>
      <c r="F296" s="900"/>
      <c r="G296" s="900"/>
      <c r="H296" s="900"/>
      <c r="I296" s="1002"/>
      <c r="J296" s="1006"/>
      <c r="K296" s="1006"/>
      <c r="L296" s="1006"/>
      <c r="M296" s="1006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108"/>
      <c r="Y296" s="47"/>
      <c r="Z296" s="36"/>
    </row>
    <row r="297" spans="2:26" s="46" customFormat="1" ht="20.100000000000001" customHeight="1" x14ac:dyDescent="0.25">
      <c r="B297" s="752" t="s">
        <v>448</v>
      </c>
      <c r="C297" s="752"/>
      <c r="D297" s="752"/>
      <c r="E297" s="752"/>
      <c r="F297" s="752"/>
      <c r="G297" s="752"/>
      <c r="H297" s="245" t="s">
        <v>318</v>
      </c>
      <c r="I297" s="200" t="e">
        <f>#REF!</f>
        <v>#REF!</v>
      </c>
      <c r="J297" s="1003"/>
      <c r="K297" s="1004"/>
      <c r="L297" s="1004"/>
      <c r="M297" s="1005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108"/>
      <c r="Y297" s="47"/>
      <c r="Z297" s="36"/>
    </row>
    <row r="298" spans="2:26" s="46" customFormat="1" ht="20.100000000000001" customHeight="1" x14ac:dyDescent="0.25">
      <c r="B298" s="698" t="s">
        <v>451</v>
      </c>
      <c r="C298" s="699"/>
      <c r="D298" s="699"/>
      <c r="E298" s="699"/>
      <c r="F298" s="699"/>
      <c r="G298" s="700"/>
      <c r="H298" s="814" t="s">
        <v>449</v>
      </c>
      <c r="I298" s="911" t="e">
        <f>#REF!/(VLOOKUP(#REF!,BF8:BG16,2,FALSE))</f>
        <v>#REF!</v>
      </c>
      <c r="J298" s="996"/>
      <c r="K298" s="997"/>
      <c r="L298" s="997"/>
      <c r="M298" s="998"/>
      <c r="N298" s="985"/>
      <c r="O298" s="895"/>
      <c r="P298" s="37"/>
      <c r="Q298" s="37"/>
      <c r="R298" s="37"/>
      <c r="S298" s="37"/>
      <c r="T298" s="37"/>
      <c r="U298" s="37"/>
      <c r="V298" s="37"/>
      <c r="W298" s="37"/>
      <c r="X298" s="108"/>
      <c r="Y298" s="47"/>
      <c r="Z298" s="36"/>
    </row>
    <row r="299" spans="2:26" s="46" customFormat="1" ht="20.100000000000001" customHeight="1" x14ac:dyDescent="0.25">
      <c r="B299" s="704"/>
      <c r="C299" s="705"/>
      <c r="D299" s="705"/>
      <c r="E299" s="705"/>
      <c r="F299" s="705"/>
      <c r="G299" s="706"/>
      <c r="H299" s="815"/>
      <c r="I299" s="912"/>
      <c r="J299" s="999"/>
      <c r="K299" s="1000"/>
      <c r="L299" s="1000"/>
      <c r="M299" s="1001"/>
      <c r="N299" s="985"/>
      <c r="O299" s="895"/>
      <c r="P299" s="37"/>
      <c r="Q299" s="37"/>
      <c r="R299" s="37"/>
      <c r="S299" s="37"/>
      <c r="T299" s="37"/>
      <c r="U299" s="37"/>
      <c r="V299" s="37"/>
      <c r="W299" s="37"/>
      <c r="X299" s="108"/>
      <c r="Y299" s="47"/>
      <c r="Z299" s="36"/>
    </row>
    <row r="300" spans="2:26" s="46" customFormat="1" ht="20.100000000000001" customHeight="1" x14ac:dyDescent="0.25">
      <c r="B300" s="698" t="s">
        <v>452</v>
      </c>
      <c r="C300" s="699"/>
      <c r="D300" s="699"/>
      <c r="E300" s="699"/>
      <c r="F300" s="699"/>
      <c r="G300" s="700"/>
      <c r="H300" s="823" t="s">
        <v>450</v>
      </c>
      <c r="I300" s="911" t="e">
        <f>#REF!/(VLOOKUP(#REF!,BA8:BB12,2,FALSE)*#REF!)</f>
        <v>#REF!</v>
      </c>
      <c r="J300" s="996"/>
      <c r="K300" s="997"/>
      <c r="L300" s="997"/>
      <c r="M300" s="998"/>
      <c r="N300" s="985"/>
      <c r="O300" s="37"/>
      <c r="P300" s="37"/>
      <c r="Q300" s="37"/>
      <c r="R300" s="37"/>
      <c r="S300" s="37"/>
      <c r="T300" s="37"/>
      <c r="U300" s="37"/>
      <c r="V300" s="37"/>
      <c r="W300" s="37"/>
      <c r="X300" s="108"/>
      <c r="Y300" s="47"/>
      <c r="Z300" s="36"/>
    </row>
    <row r="301" spans="2:26" s="46" customFormat="1" ht="20.100000000000001" customHeight="1" x14ac:dyDescent="0.25">
      <c r="B301" s="704"/>
      <c r="C301" s="705"/>
      <c r="D301" s="705"/>
      <c r="E301" s="705"/>
      <c r="F301" s="705"/>
      <c r="G301" s="706"/>
      <c r="H301" s="824"/>
      <c r="I301" s="912"/>
      <c r="J301" s="999"/>
      <c r="K301" s="1000"/>
      <c r="L301" s="1000"/>
      <c r="M301" s="1001"/>
      <c r="N301" s="985"/>
      <c r="O301" s="37"/>
      <c r="P301" s="37"/>
      <c r="Q301" s="37"/>
      <c r="R301" s="37"/>
      <c r="S301" s="37"/>
      <c r="T301" s="37"/>
      <c r="U301" s="37"/>
      <c r="V301" s="37"/>
      <c r="W301" s="37"/>
      <c r="X301" s="108"/>
      <c r="Y301" s="47"/>
      <c r="Z301" s="36"/>
    </row>
    <row r="302" spans="2:26" s="46" customFormat="1" ht="20.100000000000001" customHeight="1" x14ac:dyDescent="0.25">
      <c r="B302" s="243"/>
      <c r="C302" s="243"/>
      <c r="D302" s="243"/>
      <c r="E302" s="243"/>
      <c r="F302" s="243"/>
      <c r="G302" s="243"/>
      <c r="H302" s="212"/>
      <c r="I302" s="161"/>
      <c r="J302" s="244"/>
      <c r="K302" s="244"/>
      <c r="L302" s="244"/>
      <c r="M302" s="244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108"/>
      <c r="Y302" s="47"/>
      <c r="Z302" s="36"/>
    </row>
    <row r="303" spans="2:26" s="46" customFormat="1" ht="20.100000000000001" customHeight="1" x14ac:dyDescent="0.25">
      <c r="B303" s="14" t="s">
        <v>518</v>
      </c>
      <c r="C303" s="228"/>
      <c r="D303" s="228"/>
      <c r="E303" s="228"/>
      <c r="F303" s="228"/>
      <c r="G303" s="228"/>
      <c r="H303" s="212"/>
      <c r="I303" s="161"/>
      <c r="J303" s="229"/>
      <c r="K303" s="229"/>
      <c r="L303" s="229"/>
      <c r="M303" s="229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108"/>
      <c r="Y303" s="47"/>
      <c r="Z303" s="36"/>
    </row>
    <row r="304" spans="2:26" s="46" customFormat="1" ht="20.100000000000001" customHeight="1" x14ac:dyDescent="0.25">
      <c r="B304" s="228"/>
      <c r="C304" s="228"/>
      <c r="D304" s="228"/>
      <c r="E304" s="228"/>
      <c r="F304" s="228"/>
      <c r="G304" s="228"/>
      <c r="H304" s="212"/>
      <c r="I304" s="161"/>
      <c r="J304" s="229"/>
      <c r="K304" s="229"/>
      <c r="L304" s="229"/>
      <c r="M304" s="229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108"/>
      <c r="Y304" s="47"/>
      <c r="Z304" s="36"/>
    </row>
    <row r="305" spans="2:28" s="46" customFormat="1" ht="20.100000000000001" customHeight="1" x14ac:dyDescent="0.25">
      <c r="B305" s="32" t="s">
        <v>504</v>
      </c>
      <c r="C305" s="31"/>
      <c r="D305" s="31"/>
      <c r="E305" s="31"/>
      <c r="F305" s="31"/>
      <c r="G305" s="31"/>
      <c r="H305" s="33"/>
      <c r="I305" s="49"/>
      <c r="J305" s="2"/>
      <c r="K305" s="2"/>
      <c r="L305" s="37"/>
      <c r="M305" s="37"/>
      <c r="N305" s="37"/>
      <c r="O305" s="32" t="s">
        <v>509</v>
      </c>
      <c r="P305" s="37"/>
      <c r="Q305" s="37"/>
      <c r="R305" s="37"/>
      <c r="S305" s="37"/>
      <c r="T305" s="37"/>
      <c r="U305" s="37"/>
      <c r="V305" s="37"/>
      <c r="W305" s="37"/>
      <c r="X305" s="108"/>
      <c r="Y305" s="451"/>
      <c r="Z305" s="36"/>
      <c r="AA305" s="463"/>
      <c r="AB305" s="463"/>
    </row>
    <row r="306" spans="2:28" s="46" customFormat="1" ht="20.100000000000001" customHeight="1" x14ac:dyDescent="0.3">
      <c r="B306" s="752" t="s">
        <v>76</v>
      </c>
      <c r="C306" s="752"/>
      <c r="D306" s="752"/>
      <c r="E306" s="752"/>
      <c r="F306" s="752"/>
      <c r="G306" s="752"/>
      <c r="H306" s="79" t="s">
        <v>100</v>
      </c>
      <c r="I306" s="106" t="s">
        <v>123</v>
      </c>
      <c r="J306" s="816"/>
      <c r="K306" s="817"/>
      <c r="L306" s="817"/>
      <c r="M306" s="818"/>
      <c r="N306" s="37"/>
      <c r="O306" s="664" t="s">
        <v>76</v>
      </c>
      <c r="P306" s="665"/>
      <c r="Q306" s="665"/>
      <c r="R306" s="665"/>
      <c r="S306" s="79" t="s">
        <v>503</v>
      </c>
      <c r="T306" s="438">
        <f>$G$20/(24*60)</f>
        <v>0.10416666666666667</v>
      </c>
      <c r="U306" s="439" t="s">
        <v>123</v>
      </c>
      <c r="V306" s="816"/>
      <c r="W306" s="817"/>
      <c r="X306" s="817"/>
      <c r="Y306" s="818"/>
      <c r="Z306" s="37"/>
      <c r="AA306" s="37"/>
      <c r="AB306" s="37"/>
    </row>
    <row r="307" spans="2:28" s="46" customFormat="1" ht="20.100000000000001" customHeight="1" x14ac:dyDescent="0.3">
      <c r="B307" s="664" t="s">
        <v>165</v>
      </c>
      <c r="C307" s="665"/>
      <c r="D307" s="665"/>
      <c r="E307" s="665"/>
      <c r="F307" s="665"/>
      <c r="G307" s="666"/>
      <c r="H307" s="79" t="s">
        <v>166</v>
      </c>
      <c r="I307" s="57" t="s">
        <v>3</v>
      </c>
      <c r="J307" s="816"/>
      <c r="K307" s="817"/>
      <c r="L307" s="817"/>
      <c r="M307" s="818"/>
      <c r="N307" s="37"/>
      <c r="O307" s="664" t="s">
        <v>165</v>
      </c>
      <c r="P307" s="665"/>
      <c r="Q307" s="665"/>
      <c r="R307" s="665"/>
      <c r="S307" s="79" t="s">
        <v>166</v>
      </c>
      <c r="T307" s="438">
        <f>SUM(G88:G92)</f>
        <v>0.44999999999999996</v>
      </c>
      <c r="U307" s="270" t="s">
        <v>3</v>
      </c>
      <c r="V307" s="816"/>
      <c r="W307" s="817"/>
      <c r="X307" s="817"/>
      <c r="Y307" s="818"/>
      <c r="Z307" s="37"/>
      <c r="AA307" s="37"/>
      <c r="AB307" s="37"/>
    </row>
    <row r="308" spans="2:28" s="46" customFormat="1" ht="20.100000000000001" customHeight="1" x14ac:dyDescent="0.25">
      <c r="B308" s="698" t="s">
        <v>167</v>
      </c>
      <c r="C308" s="699"/>
      <c r="D308" s="699"/>
      <c r="E308" s="699"/>
      <c r="F308" s="699"/>
      <c r="G308" s="700"/>
      <c r="H308" s="746" t="s">
        <v>168</v>
      </c>
      <c r="I308" s="746" t="s">
        <v>3</v>
      </c>
      <c r="J308" s="805"/>
      <c r="K308" s="806"/>
      <c r="L308" s="806"/>
      <c r="M308" s="807"/>
      <c r="N308" s="37"/>
      <c r="O308" s="698" t="s">
        <v>167</v>
      </c>
      <c r="P308" s="699"/>
      <c r="Q308" s="699"/>
      <c r="R308" s="699"/>
      <c r="S308" s="746" t="s">
        <v>511</v>
      </c>
      <c r="T308" s="748">
        <f>T306*T307/3</f>
        <v>1.5625E-2</v>
      </c>
      <c r="U308" s="746" t="s">
        <v>3</v>
      </c>
      <c r="V308" s="805"/>
      <c r="W308" s="806"/>
      <c r="X308" s="806"/>
      <c r="Y308" s="807"/>
      <c r="Z308" s="37"/>
      <c r="AA308" s="37"/>
      <c r="AB308" s="37"/>
    </row>
    <row r="309" spans="2:28" s="46" customFormat="1" ht="20.100000000000001" customHeight="1" x14ac:dyDescent="0.25">
      <c r="B309" s="704"/>
      <c r="C309" s="705"/>
      <c r="D309" s="705"/>
      <c r="E309" s="705"/>
      <c r="F309" s="705"/>
      <c r="G309" s="706"/>
      <c r="H309" s="747"/>
      <c r="I309" s="747"/>
      <c r="J309" s="808"/>
      <c r="K309" s="809"/>
      <c r="L309" s="809"/>
      <c r="M309" s="810"/>
      <c r="N309" s="37"/>
      <c r="O309" s="704"/>
      <c r="P309" s="705"/>
      <c r="Q309" s="705"/>
      <c r="R309" s="705"/>
      <c r="S309" s="747"/>
      <c r="T309" s="749"/>
      <c r="U309" s="747"/>
      <c r="V309" s="808"/>
      <c r="W309" s="809"/>
      <c r="X309" s="809"/>
      <c r="Y309" s="810"/>
      <c r="Z309" s="37"/>
      <c r="AA309" s="37"/>
      <c r="AB309" s="37"/>
    </row>
    <row r="310" spans="2:28" s="46" customFormat="1" ht="20.100000000000001" customHeight="1" x14ac:dyDescent="0.25">
      <c r="B310" s="228"/>
      <c r="C310" s="228"/>
      <c r="D310" s="228"/>
      <c r="E310" s="228"/>
      <c r="F310" s="228"/>
      <c r="G310" s="228"/>
      <c r="H310" s="212"/>
      <c r="I310" s="161"/>
      <c r="J310" s="229"/>
      <c r="K310" s="229"/>
      <c r="L310" s="229"/>
      <c r="M310" s="229"/>
      <c r="N310" s="37"/>
      <c r="O310" s="440"/>
      <c r="P310" s="440"/>
      <c r="Q310" s="440"/>
      <c r="R310" s="440"/>
      <c r="S310" s="212"/>
      <c r="T310" s="213"/>
      <c r="U310" s="161"/>
      <c r="V310" s="435"/>
      <c r="W310" s="435"/>
      <c r="X310" s="435"/>
      <c r="Y310" s="435"/>
      <c r="Z310" s="435"/>
      <c r="AA310" s="435"/>
      <c r="AB310" s="435"/>
    </row>
    <row r="311" spans="2:28" s="46" customFormat="1" ht="20.100000000000001" customHeight="1" x14ac:dyDescent="0.25">
      <c r="B311" s="14" t="s">
        <v>505</v>
      </c>
      <c r="C311" s="10"/>
      <c r="D311" s="10"/>
      <c r="E311" s="10"/>
      <c r="F311" s="10"/>
      <c r="G311" s="10"/>
      <c r="H311" s="123"/>
      <c r="I311" s="76"/>
      <c r="J311" s="124"/>
      <c r="K311" s="124"/>
      <c r="L311" s="124"/>
      <c r="M311" s="124"/>
      <c r="N311" s="37"/>
      <c r="O311" s="14" t="s">
        <v>508</v>
      </c>
      <c r="P311" s="10"/>
      <c r="Q311" s="10"/>
      <c r="R311" s="10"/>
      <c r="S311" s="123"/>
      <c r="T311" s="132"/>
      <c r="U311" s="76"/>
      <c r="V311" s="124"/>
      <c r="W311" s="124"/>
      <c r="X311" s="124"/>
      <c r="Y311" s="124"/>
      <c r="Z311" s="124"/>
      <c r="AA311" s="124"/>
      <c r="AB311" s="124"/>
    </row>
    <row r="312" spans="2:28" s="46" customFormat="1" ht="20.100000000000001" customHeight="1" x14ac:dyDescent="0.25">
      <c r="B312" s="752" t="s">
        <v>76</v>
      </c>
      <c r="C312" s="752"/>
      <c r="D312" s="752"/>
      <c r="E312" s="752"/>
      <c r="F312" s="752"/>
      <c r="G312" s="752"/>
      <c r="H312" s="57" t="s">
        <v>371</v>
      </c>
      <c r="I312" s="106" t="s">
        <v>5</v>
      </c>
      <c r="J312" s="816"/>
      <c r="K312" s="817"/>
      <c r="L312" s="817"/>
      <c r="M312" s="818"/>
      <c r="N312" s="37"/>
      <c r="O312" s="752" t="s">
        <v>76</v>
      </c>
      <c r="P312" s="752"/>
      <c r="Q312" s="752"/>
      <c r="R312" s="664"/>
      <c r="S312" s="270" t="s">
        <v>512</v>
      </c>
      <c r="T312" s="214">
        <f>$G$20/(86400)</f>
        <v>1.736111111111111E-3</v>
      </c>
      <c r="U312" s="439" t="s">
        <v>5</v>
      </c>
      <c r="V312" s="816"/>
      <c r="W312" s="817"/>
      <c r="X312" s="817"/>
      <c r="Y312" s="818"/>
      <c r="Z312" s="37"/>
      <c r="AA312" s="37"/>
      <c r="AB312" s="37"/>
    </row>
    <row r="313" spans="2:28" s="46" customFormat="1" ht="20.100000000000001" customHeight="1" x14ac:dyDescent="0.25">
      <c r="B313" s="718" t="s">
        <v>355</v>
      </c>
      <c r="C313" s="719"/>
      <c r="D313" s="719"/>
      <c r="E313" s="719"/>
      <c r="F313" s="719"/>
      <c r="G313" s="720"/>
      <c r="H313" s="153" t="s">
        <v>44</v>
      </c>
      <c r="I313" s="153"/>
      <c r="J313" s="816"/>
      <c r="K313" s="817"/>
      <c r="L313" s="817"/>
      <c r="M313" s="818"/>
      <c r="N313" s="37"/>
      <c r="O313" s="717" t="s">
        <v>355</v>
      </c>
      <c r="P313" s="717"/>
      <c r="Q313" s="717"/>
      <c r="R313" s="718"/>
      <c r="S313" s="442" t="s">
        <v>44</v>
      </c>
      <c r="T313" s="439" t="e">
        <f>#REF!</f>
        <v>#REF!</v>
      </c>
      <c r="U313" s="442"/>
      <c r="V313" s="816"/>
      <c r="W313" s="817"/>
      <c r="X313" s="817"/>
      <c r="Y313" s="818"/>
      <c r="Z313" s="37"/>
      <c r="AA313" s="37"/>
      <c r="AB313" s="37"/>
    </row>
    <row r="314" spans="2:28" s="46" customFormat="1" ht="20.100000000000001" customHeight="1" x14ac:dyDescent="0.25">
      <c r="B314" s="718" t="s">
        <v>251</v>
      </c>
      <c r="C314" s="719"/>
      <c r="D314" s="719"/>
      <c r="E314" s="719"/>
      <c r="F314" s="719"/>
      <c r="G314" s="720"/>
      <c r="H314" s="112" t="s">
        <v>262</v>
      </c>
      <c r="I314" s="153"/>
      <c r="J314" s="816"/>
      <c r="K314" s="817"/>
      <c r="L314" s="817"/>
      <c r="M314" s="818"/>
      <c r="N314" s="37"/>
      <c r="O314" s="717" t="s">
        <v>251</v>
      </c>
      <c r="P314" s="717"/>
      <c r="Q314" s="717"/>
      <c r="R314" s="718"/>
      <c r="S314" s="112" t="s">
        <v>262</v>
      </c>
      <c r="T314" s="214" t="e">
        <f>#REF!</f>
        <v>#REF!</v>
      </c>
      <c r="U314" s="442"/>
      <c r="V314" s="816"/>
      <c r="W314" s="817"/>
      <c r="X314" s="817"/>
      <c r="Y314" s="818"/>
      <c r="Z314" s="37"/>
      <c r="AA314" s="37"/>
      <c r="AB314" s="37"/>
    </row>
    <row r="315" spans="2:28" s="46" customFormat="1" ht="20.100000000000001" customHeight="1" x14ac:dyDescent="0.25">
      <c r="B315" s="738" t="s">
        <v>433</v>
      </c>
      <c r="C315" s="739"/>
      <c r="D315" s="739"/>
      <c r="E315" s="739"/>
      <c r="F315" s="739"/>
      <c r="G315" s="740"/>
      <c r="H315" s="823" t="s">
        <v>440</v>
      </c>
      <c r="I315" s="746" t="s">
        <v>3</v>
      </c>
      <c r="J315" s="805"/>
      <c r="K315" s="806"/>
      <c r="L315" s="806"/>
      <c r="M315" s="807"/>
      <c r="N315" s="37"/>
      <c r="O315" s="717" t="s">
        <v>433</v>
      </c>
      <c r="P315" s="717"/>
      <c r="Q315" s="717"/>
      <c r="R315" s="718"/>
      <c r="S315" s="823" t="s">
        <v>513</v>
      </c>
      <c r="T315" s="748" t="e">
        <f>(1/(2*9.806))*(T312/(T313*T314))^2</f>
        <v>#REF!</v>
      </c>
      <c r="U315" s="746" t="s">
        <v>3</v>
      </c>
      <c r="V315" s="805"/>
      <c r="W315" s="806"/>
      <c r="X315" s="806"/>
      <c r="Y315" s="807"/>
      <c r="Z315" s="37"/>
      <c r="AA315" s="37"/>
      <c r="AB315" s="37"/>
    </row>
    <row r="316" spans="2:28" s="46" customFormat="1" ht="20.100000000000001" customHeight="1" x14ac:dyDescent="0.25">
      <c r="B316" s="741"/>
      <c r="C316" s="742"/>
      <c r="D316" s="742"/>
      <c r="E316" s="742"/>
      <c r="F316" s="742"/>
      <c r="G316" s="743"/>
      <c r="H316" s="824"/>
      <c r="I316" s="747"/>
      <c r="J316" s="808"/>
      <c r="K316" s="809"/>
      <c r="L316" s="809"/>
      <c r="M316" s="810"/>
      <c r="N316" s="37"/>
      <c r="O316" s="717"/>
      <c r="P316" s="717"/>
      <c r="Q316" s="717"/>
      <c r="R316" s="718"/>
      <c r="S316" s="824"/>
      <c r="T316" s="749"/>
      <c r="U316" s="747"/>
      <c r="V316" s="808"/>
      <c r="W316" s="809"/>
      <c r="X316" s="809"/>
      <c r="Y316" s="810"/>
      <c r="Z316" s="37"/>
      <c r="AA316" s="37"/>
      <c r="AB316" s="37"/>
    </row>
    <row r="317" spans="2:28" s="46" customFormat="1" ht="20.100000000000001" customHeight="1" x14ac:dyDescent="0.25">
      <c r="B317" s="228"/>
      <c r="C317" s="228"/>
      <c r="D317" s="228"/>
      <c r="E317" s="228"/>
      <c r="F317" s="228"/>
      <c r="G317" s="228"/>
      <c r="H317" s="212"/>
      <c r="I317" s="161"/>
      <c r="J317" s="229"/>
      <c r="K317" s="229"/>
      <c r="L317" s="229"/>
      <c r="M317" s="229"/>
      <c r="N317" s="37"/>
      <c r="O317" s="440"/>
      <c r="P317" s="440"/>
      <c r="Q317" s="440"/>
      <c r="R317" s="440"/>
      <c r="S317" s="212"/>
      <c r="T317" s="213"/>
      <c r="U317" s="161"/>
      <c r="V317" s="435"/>
      <c r="W317" s="435"/>
      <c r="X317" s="435"/>
      <c r="Y317" s="435"/>
      <c r="Z317" s="435"/>
      <c r="AA317" s="435"/>
      <c r="AB317" s="435"/>
    </row>
    <row r="318" spans="2:28" s="46" customFormat="1" ht="20.100000000000001" customHeight="1" x14ac:dyDescent="0.25">
      <c r="B318" s="32" t="s">
        <v>506</v>
      </c>
      <c r="C318" s="26"/>
      <c r="D318" s="26"/>
      <c r="E318" s="26"/>
      <c r="F318" s="27"/>
      <c r="G318" s="28"/>
      <c r="H318" s="29"/>
      <c r="I318" s="37"/>
      <c r="J318" s="37"/>
      <c r="K318" s="37"/>
      <c r="L318" s="37"/>
      <c r="M318" s="37"/>
      <c r="N318" s="37"/>
      <c r="O318" s="32" t="s">
        <v>510</v>
      </c>
      <c r="P318" s="26"/>
      <c r="Q318" s="26"/>
      <c r="R318" s="26"/>
      <c r="S318" s="29"/>
      <c r="T318" s="37"/>
      <c r="U318" s="37"/>
      <c r="V318" s="37"/>
      <c r="W318" s="37"/>
      <c r="X318" s="37"/>
      <c r="Y318" s="37"/>
      <c r="Z318" s="37"/>
      <c r="AA318" s="37"/>
      <c r="AB318" s="37"/>
    </row>
    <row r="319" spans="2:28" s="46" customFormat="1" ht="20.100000000000001" customHeight="1" x14ac:dyDescent="0.25">
      <c r="B319" s="718" t="s">
        <v>423</v>
      </c>
      <c r="C319" s="719"/>
      <c r="D319" s="719"/>
      <c r="E319" s="719"/>
      <c r="F319" s="719"/>
      <c r="G319" s="720"/>
      <c r="H319" s="811" t="str">
        <f>$H$238</f>
        <v>Acero al carbono API 5L SCH-40</v>
      </c>
      <c r="I319" s="813"/>
      <c r="J319" s="714"/>
      <c r="K319" s="715"/>
      <c r="L319" s="715"/>
      <c r="M319" s="716"/>
      <c r="N319" s="37"/>
      <c r="O319" s="717" t="s">
        <v>423</v>
      </c>
      <c r="P319" s="717"/>
      <c r="Q319" s="717"/>
      <c r="R319" s="718"/>
      <c r="S319" s="811" t="str">
        <f>$H$238</f>
        <v>Acero al carbono API 5L SCH-40</v>
      </c>
      <c r="T319" s="812"/>
      <c r="U319" s="813"/>
      <c r="V319" s="714"/>
      <c r="W319" s="715"/>
      <c r="X319" s="715"/>
      <c r="Y319" s="716"/>
      <c r="Z319" s="50"/>
      <c r="AA319" s="50"/>
      <c r="AB319" s="50"/>
    </row>
    <row r="320" spans="2:28" s="46" customFormat="1" ht="20.100000000000001" customHeight="1" x14ac:dyDescent="0.25">
      <c r="B320" s="718" t="s">
        <v>320</v>
      </c>
      <c r="C320" s="719"/>
      <c r="D320" s="719"/>
      <c r="E320" s="719"/>
      <c r="F320" s="719"/>
      <c r="G320" s="720"/>
      <c r="H320" s="240" t="s">
        <v>326</v>
      </c>
      <c r="I320" s="106" t="s">
        <v>125</v>
      </c>
      <c r="J320" s="363"/>
      <c r="K320" s="364"/>
      <c r="L320" s="364"/>
      <c r="M320" s="365"/>
      <c r="N320" s="37"/>
      <c r="O320" s="717" t="s">
        <v>320</v>
      </c>
      <c r="P320" s="717"/>
      <c r="Q320" s="717"/>
      <c r="R320" s="718"/>
      <c r="S320" s="437" t="s">
        <v>326</v>
      </c>
      <c r="T320" s="214" t="e">
        <f>#REF!</f>
        <v>#REF!</v>
      </c>
      <c r="U320" s="439" t="s">
        <v>125</v>
      </c>
      <c r="V320" s="427"/>
      <c r="W320" s="428"/>
      <c r="X320" s="428"/>
      <c r="Y320" s="429"/>
      <c r="Z320" s="108"/>
      <c r="AA320" s="108"/>
      <c r="AB320" s="108"/>
    </row>
    <row r="321" spans="2:28" s="46" customFormat="1" ht="20.100000000000001" customHeight="1" x14ac:dyDescent="0.25">
      <c r="B321" s="718" t="s">
        <v>424</v>
      </c>
      <c r="C321" s="719"/>
      <c r="D321" s="719"/>
      <c r="E321" s="719"/>
      <c r="F321" s="719"/>
      <c r="G321" s="720"/>
      <c r="H321" s="240" t="s">
        <v>428</v>
      </c>
      <c r="I321" s="106" t="s">
        <v>3</v>
      </c>
      <c r="J321" s="363"/>
      <c r="K321" s="364"/>
      <c r="L321" s="364"/>
      <c r="M321" s="365"/>
      <c r="N321" s="37"/>
      <c r="O321" s="718" t="s">
        <v>424</v>
      </c>
      <c r="P321" s="719"/>
      <c r="Q321" s="719"/>
      <c r="R321" s="719"/>
      <c r="S321" s="437" t="s">
        <v>428</v>
      </c>
      <c r="T321" s="441" t="e">
        <f>#REF!</f>
        <v>#REF!</v>
      </c>
      <c r="U321" s="439" t="s">
        <v>3</v>
      </c>
      <c r="V321" s="427"/>
      <c r="W321" s="428"/>
      <c r="X321" s="428"/>
      <c r="Y321" s="429"/>
      <c r="Z321" s="108"/>
      <c r="AA321" s="108"/>
      <c r="AB321" s="108"/>
    </row>
    <row r="322" spans="2:28" s="46" customFormat="1" ht="20.100000000000001" customHeight="1" x14ac:dyDescent="0.25">
      <c r="B322" s="718" t="s">
        <v>425</v>
      </c>
      <c r="C322" s="719"/>
      <c r="D322" s="719"/>
      <c r="E322" s="719"/>
      <c r="F322" s="719"/>
      <c r="G322" s="720"/>
      <c r="H322" s="240" t="s">
        <v>431</v>
      </c>
      <c r="I322" s="106" t="str">
        <f>IF($H$238=$BP$9,"pulgadas",IF($H$238=$BP$10,"pulgadas",IF($H$238=$BP$11,"mm",IF($H$238=$BP$12,"mm",IF($H$238=$BP$13,"mm",IF($H$238=$BP$14,"mm",IF($H$238=$BP$15,"pulgadas",IF($H$238=$BP$16,"pulgadas",""))))))))</f>
        <v>pulgadas</v>
      </c>
      <c r="J322" s="714"/>
      <c r="K322" s="715"/>
      <c r="L322" s="715"/>
      <c r="M322" s="716"/>
      <c r="N322" s="37"/>
      <c r="O322" s="718" t="s">
        <v>425</v>
      </c>
      <c r="P322" s="719"/>
      <c r="Q322" s="719"/>
      <c r="R322" s="719"/>
      <c r="S322" s="437" t="s">
        <v>431</v>
      </c>
      <c r="T322" s="441" t="e">
        <f>#REF!</f>
        <v>#REF!</v>
      </c>
      <c r="U322" s="439" t="str">
        <f>IF($H$238=$BP$9,"pulgadas",IF($H$238=$BP$10,"pulgadas",IF($H$238=$BP$11,"mm",IF($H$238=$BP$12,"mm",IF($H$238=$BP$13,"mm",IF($H$238=$BP$14,"mm",IF($H$238=$BP$15,"pulgadas",IF($H$238=$BP$16,"pulgadas",""))))))))</f>
        <v>pulgadas</v>
      </c>
      <c r="V322" s="714"/>
      <c r="W322" s="715"/>
      <c r="X322" s="715"/>
      <c r="Y322" s="716"/>
      <c r="Z322" s="50"/>
      <c r="AA322" s="50"/>
      <c r="AB322" s="50"/>
    </row>
    <row r="323" spans="2:28" s="46" customFormat="1" ht="20.100000000000001" customHeight="1" x14ac:dyDescent="0.25">
      <c r="B323" s="718" t="s">
        <v>426</v>
      </c>
      <c r="C323" s="719"/>
      <c r="D323" s="719"/>
      <c r="E323" s="719"/>
      <c r="F323" s="719"/>
      <c r="G323" s="720"/>
      <c r="H323" s="240" t="s">
        <v>429</v>
      </c>
      <c r="I323" s="106" t="s">
        <v>3</v>
      </c>
      <c r="J323" s="714"/>
      <c r="K323" s="715"/>
      <c r="L323" s="715"/>
      <c r="M323" s="716"/>
      <c r="N323" s="37"/>
      <c r="O323" s="718" t="s">
        <v>426</v>
      </c>
      <c r="P323" s="719"/>
      <c r="Q323" s="719"/>
      <c r="R323" s="719"/>
      <c r="S323" s="437" t="s">
        <v>429</v>
      </c>
      <c r="T323" s="438" t="e">
        <f>#REF!</f>
        <v>#REF!</v>
      </c>
      <c r="U323" s="439" t="s">
        <v>3</v>
      </c>
      <c r="V323" s="714"/>
      <c r="W323" s="715"/>
      <c r="X323" s="715"/>
      <c r="Y323" s="716"/>
      <c r="Z323" s="50"/>
      <c r="AA323" s="50"/>
      <c r="AB323" s="50"/>
    </row>
    <row r="324" spans="2:28" s="46" customFormat="1" ht="20.100000000000001" customHeight="1" x14ac:dyDescent="0.25">
      <c r="B324" s="718" t="s">
        <v>421</v>
      </c>
      <c r="C324" s="719"/>
      <c r="D324" s="719"/>
      <c r="E324" s="719"/>
      <c r="F324" s="719"/>
      <c r="G324" s="720"/>
      <c r="H324" s="234" t="s">
        <v>422</v>
      </c>
      <c r="I324" s="232" t="s">
        <v>161</v>
      </c>
      <c r="J324" s="714"/>
      <c r="K324" s="715"/>
      <c r="L324" s="715"/>
      <c r="M324" s="716"/>
      <c r="N324" s="37"/>
      <c r="O324" s="718" t="s">
        <v>421</v>
      </c>
      <c r="P324" s="719"/>
      <c r="Q324" s="719"/>
      <c r="R324" s="719"/>
      <c r="S324" s="433" t="s">
        <v>514</v>
      </c>
      <c r="T324" s="436" t="e">
        <f>$G$20/(86400)*#REF!</f>
        <v>#REF!</v>
      </c>
      <c r="U324" s="430" t="s">
        <v>161</v>
      </c>
      <c r="V324" s="714"/>
      <c r="W324" s="715"/>
      <c r="X324" s="715"/>
      <c r="Y324" s="716"/>
      <c r="Z324" s="50"/>
      <c r="AA324" s="50"/>
      <c r="AB324" s="50"/>
    </row>
    <row r="325" spans="2:28" s="46" customFormat="1" ht="20.100000000000001" customHeight="1" x14ac:dyDescent="0.25">
      <c r="B325" s="698" t="s">
        <v>427</v>
      </c>
      <c r="C325" s="699"/>
      <c r="D325" s="699"/>
      <c r="E325" s="699"/>
      <c r="F325" s="699"/>
      <c r="G325" s="700"/>
      <c r="H325" s="814" t="s">
        <v>430</v>
      </c>
      <c r="I325" s="707" t="s">
        <v>5</v>
      </c>
      <c r="J325" s="701"/>
      <c r="K325" s="702"/>
      <c r="L325" s="702"/>
      <c r="M325" s="703"/>
      <c r="N325" s="37"/>
      <c r="O325" s="698" t="s">
        <v>427</v>
      </c>
      <c r="P325" s="699"/>
      <c r="Q325" s="699"/>
      <c r="R325" s="699"/>
      <c r="S325" s="814" t="s">
        <v>515</v>
      </c>
      <c r="T325" s="748" t="e">
        <f>(4*T324)/(PI()*(T323^2))</f>
        <v>#REF!</v>
      </c>
      <c r="U325" s="707" t="s">
        <v>5</v>
      </c>
      <c r="V325" s="701"/>
      <c r="W325" s="702"/>
      <c r="X325" s="702"/>
      <c r="Y325" s="703"/>
      <c r="Z325" s="50"/>
      <c r="AA325" s="50"/>
      <c r="AB325" s="50"/>
    </row>
    <row r="326" spans="2:28" s="46" customFormat="1" ht="20.100000000000001" customHeight="1" x14ac:dyDescent="0.25">
      <c r="B326" s="704"/>
      <c r="C326" s="705"/>
      <c r="D326" s="705"/>
      <c r="E326" s="705"/>
      <c r="F326" s="705"/>
      <c r="G326" s="706"/>
      <c r="H326" s="815"/>
      <c r="I326" s="708"/>
      <c r="J326" s="711"/>
      <c r="K326" s="712"/>
      <c r="L326" s="712"/>
      <c r="M326" s="713"/>
      <c r="N326" s="37"/>
      <c r="O326" s="704"/>
      <c r="P326" s="705"/>
      <c r="Q326" s="705"/>
      <c r="R326" s="705"/>
      <c r="S326" s="815"/>
      <c r="T326" s="749"/>
      <c r="U326" s="708"/>
      <c r="V326" s="711"/>
      <c r="W326" s="712"/>
      <c r="X326" s="712"/>
      <c r="Y326" s="713"/>
      <c r="Z326" s="50"/>
      <c r="AA326" s="50"/>
      <c r="AB326" s="50"/>
    </row>
    <row r="327" spans="2:28" s="46" customFormat="1" ht="20.100000000000001" customHeight="1" x14ac:dyDescent="0.25">
      <c r="B327" s="698" t="s">
        <v>344</v>
      </c>
      <c r="C327" s="699"/>
      <c r="D327" s="699"/>
      <c r="E327" s="699"/>
      <c r="F327" s="699"/>
      <c r="G327" s="700"/>
      <c r="H327" s="814"/>
      <c r="I327" s="707" t="s">
        <v>3</v>
      </c>
      <c r="J327" s="701"/>
      <c r="K327" s="702"/>
      <c r="L327" s="702"/>
      <c r="M327" s="703"/>
      <c r="N327" s="37"/>
      <c r="O327" s="698" t="s">
        <v>344</v>
      </c>
      <c r="P327" s="699"/>
      <c r="Q327" s="699"/>
      <c r="R327" s="699"/>
      <c r="S327" s="814"/>
      <c r="T327" s="748" t="e">
        <f>(T325^2)/(2*9.806)</f>
        <v>#REF!</v>
      </c>
      <c r="U327" s="707" t="s">
        <v>3</v>
      </c>
      <c r="V327" s="701"/>
      <c r="W327" s="702"/>
      <c r="X327" s="702"/>
      <c r="Y327" s="703"/>
      <c r="Z327" s="50"/>
      <c r="AA327" s="50"/>
      <c r="AB327" s="50"/>
    </row>
    <row r="328" spans="2:28" s="46" customFormat="1" ht="20.100000000000001" customHeight="1" x14ac:dyDescent="0.25">
      <c r="B328" s="704"/>
      <c r="C328" s="705"/>
      <c r="D328" s="705"/>
      <c r="E328" s="705"/>
      <c r="F328" s="705"/>
      <c r="G328" s="706"/>
      <c r="H328" s="815"/>
      <c r="I328" s="708"/>
      <c r="J328" s="711"/>
      <c r="K328" s="712"/>
      <c r="L328" s="712"/>
      <c r="M328" s="713"/>
      <c r="N328" s="37"/>
      <c r="O328" s="704"/>
      <c r="P328" s="705"/>
      <c r="Q328" s="705"/>
      <c r="R328" s="705"/>
      <c r="S328" s="815"/>
      <c r="T328" s="749"/>
      <c r="U328" s="708"/>
      <c r="V328" s="711"/>
      <c r="W328" s="712"/>
      <c r="X328" s="712"/>
      <c r="Y328" s="713"/>
      <c r="Z328" s="50"/>
      <c r="AA328" s="50"/>
      <c r="AB328" s="50"/>
    </row>
    <row r="329" spans="2:28" s="46" customFormat="1" ht="20.100000000000001" customHeight="1" x14ac:dyDescent="0.25">
      <c r="B329" s="664" t="e">
        <f>B33</f>
        <v>#REF!</v>
      </c>
      <c r="C329" s="665"/>
      <c r="D329" s="665"/>
      <c r="E329" s="665"/>
      <c r="F329" s="665"/>
      <c r="G329" s="666"/>
      <c r="H329" s="17" t="s">
        <v>2</v>
      </c>
      <c r="I329" s="78" t="s">
        <v>164</v>
      </c>
      <c r="J329" s="714"/>
      <c r="K329" s="715"/>
      <c r="L329" s="715"/>
      <c r="M329" s="716"/>
      <c r="N329" s="37"/>
      <c r="O329" s="664" t="e">
        <f>B33</f>
        <v>#REF!</v>
      </c>
      <c r="P329" s="665"/>
      <c r="Q329" s="665"/>
      <c r="R329" s="665"/>
      <c r="S329" s="17" t="s">
        <v>2</v>
      </c>
      <c r="T329" s="227" t="e">
        <f>#REF!</f>
        <v>#REF!</v>
      </c>
      <c r="U329" s="78" t="s">
        <v>164</v>
      </c>
      <c r="V329" s="714"/>
      <c r="W329" s="715"/>
      <c r="X329" s="715"/>
      <c r="Y329" s="716"/>
      <c r="Z329" s="50"/>
      <c r="AA329" s="50"/>
      <c r="AB329" s="50"/>
    </row>
    <row r="330" spans="2:28" s="46" customFormat="1" ht="20.100000000000001" customHeight="1" x14ac:dyDescent="0.25">
      <c r="B330" s="698" t="s">
        <v>53</v>
      </c>
      <c r="C330" s="699"/>
      <c r="D330" s="699"/>
      <c r="E330" s="699"/>
      <c r="F330" s="699"/>
      <c r="G330" s="700"/>
      <c r="H330" s="707" t="s">
        <v>1</v>
      </c>
      <c r="I330" s="727"/>
      <c r="J330" s="805"/>
      <c r="K330" s="806"/>
      <c r="L330" s="806"/>
      <c r="M330" s="807"/>
      <c r="N330" s="37"/>
      <c r="O330" s="698" t="s">
        <v>53</v>
      </c>
      <c r="P330" s="699"/>
      <c r="Q330" s="699"/>
      <c r="R330" s="699"/>
      <c r="S330" s="707" t="s">
        <v>516</v>
      </c>
      <c r="T330" s="814" t="e">
        <f>T325*T323/T329</f>
        <v>#REF!</v>
      </c>
      <c r="U330" s="727"/>
      <c r="V330" s="805"/>
      <c r="W330" s="806"/>
      <c r="X330" s="806"/>
      <c r="Y330" s="807"/>
      <c r="Z330" s="37"/>
      <c r="AA330" s="37"/>
      <c r="AB330" s="37"/>
    </row>
    <row r="331" spans="2:28" s="46" customFormat="1" ht="20.100000000000001" customHeight="1" x14ac:dyDescent="0.25">
      <c r="B331" s="704"/>
      <c r="C331" s="705"/>
      <c r="D331" s="705"/>
      <c r="E331" s="705"/>
      <c r="F331" s="705"/>
      <c r="G331" s="706"/>
      <c r="H331" s="708"/>
      <c r="I331" s="728"/>
      <c r="J331" s="808"/>
      <c r="K331" s="809"/>
      <c r="L331" s="809"/>
      <c r="M331" s="810"/>
      <c r="N331" s="37"/>
      <c r="O331" s="704"/>
      <c r="P331" s="705"/>
      <c r="Q331" s="705"/>
      <c r="R331" s="705"/>
      <c r="S331" s="708"/>
      <c r="T331" s="815"/>
      <c r="U331" s="728"/>
      <c r="V331" s="808"/>
      <c r="W331" s="809"/>
      <c r="X331" s="809"/>
      <c r="Y331" s="810"/>
      <c r="Z331" s="37"/>
      <c r="AA331" s="37"/>
      <c r="AB331" s="37"/>
    </row>
    <row r="332" spans="2:28" s="46" customFormat="1" ht="20.100000000000001" customHeight="1" x14ac:dyDescent="0.25">
      <c r="B332" s="664" t="s">
        <v>321</v>
      </c>
      <c r="C332" s="665"/>
      <c r="D332" s="665"/>
      <c r="E332" s="665"/>
      <c r="F332" s="665"/>
      <c r="G332" s="666"/>
      <c r="H332" s="233" t="s">
        <v>319</v>
      </c>
      <c r="I332" s="236"/>
      <c r="J332" s="366"/>
      <c r="K332" s="367"/>
      <c r="L332" s="367"/>
      <c r="M332" s="368"/>
      <c r="N332" s="37"/>
      <c r="O332" s="664" t="s">
        <v>321</v>
      </c>
      <c r="P332" s="665"/>
      <c r="Q332" s="665"/>
      <c r="R332" s="665"/>
      <c r="S332" s="431" t="s">
        <v>319</v>
      </c>
      <c r="T332" s="269" t="e">
        <f>#REF!</f>
        <v>#REF!</v>
      </c>
      <c r="U332" s="432"/>
      <c r="V332" s="424"/>
      <c r="W332" s="425"/>
      <c r="X332" s="425"/>
      <c r="Y332" s="426"/>
      <c r="Z332" s="435"/>
      <c r="AA332" s="435"/>
      <c r="AB332" s="435"/>
    </row>
    <row r="333" spans="2:28" s="46" customFormat="1" ht="20.100000000000001" customHeight="1" x14ac:dyDescent="0.25">
      <c r="B333" s="698" t="s">
        <v>322</v>
      </c>
      <c r="C333" s="699"/>
      <c r="D333" s="699"/>
      <c r="E333" s="699"/>
      <c r="F333" s="699"/>
      <c r="G333" s="700"/>
      <c r="H333" s="707" t="s">
        <v>319</v>
      </c>
      <c r="I333" s="727"/>
      <c r="J333" s="835"/>
      <c r="K333" s="836"/>
      <c r="L333" s="836"/>
      <c r="M333" s="837"/>
      <c r="N333" s="37"/>
      <c r="O333" s="698" t="s">
        <v>322</v>
      </c>
      <c r="P333" s="699"/>
      <c r="Q333" s="699"/>
      <c r="R333" s="699"/>
      <c r="S333" s="707" t="s">
        <v>319</v>
      </c>
      <c r="T333" s="668" t="e">
        <f>(1/(-2*LOG10(($T$320/1000)/(3.7*$T$323)+2.51/($T$330*SQRT(T332)))))^2</f>
        <v>#REF!</v>
      </c>
      <c r="U333" s="727"/>
      <c r="V333" s="835"/>
      <c r="W333" s="836"/>
      <c r="X333" s="836"/>
      <c r="Y333" s="837"/>
      <c r="Z333" s="37"/>
      <c r="AA333" s="37"/>
      <c r="AB333" s="37"/>
    </row>
    <row r="334" spans="2:28" s="46" customFormat="1" ht="20.100000000000001" customHeight="1" x14ac:dyDescent="0.25">
      <c r="B334" s="704"/>
      <c r="C334" s="705"/>
      <c r="D334" s="705"/>
      <c r="E334" s="705"/>
      <c r="F334" s="705"/>
      <c r="G334" s="706"/>
      <c r="H334" s="708"/>
      <c r="I334" s="728"/>
      <c r="J334" s="838"/>
      <c r="K334" s="839"/>
      <c r="L334" s="839"/>
      <c r="M334" s="840"/>
      <c r="N334" s="37"/>
      <c r="O334" s="704"/>
      <c r="P334" s="705"/>
      <c r="Q334" s="705"/>
      <c r="R334" s="705"/>
      <c r="S334" s="708"/>
      <c r="T334" s="669"/>
      <c r="U334" s="728"/>
      <c r="V334" s="838"/>
      <c r="W334" s="839"/>
      <c r="X334" s="839"/>
      <c r="Y334" s="840"/>
      <c r="Z334" s="37"/>
      <c r="AA334" s="37"/>
      <c r="AB334" s="37"/>
    </row>
    <row r="335" spans="2:28" s="46" customFormat="1" ht="20.100000000000001" customHeight="1" x14ac:dyDescent="0.25">
      <c r="B335" s="664" t="s">
        <v>323</v>
      </c>
      <c r="C335" s="665"/>
      <c r="D335" s="665"/>
      <c r="E335" s="665"/>
      <c r="F335" s="665"/>
      <c r="G335" s="666"/>
      <c r="H335" s="233" t="s">
        <v>319</v>
      </c>
      <c r="I335" s="236"/>
      <c r="J335" s="366"/>
      <c r="K335" s="367"/>
      <c r="L335" s="367"/>
      <c r="M335" s="368"/>
      <c r="N335" s="37"/>
      <c r="O335" s="664" t="s">
        <v>323</v>
      </c>
      <c r="P335" s="665"/>
      <c r="Q335" s="665"/>
      <c r="R335" s="665"/>
      <c r="S335" s="431" t="s">
        <v>319</v>
      </c>
      <c r="T335" s="465" t="e">
        <f>(1/(-2*LOG10(($T$320/1000)/(3.7*$T$323)+2.51/($T$330*SQRT(T333)))))^2</f>
        <v>#REF!</v>
      </c>
      <c r="U335" s="432"/>
      <c r="V335" s="424"/>
      <c r="W335" s="425"/>
      <c r="X335" s="425"/>
      <c r="Y335" s="426"/>
      <c r="Z335" s="435"/>
      <c r="AA335" s="435"/>
      <c r="AB335" s="435"/>
    </row>
    <row r="336" spans="2:28" s="46" customFormat="1" ht="20.100000000000001" customHeight="1" x14ac:dyDescent="0.25">
      <c r="B336" s="664" t="s">
        <v>324</v>
      </c>
      <c r="C336" s="665"/>
      <c r="D336" s="665"/>
      <c r="E336" s="665"/>
      <c r="F336" s="665"/>
      <c r="G336" s="666"/>
      <c r="H336" s="233" t="s">
        <v>319</v>
      </c>
      <c r="I336" s="236"/>
      <c r="J336" s="366"/>
      <c r="K336" s="367"/>
      <c r="L336" s="367"/>
      <c r="M336" s="368"/>
      <c r="N336" s="37"/>
      <c r="O336" s="664" t="s">
        <v>324</v>
      </c>
      <c r="P336" s="665"/>
      <c r="Q336" s="665"/>
      <c r="R336" s="665"/>
      <c r="S336" s="431" t="s">
        <v>319</v>
      </c>
      <c r="T336" s="465" t="e">
        <f>(1/(-2*LOG10(($T$320/1000)/(3.7*$T$323)+2.51/($T$330*SQRT(T335)))))^2</f>
        <v>#REF!</v>
      </c>
      <c r="U336" s="432"/>
      <c r="V336" s="424"/>
      <c r="W336" s="425"/>
      <c r="X336" s="425"/>
      <c r="Y336" s="426"/>
      <c r="Z336" s="435"/>
      <c r="AA336" s="435"/>
      <c r="AB336" s="435"/>
    </row>
    <row r="337" spans="2:28" s="46" customFormat="1" ht="20.100000000000001" customHeight="1" x14ac:dyDescent="0.25">
      <c r="B337" s="664" t="s">
        <v>325</v>
      </c>
      <c r="C337" s="665"/>
      <c r="D337" s="665"/>
      <c r="E337" s="665"/>
      <c r="F337" s="665"/>
      <c r="G337" s="666"/>
      <c r="H337" s="233" t="s">
        <v>319</v>
      </c>
      <c r="I337" s="153"/>
      <c r="J337" s="816"/>
      <c r="K337" s="817"/>
      <c r="L337" s="817"/>
      <c r="M337" s="818"/>
      <c r="N337" s="37"/>
      <c r="O337" s="664" t="s">
        <v>325</v>
      </c>
      <c r="P337" s="665"/>
      <c r="Q337" s="665"/>
      <c r="R337" s="665"/>
      <c r="S337" s="431" t="s">
        <v>319</v>
      </c>
      <c r="T337" s="465" t="e">
        <f>(1/(-2*LOG10(($T$320/1000)/(3.7*$T$323)+2.51/($T$330*SQRT(T336)))))^2</f>
        <v>#REF!</v>
      </c>
      <c r="U337" s="442"/>
      <c r="V337" s="816"/>
      <c r="W337" s="817"/>
      <c r="X337" s="817"/>
      <c r="Y337" s="818"/>
      <c r="Z337" s="37"/>
      <c r="AA337" s="37"/>
      <c r="AB337" s="37"/>
    </row>
    <row r="338" spans="2:28" s="46" customFormat="1" ht="20.100000000000001" customHeight="1" x14ac:dyDescent="0.25">
      <c r="B338" s="698" t="s">
        <v>432</v>
      </c>
      <c r="C338" s="699"/>
      <c r="D338" s="699"/>
      <c r="E338" s="699"/>
      <c r="F338" s="699"/>
      <c r="G338" s="700"/>
      <c r="H338" s="814" t="s">
        <v>441</v>
      </c>
      <c r="I338" s="727" t="s">
        <v>3</v>
      </c>
      <c r="J338" s="805"/>
      <c r="K338" s="806"/>
      <c r="L338" s="806"/>
      <c r="M338" s="807"/>
      <c r="N338" s="37"/>
      <c r="O338" s="698" t="s">
        <v>432</v>
      </c>
      <c r="P338" s="699"/>
      <c r="Q338" s="699"/>
      <c r="R338" s="699"/>
      <c r="S338" s="814" t="s">
        <v>500</v>
      </c>
      <c r="T338" s="819" t="e">
        <f>T337*(T321/T323)*T327</f>
        <v>#REF!</v>
      </c>
      <c r="U338" s="727" t="s">
        <v>3</v>
      </c>
      <c r="V338" s="805"/>
      <c r="W338" s="806"/>
      <c r="X338" s="806"/>
      <c r="Y338" s="807"/>
      <c r="Z338" s="37"/>
      <c r="AA338" s="37"/>
      <c r="AB338" s="37"/>
    </row>
    <row r="339" spans="2:28" s="46" customFormat="1" ht="20.100000000000001" customHeight="1" x14ac:dyDescent="0.25">
      <c r="B339" s="704"/>
      <c r="C339" s="705"/>
      <c r="D339" s="705"/>
      <c r="E339" s="705"/>
      <c r="F339" s="705"/>
      <c r="G339" s="706"/>
      <c r="H339" s="815"/>
      <c r="I339" s="728"/>
      <c r="J339" s="808"/>
      <c r="K339" s="809"/>
      <c r="L339" s="809"/>
      <c r="M339" s="810"/>
      <c r="N339" s="37"/>
      <c r="O339" s="704"/>
      <c r="P339" s="705"/>
      <c r="Q339" s="705"/>
      <c r="R339" s="705"/>
      <c r="S339" s="815"/>
      <c r="T339" s="820"/>
      <c r="U339" s="728"/>
      <c r="V339" s="808"/>
      <c r="W339" s="809"/>
      <c r="X339" s="809"/>
      <c r="Y339" s="810"/>
      <c r="Z339" s="37"/>
      <c r="AA339" s="37"/>
      <c r="AB339" s="37"/>
    </row>
    <row r="340" spans="2:28" s="46" customFormat="1" ht="20.100000000000001" customHeight="1" x14ac:dyDescent="0.25">
      <c r="B340" s="228"/>
      <c r="C340" s="228"/>
      <c r="D340" s="228"/>
      <c r="E340" s="228"/>
      <c r="F340" s="228"/>
      <c r="G340" s="228"/>
      <c r="H340" s="212"/>
      <c r="I340" s="161"/>
      <c r="J340" s="229"/>
      <c r="K340" s="229"/>
      <c r="L340" s="229"/>
      <c r="M340" s="229"/>
      <c r="N340" s="37"/>
      <c r="O340" s="440"/>
      <c r="P340" s="440"/>
      <c r="Q340" s="440"/>
      <c r="R340" s="440"/>
      <c r="S340" s="212"/>
      <c r="T340" s="213"/>
      <c r="U340" s="161"/>
      <c r="V340" s="435"/>
      <c r="W340" s="435"/>
      <c r="X340" s="435"/>
      <c r="Y340" s="435"/>
      <c r="Z340" s="435"/>
      <c r="AA340" s="435"/>
      <c r="AB340" s="435"/>
    </row>
    <row r="341" spans="2:28" s="46" customFormat="1" ht="20.100000000000001" customHeight="1" x14ac:dyDescent="0.25">
      <c r="B341" s="22" t="s">
        <v>507</v>
      </c>
      <c r="C341" s="239"/>
      <c r="D341" s="239"/>
      <c r="E341" s="239"/>
      <c r="F341" s="239"/>
      <c r="G341" s="239"/>
      <c r="H341" s="159"/>
      <c r="I341" s="161"/>
      <c r="J341" s="238"/>
      <c r="K341" s="238"/>
      <c r="L341" s="238"/>
      <c r="M341" s="238"/>
      <c r="N341" s="37"/>
      <c r="O341" s="22" t="s">
        <v>517</v>
      </c>
      <c r="P341" s="440"/>
      <c r="Q341" s="440"/>
      <c r="R341" s="440"/>
      <c r="S341" s="159"/>
      <c r="T341" s="160"/>
      <c r="U341" s="161"/>
      <c r="V341" s="435"/>
      <c r="W341" s="435"/>
      <c r="X341" s="435"/>
      <c r="Y341" s="435"/>
      <c r="Z341" s="435"/>
      <c r="AA341" s="435"/>
      <c r="AB341" s="435"/>
    </row>
    <row r="342" spans="2:28" s="46" customFormat="1" ht="20.100000000000001" customHeight="1" x14ac:dyDescent="0.25">
      <c r="B342" s="900" t="s">
        <v>295</v>
      </c>
      <c r="C342" s="900"/>
      <c r="D342" s="900"/>
      <c r="E342" s="900"/>
      <c r="F342" s="900"/>
      <c r="G342" s="892"/>
      <c r="H342" s="803" t="s">
        <v>341</v>
      </c>
      <c r="I342" s="791" t="s">
        <v>359</v>
      </c>
      <c r="J342" s="203"/>
      <c r="K342" s="80"/>
      <c r="L342" s="80"/>
      <c r="M342" s="238"/>
      <c r="N342" s="37"/>
      <c r="O342" s="792" t="s">
        <v>295</v>
      </c>
      <c r="P342" s="793"/>
      <c r="Q342" s="793"/>
      <c r="R342" s="794"/>
      <c r="S342" s="803" t="s">
        <v>341</v>
      </c>
      <c r="T342" s="786" t="s">
        <v>337</v>
      </c>
      <c r="U342" s="791" t="s">
        <v>359</v>
      </c>
      <c r="V342" s="203"/>
      <c r="W342" s="80"/>
      <c r="X342" s="80"/>
      <c r="Y342" s="435"/>
      <c r="Z342" s="80"/>
      <c r="AA342" s="80"/>
      <c r="AB342" s="435"/>
    </row>
    <row r="343" spans="2:28" s="46" customFormat="1" ht="20.100000000000001" customHeight="1" x14ac:dyDescent="0.25">
      <c r="B343" s="900"/>
      <c r="C343" s="900"/>
      <c r="D343" s="900"/>
      <c r="E343" s="900"/>
      <c r="F343" s="900"/>
      <c r="G343" s="892"/>
      <c r="H343" s="804"/>
      <c r="I343" s="791"/>
      <c r="J343" s="203"/>
      <c r="K343" s="37"/>
      <c r="L343" s="37"/>
      <c r="M343" s="238"/>
      <c r="N343" s="37"/>
      <c r="O343" s="795"/>
      <c r="P343" s="796"/>
      <c r="Q343" s="796"/>
      <c r="R343" s="797"/>
      <c r="S343" s="804"/>
      <c r="T343" s="786"/>
      <c r="U343" s="791"/>
      <c r="V343" s="203"/>
      <c r="W343" s="37"/>
      <c r="X343" s="37"/>
      <c r="Y343" s="435"/>
      <c r="Z343" s="37"/>
      <c r="AA343" s="37"/>
      <c r="AB343" s="435"/>
    </row>
    <row r="344" spans="2:28" s="46" customFormat="1" ht="20.100000000000001" customHeight="1" x14ac:dyDescent="0.25">
      <c r="B344" s="900"/>
      <c r="C344" s="900"/>
      <c r="D344" s="900"/>
      <c r="E344" s="900"/>
      <c r="F344" s="900"/>
      <c r="G344" s="892"/>
      <c r="H344" s="192" t="str">
        <f>IF(H309=BP72,"(pulgadas)",IF(H309=BP73,"(pulgadas)",IF(H309=#REF!,"(mm)",IF(H309=BP74,"(mm)",IF(H309=BP75,"(mm)",IF(H309=BP76,"(mm)",IF(H309=BP77,"(pulgadas)",IF(H309=BP78,"(pulgadas)"))))))))</f>
        <v>(pulgadas)</v>
      </c>
      <c r="I344" s="791"/>
      <c r="J344" s="204"/>
      <c r="K344" s="37"/>
      <c r="L344" s="37"/>
      <c r="M344" s="238"/>
      <c r="N344" s="37"/>
      <c r="O344" s="798"/>
      <c r="P344" s="799"/>
      <c r="Q344" s="799"/>
      <c r="R344" s="800"/>
      <c r="S344" s="192" t="str">
        <f>IF(S309=CB72,"(pulgadas)",IF(S309=CB73,"(pulgadas)",IF(S309=#REF!,"(mm)",IF(S309=CB74,"(mm)",IF(S309=CB75,"(mm)",IF(S309=CB76,"(mm)",IF(S309=CB77,"(pulgadas)",IF(S309=CB78,"(pulgadas)"))))))))</f>
        <v>(pulgadas)</v>
      </c>
      <c r="T344" s="786"/>
      <c r="U344" s="791"/>
      <c r="V344" s="204"/>
      <c r="W344" s="37"/>
      <c r="X344" s="37"/>
      <c r="Y344" s="435"/>
      <c r="Z344" s="37"/>
      <c r="AA344" s="37"/>
      <c r="AB344" s="435"/>
    </row>
    <row r="345" spans="2:28" s="46" customFormat="1" ht="20.100000000000001" customHeight="1" x14ac:dyDescent="0.25">
      <c r="B345" s="664" t="s">
        <v>299</v>
      </c>
      <c r="C345" s="665"/>
      <c r="D345" s="665"/>
      <c r="E345" s="665"/>
      <c r="F345" s="665"/>
      <c r="G345" s="666"/>
      <c r="H345" s="235" t="e">
        <f>#REF!</f>
        <v>#REF!</v>
      </c>
      <c r="I345" s="94" t="e">
        <f>IF(B345=CD9,HLOOKUP(H345,$CG$7:$DJ$23,3,FALSE))</f>
        <v>#REF!</v>
      </c>
      <c r="J345" s="45"/>
      <c r="K345" s="165"/>
      <c r="L345" s="238"/>
      <c r="M345" s="238"/>
      <c r="N345" s="37"/>
      <c r="O345" s="461" t="s">
        <v>299</v>
      </c>
      <c r="P345" s="462"/>
      <c r="Q345" s="462"/>
      <c r="R345" s="462"/>
      <c r="S345" s="434" t="e">
        <f>#REF!</f>
        <v>#REF!</v>
      </c>
      <c r="T345" s="437" t="e">
        <f>#REF!</f>
        <v>#REF!</v>
      </c>
      <c r="U345" s="441" t="e">
        <f>I345</f>
        <v>#REF!</v>
      </c>
      <c r="V345" s="45"/>
      <c r="W345" s="165"/>
      <c r="X345" s="435"/>
      <c r="Y345" s="435"/>
      <c r="Z345" s="165"/>
      <c r="AA345" s="435"/>
      <c r="AB345" s="435"/>
    </row>
    <row r="346" spans="2:28" s="46" customFormat="1" ht="20.100000000000001" customHeight="1" x14ac:dyDescent="0.25">
      <c r="B346" s="664" t="s">
        <v>300</v>
      </c>
      <c r="C346" s="665"/>
      <c r="D346" s="665"/>
      <c r="E346" s="665"/>
      <c r="F346" s="665"/>
      <c r="G346" s="666"/>
      <c r="H346" s="240" t="e">
        <f>#REF!</f>
        <v>#REF!</v>
      </c>
      <c r="I346" s="94" t="e">
        <f>IF(B346=CD14,HLOOKUP(H346,$CG$7:$DJ$23,8,FALSE))</f>
        <v>#REF!</v>
      </c>
      <c r="J346" s="45"/>
      <c r="K346" s="165"/>
      <c r="L346" s="238"/>
      <c r="M346" s="238"/>
      <c r="N346" s="37"/>
      <c r="O346" s="461" t="s">
        <v>300</v>
      </c>
      <c r="P346" s="462"/>
      <c r="Q346" s="462"/>
      <c r="R346" s="462"/>
      <c r="S346" s="437" t="e">
        <f>#REF!</f>
        <v>#REF!</v>
      </c>
      <c r="T346" s="437">
        <v>1</v>
      </c>
      <c r="U346" s="441" t="e">
        <f>I346</f>
        <v>#REF!</v>
      </c>
      <c r="V346" s="45"/>
      <c r="W346" s="165"/>
      <c r="X346" s="435"/>
      <c r="Y346" s="435"/>
      <c r="Z346" s="165"/>
      <c r="AA346" s="435"/>
      <c r="AB346" s="435"/>
    </row>
    <row r="347" spans="2:28" s="46" customFormat="1" ht="20.100000000000001" customHeight="1" x14ac:dyDescent="0.25">
      <c r="B347" s="664" t="s">
        <v>302</v>
      </c>
      <c r="C347" s="665"/>
      <c r="D347" s="665"/>
      <c r="E347" s="665"/>
      <c r="F347" s="665"/>
      <c r="G347" s="666"/>
      <c r="H347" s="240" t="e">
        <f>#REF!</f>
        <v>#REF!</v>
      </c>
      <c r="I347" s="94" t="e">
        <f>IF(B347=CD20,HLOOKUP(H347,$CG$7:$DJ$23,14,FALSE),IF(B347=CD21,HLOOKUP(H347,$CG$7:$DJ$23,15,FALSE)))</f>
        <v>#REF!</v>
      </c>
      <c r="J347" s="45"/>
      <c r="K347" s="165"/>
      <c r="L347" s="238"/>
      <c r="M347" s="238"/>
      <c r="N347" s="37"/>
      <c r="O347" s="461" t="s">
        <v>302</v>
      </c>
      <c r="P347" s="462"/>
      <c r="Q347" s="462"/>
      <c r="R347" s="462"/>
      <c r="S347" s="437" t="e">
        <f>#REF!</f>
        <v>#REF!</v>
      </c>
      <c r="T347" s="437">
        <v>1</v>
      </c>
      <c r="U347" s="441" t="e">
        <f>I347</f>
        <v>#REF!</v>
      </c>
      <c r="V347" s="45"/>
      <c r="W347" s="165"/>
      <c r="X347" s="435"/>
      <c r="Y347" s="435"/>
      <c r="Z347" s="165"/>
      <c r="AA347" s="435"/>
      <c r="AB347" s="435"/>
    </row>
    <row r="348" spans="2:28" s="46" customFormat="1" ht="20.100000000000001" customHeight="1" x14ac:dyDescent="0.25">
      <c r="B348" s="664" t="s">
        <v>340</v>
      </c>
      <c r="C348" s="665"/>
      <c r="D348" s="665"/>
      <c r="E348" s="665"/>
      <c r="F348" s="665"/>
      <c r="G348" s="666"/>
      <c r="H348" s="240" t="e">
        <f>#REF!</f>
        <v>#REF!</v>
      </c>
      <c r="I348" s="94" t="e">
        <f>IF(B348=CD23,HLOOKUP(H348,$CG$7:$DJ$23,17,FALSE))</f>
        <v>#REF!</v>
      </c>
      <c r="J348" s="45"/>
      <c r="K348" s="165"/>
      <c r="L348" s="238"/>
      <c r="M348" s="238"/>
      <c r="N348" s="37"/>
      <c r="O348" s="461" t="s">
        <v>340</v>
      </c>
      <c r="P348" s="462"/>
      <c r="Q348" s="462"/>
      <c r="R348" s="462"/>
      <c r="S348" s="437" t="e">
        <f>#REF!</f>
        <v>#REF!</v>
      </c>
      <c r="T348" s="437">
        <v>1</v>
      </c>
      <c r="U348" s="441" t="e">
        <f>I348</f>
        <v>#REF!</v>
      </c>
      <c r="V348" s="45"/>
      <c r="W348" s="165"/>
      <c r="X348" s="435"/>
      <c r="Y348" s="435"/>
      <c r="Z348" s="165"/>
      <c r="AA348" s="435"/>
      <c r="AB348" s="435"/>
    </row>
    <row r="349" spans="2:28" s="46" customFormat="1" ht="20.100000000000001" customHeight="1" x14ac:dyDescent="0.25">
      <c r="B349" s="26"/>
      <c r="C349" s="26"/>
      <c r="D349" s="26"/>
      <c r="E349" s="26"/>
      <c r="F349" s="27"/>
      <c r="G349" s="28"/>
      <c r="H349" s="145"/>
      <c r="I349" s="37"/>
      <c r="J349" s="37"/>
      <c r="K349" s="37"/>
      <c r="L349" s="37"/>
      <c r="M349" s="37"/>
      <c r="N349" s="37"/>
      <c r="O349" s="26"/>
      <c r="P349" s="26"/>
      <c r="Q349" s="26"/>
      <c r="R349" s="26"/>
      <c r="S349" s="145"/>
      <c r="T349" s="37"/>
      <c r="U349" s="37"/>
      <c r="V349" s="37"/>
      <c r="W349" s="37"/>
      <c r="X349" s="37"/>
      <c r="Y349" s="37"/>
      <c r="Z349" s="37"/>
      <c r="AA349" s="37"/>
      <c r="AB349" s="37"/>
    </row>
    <row r="350" spans="2:28" s="46" customFormat="1" ht="20.100000000000001" customHeight="1" x14ac:dyDescent="0.25">
      <c r="B350" s="752" t="s">
        <v>346</v>
      </c>
      <c r="C350" s="752"/>
      <c r="D350" s="752"/>
      <c r="E350" s="752"/>
      <c r="F350" s="752"/>
      <c r="G350" s="752"/>
      <c r="H350" s="245" t="s">
        <v>349</v>
      </c>
      <c r="I350" s="106" t="s">
        <v>367</v>
      </c>
      <c r="J350" s="790"/>
      <c r="K350" s="790"/>
      <c r="L350" s="790"/>
      <c r="M350" s="790"/>
      <c r="N350" s="37"/>
      <c r="O350" s="752" t="s">
        <v>346</v>
      </c>
      <c r="P350" s="752"/>
      <c r="Q350" s="752"/>
      <c r="R350" s="664"/>
      <c r="S350" s="437" t="s">
        <v>349</v>
      </c>
      <c r="T350" s="441" t="e">
        <f>SUM(U345:U348)</f>
        <v>#REF!</v>
      </c>
      <c r="U350" s="439" t="s">
        <v>367</v>
      </c>
      <c r="V350" s="790"/>
      <c r="W350" s="790"/>
      <c r="X350" s="790"/>
      <c r="Y350" s="790"/>
      <c r="Z350" s="37"/>
      <c r="AA350" s="37"/>
      <c r="AB350" s="37"/>
    </row>
    <row r="351" spans="2:28" s="46" customFormat="1" ht="20.100000000000001" customHeight="1" x14ac:dyDescent="0.25">
      <c r="B351" s="752" t="s">
        <v>498</v>
      </c>
      <c r="C351" s="752"/>
      <c r="D351" s="752"/>
      <c r="E351" s="752"/>
      <c r="F351" s="752"/>
      <c r="G351" s="752"/>
      <c r="H351" s="801" t="s">
        <v>442</v>
      </c>
      <c r="I351" s="750" t="s">
        <v>3</v>
      </c>
      <c r="J351" s="790"/>
      <c r="K351" s="790"/>
      <c r="L351" s="790"/>
      <c r="M351" s="790"/>
      <c r="N351" s="37"/>
      <c r="O351" s="752" t="s">
        <v>498</v>
      </c>
      <c r="P351" s="752"/>
      <c r="Q351" s="752"/>
      <c r="R351" s="664"/>
      <c r="S351" s="801" t="s">
        <v>501</v>
      </c>
      <c r="T351" s="802" t="e">
        <f>T350*T327</f>
        <v>#REF!</v>
      </c>
      <c r="U351" s="750" t="s">
        <v>3</v>
      </c>
      <c r="V351" s="790"/>
      <c r="W351" s="790"/>
      <c r="X351" s="790"/>
      <c r="Y351" s="790"/>
      <c r="Z351" s="37"/>
      <c r="AA351" s="37"/>
      <c r="AB351" s="37"/>
    </row>
    <row r="352" spans="2:28" s="46" customFormat="1" ht="20.100000000000001" customHeight="1" x14ac:dyDescent="0.25">
      <c r="B352" s="752"/>
      <c r="C352" s="752"/>
      <c r="D352" s="752"/>
      <c r="E352" s="752"/>
      <c r="F352" s="752"/>
      <c r="G352" s="752"/>
      <c r="H352" s="801"/>
      <c r="I352" s="750"/>
      <c r="J352" s="790"/>
      <c r="K352" s="790"/>
      <c r="L352" s="790"/>
      <c r="M352" s="790"/>
      <c r="N352" s="37"/>
      <c r="O352" s="752"/>
      <c r="P352" s="752"/>
      <c r="Q352" s="752"/>
      <c r="R352" s="664"/>
      <c r="S352" s="801"/>
      <c r="T352" s="802"/>
      <c r="U352" s="750"/>
      <c r="V352" s="790"/>
      <c r="W352" s="790"/>
      <c r="X352" s="790"/>
      <c r="Y352" s="790"/>
      <c r="Z352" s="37"/>
      <c r="AA352" s="37"/>
      <c r="AB352" s="37"/>
    </row>
    <row r="353" spans="2:28" s="46" customFormat="1" ht="20.100000000000001" customHeight="1" x14ac:dyDescent="0.25">
      <c r="B353" s="239"/>
      <c r="C353" s="239"/>
      <c r="D353" s="239"/>
      <c r="E353" s="239"/>
      <c r="F353" s="239"/>
      <c r="G353" s="239"/>
      <c r="H353" s="212"/>
      <c r="I353" s="161"/>
      <c r="J353" s="238"/>
      <c r="K353" s="238"/>
      <c r="L353" s="238"/>
      <c r="M353" s="238"/>
      <c r="N353" s="37"/>
      <c r="O353" s="440"/>
      <c r="P353" s="440"/>
      <c r="Q353" s="440"/>
      <c r="R353" s="440"/>
      <c r="S353" s="212"/>
      <c r="T353" s="213"/>
      <c r="U353" s="161"/>
      <c r="V353" s="435"/>
      <c r="W353" s="435"/>
      <c r="X353" s="435"/>
      <c r="Y353" s="435"/>
      <c r="Z353" s="435"/>
      <c r="AA353" s="435"/>
      <c r="AB353" s="435"/>
    </row>
    <row r="354" spans="2:28" s="46" customFormat="1" ht="20.100000000000001" customHeight="1" x14ac:dyDescent="0.25">
      <c r="B354" s="22" t="s">
        <v>533</v>
      </c>
      <c r="C354" s="26"/>
      <c r="D354" s="26"/>
      <c r="E354" s="26"/>
      <c r="F354" s="27"/>
      <c r="G354" s="28"/>
      <c r="H354" s="29"/>
      <c r="I354" s="37"/>
      <c r="J354" s="37"/>
      <c r="K354" s="37"/>
      <c r="L354" s="37"/>
      <c r="M354" s="37"/>
      <c r="N354" s="37"/>
      <c r="O354" s="22" t="s">
        <v>538</v>
      </c>
      <c r="P354" s="26"/>
      <c r="Q354" s="26"/>
      <c r="R354" s="26"/>
      <c r="S354" s="29"/>
      <c r="T354" s="37"/>
      <c r="U354" s="37"/>
      <c r="V354" s="37"/>
      <c r="W354" s="37"/>
      <c r="X354" s="37"/>
      <c r="Y354" s="37"/>
      <c r="Z354" s="37"/>
      <c r="AA354" s="37"/>
      <c r="AB354" s="37"/>
    </row>
    <row r="355" spans="2:28" s="46" customFormat="1" ht="20.100000000000001" customHeight="1" x14ac:dyDescent="0.25">
      <c r="B355" s="664" t="s">
        <v>436</v>
      </c>
      <c r="C355" s="665"/>
      <c r="D355" s="665"/>
      <c r="E355" s="665"/>
      <c r="F355" s="665"/>
      <c r="G355" s="666"/>
      <c r="H355" s="240" t="s">
        <v>434</v>
      </c>
      <c r="I355" s="153" t="s">
        <v>3</v>
      </c>
      <c r="J355" s="790"/>
      <c r="K355" s="790"/>
      <c r="L355" s="790"/>
      <c r="M355" s="790"/>
      <c r="N355" s="37"/>
      <c r="O355" s="752" t="s">
        <v>436</v>
      </c>
      <c r="P355" s="752"/>
      <c r="Q355" s="752"/>
      <c r="R355" s="664"/>
      <c r="S355" s="437" t="s">
        <v>520</v>
      </c>
      <c r="T355" s="200" t="e">
        <f>LEFT(V135,5)</f>
        <v>#REF!</v>
      </c>
      <c r="U355" s="442" t="s">
        <v>3</v>
      </c>
      <c r="V355" s="790"/>
      <c r="W355" s="790"/>
      <c r="X355" s="790"/>
      <c r="Y355" s="790"/>
      <c r="Z355" s="37"/>
      <c r="AA355" s="37"/>
      <c r="AB355" s="37"/>
    </row>
    <row r="356" spans="2:28" s="46" customFormat="1" ht="20.100000000000001" customHeight="1" x14ac:dyDescent="0.25">
      <c r="B356" s="664" t="s">
        <v>435</v>
      </c>
      <c r="C356" s="665"/>
      <c r="D356" s="665"/>
      <c r="E356" s="665"/>
      <c r="F356" s="665"/>
      <c r="G356" s="666"/>
      <c r="H356" s="240" t="s">
        <v>443</v>
      </c>
      <c r="I356" s="153" t="s">
        <v>3</v>
      </c>
      <c r="J356" s="790"/>
      <c r="K356" s="790"/>
      <c r="L356" s="790"/>
      <c r="M356" s="790"/>
      <c r="N356" s="37"/>
      <c r="O356" s="752" t="s">
        <v>435</v>
      </c>
      <c r="P356" s="752"/>
      <c r="Q356" s="752"/>
      <c r="R356" s="664"/>
      <c r="S356" s="437" t="s">
        <v>521</v>
      </c>
      <c r="T356" s="438">
        <f>T308</f>
        <v>1.5625E-2</v>
      </c>
      <c r="U356" s="442" t="s">
        <v>3</v>
      </c>
      <c r="V356" s="790"/>
      <c r="W356" s="790"/>
      <c r="X356" s="790"/>
      <c r="Y356" s="790"/>
      <c r="Z356" s="37"/>
      <c r="AA356" s="37"/>
      <c r="AB356" s="37"/>
    </row>
    <row r="357" spans="2:28" s="46" customFormat="1" ht="20.100000000000001" customHeight="1" x14ac:dyDescent="0.25">
      <c r="B357" s="664" t="s">
        <v>437</v>
      </c>
      <c r="C357" s="665"/>
      <c r="D357" s="665"/>
      <c r="E357" s="665"/>
      <c r="F357" s="665"/>
      <c r="G357" s="666"/>
      <c r="H357" s="240" t="s">
        <v>444</v>
      </c>
      <c r="I357" s="153" t="s">
        <v>3</v>
      </c>
      <c r="J357" s="790"/>
      <c r="K357" s="790"/>
      <c r="L357" s="790"/>
      <c r="M357" s="790"/>
      <c r="N357" s="37"/>
      <c r="O357" s="752" t="s">
        <v>437</v>
      </c>
      <c r="P357" s="752"/>
      <c r="Q357" s="752"/>
      <c r="R357" s="664"/>
      <c r="S357" s="437" t="s">
        <v>522</v>
      </c>
      <c r="T357" s="438" t="e">
        <f>T315</f>
        <v>#REF!</v>
      </c>
      <c r="U357" s="442" t="s">
        <v>3</v>
      </c>
      <c r="V357" s="790"/>
      <c r="W357" s="790"/>
      <c r="X357" s="790"/>
      <c r="Y357" s="790"/>
      <c r="Z357" s="37"/>
      <c r="AA357" s="37"/>
      <c r="AB357" s="37"/>
    </row>
    <row r="358" spans="2:28" s="46" customFormat="1" ht="20.100000000000001" customHeight="1" x14ac:dyDescent="0.25">
      <c r="B358" s="664" t="s">
        <v>438</v>
      </c>
      <c r="C358" s="665"/>
      <c r="D358" s="665"/>
      <c r="E358" s="665"/>
      <c r="F358" s="665"/>
      <c r="G358" s="666"/>
      <c r="H358" s="240" t="s">
        <v>441</v>
      </c>
      <c r="I358" s="153" t="s">
        <v>3</v>
      </c>
      <c r="J358" s="790"/>
      <c r="K358" s="790"/>
      <c r="L358" s="790"/>
      <c r="M358" s="790"/>
      <c r="N358" s="37"/>
      <c r="O358" s="752" t="s">
        <v>438</v>
      </c>
      <c r="P358" s="752"/>
      <c r="Q358" s="752"/>
      <c r="R358" s="664"/>
      <c r="S358" s="437" t="s">
        <v>500</v>
      </c>
      <c r="T358" s="438" t="e">
        <f>T338</f>
        <v>#REF!</v>
      </c>
      <c r="U358" s="442" t="s">
        <v>3</v>
      </c>
      <c r="V358" s="790"/>
      <c r="W358" s="790"/>
      <c r="X358" s="790"/>
      <c r="Y358" s="790"/>
      <c r="Z358" s="37"/>
      <c r="AA358" s="37"/>
      <c r="AB358" s="37"/>
    </row>
    <row r="359" spans="2:28" s="46" customFormat="1" ht="20.100000000000001" customHeight="1" x14ac:dyDescent="0.25">
      <c r="B359" s="664" t="s">
        <v>439</v>
      </c>
      <c r="C359" s="665"/>
      <c r="D359" s="665"/>
      <c r="E359" s="665"/>
      <c r="F359" s="665"/>
      <c r="G359" s="666"/>
      <c r="H359" s="240" t="s">
        <v>442</v>
      </c>
      <c r="I359" s="153" t="s">
        <v>3</v>
      </c>
      <c r="J359" s="790"/>
      <c r="K359" s="790"/>
      <c r="L359" s="790"/>
      <c r="M359" s="790"/>
      <c r="N359" s="37"/>
      <c r="O359" s="752" t="s">
        <v>439</v>
      </c>
      <c r="P359" s="752"/>
      <c r="Q359" s="752"/>
      <c r="R359" s="664"/>
      <c r="S359" s="437" t="s">
        <v>501</v>
      </c>
      <c r="T359" s="438" t="e">
        <f>T351</f>
        <v>#REF!</v>
      </c>
      <c r="U359" s="442" t="s">
        <v>3</v>
      </c>
      <c r="V359" s="790"/>
      <c r="W359" s="790"/>
      <c r="X359" s="790"/>
      <c r="Y359" s="790"/>
      <c r="Z359" s="37"/>
      <c r="AA359" s="37"/>
      <c r="AB359" s="37"/>
    </row>
    <row r="360" spans="2:28" s="46" customFormat="1" ht="20.100000000000001" customHeight="1" x14ac:dyDescent="0.25">
      <c r="B360" s="664" t="s">
        <v>528</v>
      </c>
      <c r="C360" s="665"/>
      <c r="D360" s="665"/>
      <c r="E360" s="665"/>
      <c r="F360" s="665"/>
      <c r="G360" s="666"/>
      <c r="H360" s="206" t="s">
        <v>445</v>
      </c>
      <c r="I360" s="153" t="s">
        <v>3</v>
      </c>
      <c r="J360" s="790"/>
      <c r="K360" s="790"/>
      <c r="L360" s="790"/>
      <c r="M360" s="790"/>
      <c r="N360" s="37"/>
      <c r="O360" s="752" t="s">
        <v>529</v>
      </c>
      <c r="P360" s="752"/>
      <c r="Q360" s="752"/>
      <c r="R360" s="664"/>
      <c r="S360" s="206" t="s">
        <v>519</v>
      </c>
      <c r="T360" s="200" t="e">
        <f>T355+T356+T357+T358+T359</f>
        <v>#REF!</v>
      </c>
      <c r="U360" s="442" t="s">
        <v>3</v>
      </c>
      <c r="V360" s="790"/>
      <c r="W360" s="790"/>
      <c r="X360" s="790"/>
      <c r="Y360" s="790"/>
      <c r="Z360" s="37"/>
      <c r="AA360" s="37"/>
      <c r="AB360" s="37"/>
    </row>
    <row r="361" spans="2:28" s="46" customFormat="1" ht="20.100000000000001" customHeight="1" x14ac:dyDescent="0.25">
      <c r="B361" s="440"/>
      <c r="C361" s="440"/>
      <c r="D361" s="440"/>
      <c r="E361" s="440"/>
      <c r="F361" s="440"/>
      <c r="G361" s="440"/>
      <c r="H361" s="212"/>
      <c r="I361" s="161"/>
      <c r="J361" s="435"/>
      <c r="K361" s="435"/>
      <c r="L361" s="435"/>
      <c r="M361" s="435"/>
      <c r="N361" s="37"/>
      <c r="O361" s="37"/>
      <c r="P361" s="37"/>
      <c r="Q361" s="37"/>
      <c r="R361" s="37"/>
      <c r="S361" s="212"/>
      <c r="T361" s="213"/>
      <c r="U361" s="161"/>
      <c r="V361" s="435"/>
      <c r="W361" s="435"/>
      <c r="X361" s="435"/>
      <c r="Y361" s="435"/>
      <c r="Z361" s="36"/>
      <c r="AA361" s="463"/>
      <c r="AB361" s="463"/>
    </row>
    <row r="362" spans="2:28" s="46" customFormat="1" ht="20.100000000000001" customHeight="1" x14ac:dyDescent="0.25">
      <c r="B362" s="228"/>
      <c r="C362" s="228"/>
      <c r="D362" s="228"/>
      <c r="E362" s="228"/>
      <c r="F362" s="228"/>
      <c r="G362" s="228"/>
      <c r="H362" s="212"/>
      <c r="I362" s="161"/>
      <c r="J362" s="229"/>
      <c r="K362" s="229"/>
      <c r="L362" s="229"/>
      <c r="M362" s="229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108"/>
      <c r="Y362" s="47"/>
      <c r="Z362" s="36"/>
    </row>
    <row r="363" spans="2:28" s="46" customFormat="1" ht="20.100000000000001" customHeight="1" x14ac:dyDescent="0.25">
      <c r="B363" s="22" t="s">
        <v>368</v>
      </c>
      <c r="C363" s="209"/>
      <c r="D363" s="209"/>
      <c r="E363" s="209"/>
      <c r="F363" s="209"/>
      <c r="G363" s="209"/>
      <c r="H363" s="212"/>
      <c r="I363" s="161"/>
      <c r="J363" s="208"/>
      <c r="K363" s="208"/>
      <c r="L363" s="208"/>
      <c r="M363" s="208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108"/>
      <c r="Y363" s="47"/>
      <c r="Z363" s="36"/>
    </row>
    <row r="364" spans="2:28" s="46" customFormat="1" ht="20.100000000000001" customHeight="1" x14ac:dyDescent="0.25">
      <c r="B364" s="752" t="s">
        <v>402</v>
      </c>
      <c r="C364" s="752"/>
      <c r="D364" s="752"/>
      <c r="E364" s="752"/>
      <c r="F364" s="752"/>
      <c r="G364" s="752"/>
      <c r="H364" s="211" t="s">
        <v>335</v>
      </c>
      <c r="I364" s="153" t="s">
        <v>3</v>
      </c>
      <c r="J364" s="787"/>
      <c r="K364" s="788"/>
      <c r="L364" s="788"/>
      <c r="M364" s="789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108"/>
      <c r="Y364" s="47"/>
      <c r="Z364" s="36"/>
    </row>
    <row r="365" spans="2:28" s="46" customFormat="1" ht="20.100000000000001" customHeight="1" x14ac:dyDescent="0.25">
      <c r="B365" s="752" t="s">
        <v>370</v>
      </c>
      <c r="C365" s="752"/>
      <c r="D365" s="752"/>
      <c r="E365" s="752"/>
      <c r="F365" s="752"/>
      <c r="G365" s="752"/>
      <c r="H365" s="106" t="s">
        <v>232</v>
      </c>
      <c r="I365" s="153" t="s">
        <v>3</v>
      </c>
      <c r="J365" s="995"/>
      <c r="K365" s="995"/>
      <c r="L365" s="995"/>
      <c r="M365" s="995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108"/>
      <c r="Y365" s="47"/>
      <c r="Z365" s="36"/>
    </row>
    <row r="366" spans="2:28" s="46" customFormat="1" ht="20.100000000000001" customHeight="1" x14ac:dyDescent="0.25">
      <c r="B366" s="752" t="s">
        <v>390</v>
      </c>
      <c r="C366" s="752"/>
      <c r="D366" s="752"/>
      <c r="E366" s="752"/>
      <c r="F366" s="752"/>
      <c r="G366" s="752"/>
      <c r="H366" s="207" t="s">
        <v>369</v>
      </c>
      <c r="I366" s="153"/>
      <c r="J366" s="995"/>
      <c r="K366" s="995"/>
      <c r="L366" s="995"/>
      <c r="M366" s="995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108"/>
      <c r="Y366" s="47"/>
      <c r="Z366" s="36"/>
    </row>
    <row r="367" spans="2:28" s="46" customFormat="1" ht="20.100000000000001" customHeight="1" x14ac:dyDescent="0.25">
      <c r="B367" s="664" t="s">
        <v>333</v>
      </c>
      <c r="C367" s="665"/>
      <c r="D367" s="665"/>
      <c r="E367" s="665"/>
      <c r="F367" s="665"/>
      <c r="G367" s="666"/>
      <c r="H367" s="112" t="s">
        <v>311</v>
      </c>
      <c r="I367" s="57" t="s">
        <v>310</v>
      </c>
      <c r="J367" s="787"/>
      <c r="K367" s="788"/>
      <c r="L367" s="788"/>
      <c r="M367" s="789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108"/>
      <c r="Y367" s="47"/>
      <c r="Z367" s="36"/>
    </row>
    <row r="368" spans="2:28" s="46" customFormat="1" ht="20.100000000000001" customHeight="1" x14ac:dyDescent="0.25">
      <c r="B368" s="698" t="s">
        <v>392</v>
      </c>
      <c r="C368" s="699"/>
      <c r="D368" s="699"/>
      <c r="E368" s="699"/>
      <c r="F368" s="699"/>
      <c r="G368" s="700"/>
      <c r="H368" s="814" t="s">
        <v>391</v>
      </c>
      <c r="I368" s="727" t="s">
        <v>310</v>
      </c>
      <c r="J368" s="988"/>
      <c r="K368" s="989"/>
      <c r="L368" s="989"/>
      <c r="M368" s="990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108"/>
      <c r="Y368" s="47"/>
      <c r="Z368" s="36"/>
    </row>
    <row r="369" spans="2:26" s="46" customFormat="1" ht="20.100000000000001" customHeight="1" x14ac:dyDescent="0.25">
      <c r="B369" s="704"/>
      <c r="C369" s="705"/>
      <c r="D369" s="705"/>
      <c r="E369" s="705"/>
      <c r="F369" s="705"/>
      <c r="G369" s="706"/>
      <c r="H369" s="815"/>
      <c r="I369" s="728"/>
      <c r="J369" s="991"/>
      <c r="K369" s="992"/>
      <c r="L369" s="992"/>
      <c r="M369" s="993"/>
      <c r="N369" s="37"/>
      <c r="O369" s="219"/>
      <c r="P369" s="37"/>
      <c r="Q369" s="37"/>
      <c r="R369" s="37"/>
      <c r="S369" s="37"/>
      <c r="T369" s="37"/>
      <c r="U369" s="37"/>
      <c r="V369" s="37"/>
      <c r="W369" s="37"/>
      <c r="X369" s="108"/>
      <c r="Y369" s="47"/>
      <c r="Z369" s="36"/>
    </row>
    <row r="370" spans="2:26" s="46" customFormat="1" ht="20.100000000000001" customHeight="1" x14ac:dyDescent="0.25">
      <c r="B370" s="664" t="s">
        <v>394</v>
      </c>
      <c r="C370" s="665"/>
      <c r="D370" s="665"/>
      <c r="E370" s="665"/>
      <c r="F370" s="665"/>
      <c r="G370" s="666"/>
      <c r="H370" s="210" t="s">
        <v>397</v>
      </c>
      <c r="I370" s="210" t="s">
        <v>3</v>
      </c>
      <c r="J370" s="787"/>
      <c r="K370" s="788"/>
      <c r="L370" s="788"/>
      <c r="M370" s="789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108"/>
      <c r="Y370" s="47"/>
      <c r="Z370" s="36"/>
    </row>
    <row r="371" spans="2:26" s="46" customFormat="1" ht="20.100000000000001" customHeight="1" x14ac:dyDescent="0.25">
      <c r="B371" s="698" t="s">
        <v>395</v>
      </c>
      <c r="C371" s="699"/>
      <c r="D371" s="699"/>
      <c r="E371" s="699"/>
      <c r="F371" s="699"/>
      <c r="G371" s="700"/>
      <c r="H371" s="707" t="s">
        <v>396</v>
      </c>
      <c r="I371" s="707" t="s">
        <v>3</v>
      </c>
      <c r="J371" s="988"/>
      <c r="K371" s="989"/>
      <c r="L371" s="989"/>
      <c r="M371" s="990"/>
      <c r="N371" s="994"/>
      <c r="O371" s="37"/>
      <c r="P371" s="37"/>
      <c r="Q371" s="37"/>
      <c r="R371" s="37"/>
      <c r="S371" s="37"/>
      <c r="T371" s="37"/>
      <c r="U371" s="37"/>
      <c r="V371" s="37"/>
      <c r="W371" s="37"/>
      <c r="X371" s="108"/>
      <c r="Y371" s="47"/>
      <c r="Z371" s="36"/>
    </row>
    <row r="372" spans="2:26" s="46" customFormat="1" ht="20.100000000000001" customHeight="1" x14ac:dyDescent="0.25">
      <c r="B372" s="704"/>
      <c r="C372" s="705"/>
      <c r="D372" s="705"/>
      <c r="E372" s="705"/>
      <c r="F372" s="705"/>
      <c r="G372" s="706"/>
      <c r="H372" s="708"/>
      <c r="I372" s="708"/>
      <c r="J372" s="991"/>
      <c r="K372" s="992"/>
      <c r="L372" s="992"/>
      <c r="M372" s="993"/>
      <c r="N372" s="994"/>
      <c r="O372" s="37"/>
      <c r="P372" s="37"/>
      <c r="Q372" s="37"/>
      <c r="R372" s="37"/>
      <c r="S372" s="37"/>
      <c r="T372" s="37"/>
      <c r="U372" s="37"/>
      <c r="V372" s="37"/>
      <c r="W372" s="37"/>
      <c r="X372" s="108"/>
      <c r="Y372" s="47"/>
      <c r="Z372" s="36"/>
    </row>
    <row r="373" spans="2:26" s="46" customFormat="1" ht="20.100000000000001" customHeight="1" x14ac:dyDescent="0.25">
      <c r="B373" s="664" t="s">
        <v>398</v>
      </c>
      <c r="C373" s="665"/>
      <c r="D373" s="665"/>
      <c r="E373" s="665"/>
      <c r="F373" s="665"/>
      <c r="G373" s="666"/>
      <c r="H373" s="106" t="s">
        <v>399</v>
      </c>
      <c r="I373" s="106" t="s">
        <v>3</v>
      </c>
      <c r="J373" s="787"/>
      <c r="K373" s="788"/>
      <c r="L373" s="788"/>
      <c r="M373" s="789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108"/>
      <c r="Y373" s="47"/>
      <c r="Z373" s="36"/>
    </row>
    <row r="374" spans="2:26" s="46" customFormat="1" ht="20.100000000000001" customHeight="1" x14ac:dyDescent="0.25">
      <c r="B374" s="664" t="s">
        <v>400</v>
      </c>
      <c r="C374" s="665"/>
      <c r="D374" s="665"/>
      <c r="E374" s="665"/>
      <c r="F374" s="665"/>
      <c r="G374" s="666"/>
      <c r="H374" s="106" t="s">
        <v>401</v>
      </c>
      <c r="I374" s="106" t="s">
        <v>3</v>
      </c>
      <c r="J374" s="787"/>
      <c r="K374" s="788"/>
      <c r="L374" s="788"/>
      <c r="M374" s="789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108"/>
      <c r="Y374" s="47"/>
      <c r="Z374" s="36"/>
    </row>
    <row r="375" spans="2:26" s="46" customFormat="1" ht="20.100000000000001" customHeight="1" x14ac:dyDescent="0.25">
      <c r="B375" s="664" t="s">
        <v>374</v>
      </c>
      <c r="C375" s="665"/>
      <c r="D375" s="665"/>
      <c r="E375" s="665"/>
      <c r="F375" s="665"/>
      <c r="G375" s="666"/>
      <c r="H375" s="94" t="s">
        <v>46</v>
      </c>
      <c r="I375" s="94" t="s">
        <v>3</v>
      </c>
      <c r="J375" s="369"/>
      <c r="K375" s="370"/>
      <c r="L375" s="370"/>
      <c r="M375" s="371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108"/>
      <c r="Y375" s="47"/>
      <c r="Z375" s="36"/>
    </row>
    <row r="376" spans="2:26" s="46" customFormat="1" ht="20.100000000000001" customHeight="1" x14ac:dyDescent="0.25">
      <c r="B376" s="454" t="s">
        <v>375</v>
      </c>
      <c r="C376" s="455"/>
      <c r="D376" s="455"/>
      <c r="E376" s="455"/>
      <c r="F376" s="455"/>
      <c r="G376" s="456"/>
      <c r="H376" s="215" t="s">
        <v>384</v>
      </c>
      <c r="I376" s="215" t="s">
        <v>3</v>
      </c>
      <c r="J376" s="369"/>
      <c r="K376" s="370"/>
      <c r="L376" s="370"/>
      <c r="M376" s="371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108"/>
      <c r="Y376" s="47"/>
      <c r="Z376" s="36"/>
    </row>
    <row r="377" spans="2:26" s="46" customFormat="1" ht="20.100000000000001" customHeight="1" x14ac:dyDescent="0.25">
      <c r="B377" s="664" t="s">
        <v>386</v>
      </c>
      <c r="C377" s="665"/>
      <c r="D377" s="665"/>
      <c r="E377" s="665"/>
      <c r="F377" s="665"/>
      <c r="G377" s="666"/>
      <c r="H377" s="210" t="s">
        <v>387</v>
      </c>
      <c r="I377" s="210" t="s">
        <v>3</v>
      </c>
      <c r="J377" s="787"/>
      <c r="K377" s="788"/>
      <c r="L377" s="788"/>
      <c r="M377" s="789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108"/>
      <c r="Y377" s="47"/>
      <c r="Z377" s="36"/>
    </row>
    <row r="378" spans="2:26" s="46" customFormat="1" ht="20.100000000000001" customHeight="1" x14ac:dyDescent="0.25">
      <c r="B378" s="752" t="s">
        <v>403</v>
      </c>
      <c r="C378" s="752"/>
      <c r="D378" s="752"/>
      <c r="E378" s="752"/>
      <c r="F378" s="752"/>
      <c r="G378" s="752"/>
      <c r="H378" s="211" t="s">
        <v>335</v>
      </c>
      <c r="I378" s="106" t="s">
        <v>3</v>
      </c>
      <c r="J378" s="787"/>
      <c r="K378" s="788"/>
      <c r="L378" s="788"/>
      <c r="M378" s="789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108"/>
      <c r="Y378" s="47"/>
      <c r="Z378" s="36"/>
    </row>
    <row r="379" spans="2:26" s="46" customFormat="1" ht="20.100000000000001" customHeight="1" x14ac:dyDescent="0.25">
      <c r="B379" s="664" t="s">
        <v>385</v>
      </c>
      <c r="C379" s="665"/>
      <c r="D379" s="665"/>
      <c r="E379" s="665"/>
      <c r="F379" s="665"/>
      <c r="G379" s="666"/>
      <c r="H379" s="106" t="s">
        <v>388</v>
      </c>
      <c r="I379" s="106" t="s">
        <v>3</v>
      </c>
      <c r="J379" s="787"/>
      <c r="K379" s="788"/>
      <c r="L379" s="788"/>
      <c r="M379" s="789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108"/>
      <c r="Y379" s="47"/>
      <c r="Z379" s="36"/>
    </row>
    <row r="380" spans="2:26" s="46" customFormat="1" ht="20.100000000000001" customHeight="1" x14ac:dyDescent="0.25">
      <c r="B380" s="108"/>
      <c r="C380" s="108"/>
      <c r="D380" s="108"/>
      <c r="E380" s="108"/>
      <c r="F380" s="108"/>
      <c r="G380" s="108"/>
      <c r="H380" s="74"/>
      <c r="I380" s="74"/>
      <c r="J380" s="248"/>
      <c r="K380" s="248"/>
      <c r="L380" s="248"/>
      <c r="M380" s="248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108"/>
      <c r="Y380" s="47"/>
      <c r="Z380" s="36"/>
    </row>
    <row r="381" spans="2:26" s="46" customFormat="1" ht="20.100000000000001" customHeight="1" x14ac:dyDescent="0.25">
      <c r="B381" s="108"/>
      <c r="C381" s="108"/>
      <c r="D381" s="108"/>
      <c r="E381" s="108"/>
      <c r="F381" s="108"/>
      <c r="G381" s="108"/>
      <c r="H381" s="74"/>
      <c r="I381" s="74"/>
      <c r="J381" s="248"/>
      <c r="K381" s="248"/>
      <c r="L381" s="248"/>
      <c r="M381" s="248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108"/>
      <c r="Y381" s="451"/>
      <c r="Z381" s="36"/>
    </row>
    <row r="382" spans="2:26" s="46" customFormat="1" ht="20.100000000000001" customHeight="1" x14ac:dyDescent="0.25">
      <c r="B382" s="22" t="s">
        <v>527</v>
      </c>
      <c r="C382" s="108"/>
      <c r="D382" s="108"/>
      <c r="E382" s="108"/>
      <c r="F382" s="108"/>
      <c r="G382" s="108"/>
      <c r="H382" s="74"/>
      <c r="I382" s="74"/>
      <c r="J382" s="248"/>
      <c r="K382" s="248"/>
      <c r="L382" s="248"/>
      <c r="M382" s="248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108"/>
      <c r="Y382" s="451"/>
      <c r="Z382" s="36"/>
    </row>
    <row r="383" spans="2:26" s="46" customFormat="1" ht="20.100000000000001" customHeight="1" x14ac:dyDescent="0.25">
      <c r="B383" s="664" t="s">
        <v>165</v>
      </c>
      <c r="C383" s="665"/>
      <c r="D383" s="665"/>
      <c r="E383" s="665"/>
      <c r="F383" s="665"/>
      <c r="G383" s="666"/>
      <c r="H383" s="460" t="s">
        <v>166</v>
      </c>
      <c r="I383" s="439" t="s">
        <v>3</v>
      </c>
      <c r="J383" s="787"/>
      <c r="K383" s="788"/>
      <c r="L383" s="788"/>
      <c r="M383" s="789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108"/>
      <c r="Y383" s="451"/>
      <c r="Z383" s="36"/>
    </row>
    <row r="384" spans="2:26" s="46" customFormat="1" ht="20.100000000000001" customHeight="1" x14ac:dyDescent="0.25">
      <c r="B384" s="664" t="s">
        <v>159</v>
      </c>
      <c r="C384" s="665"/>
      <c r="D384" s="665"/>
      <c r="E384" s="665"/>
      <c r="F384" s="665"/>
      <c r="G384" s="666"/>
      <c r="H384" s="460" t="s">
        <v>46</v>
      </c>
      <c r="I384" s="439" t="s">
        <v>3</v>
      </c>
      <c r="J384" s="787"/>
      <c r="K384" s="788"/>
      <c r="L384" s="788"/>
      <c r="M384" s="789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108"/>
      <c r="Y384" s="451"/>
      <c r="Z384" s="36"/>
    </row>
    <row r="385" spans="2:26" s="46" customFormat="1" ht="20.100000000000001" customHeight="1" x14ac:dyDescent="0.25">
      <c r="B385" s="664" t="s">
        <v>525</v>
      </c>
      <c r="C385" s="665"/>
      <c r="D385" s="665"/>
      <c r="E385" s="665"/>
      <c r="F385" s="665"/>
      <c r="G385" s="666"/>
      <c r="H385" s="460" t="s">
        <v>526</v>
      </c>
      <c r="I385" s="460" t="s">
        <v>3</v>
      </c>
      <c r="J385" s="457"/>
      <c r="K385" s="458"/>
      <c r="L385" s="458"/>
      <c r="M385" s="459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108"/>
      <c r="Y385" s="453"/>
      <c r="Z385" s="36"/>
    </row>
    <row r="386" spans="2:26" s="46" customFormat="1" ht="20.100000000000001" customHeight="1" x14ac:dyDescent="0.25">
      <c r="B386" s="664" t="s">
        <v>523</v>
      </c>
      <c r="C386" s="665"/>
      <c r="D386" s="665"/>
      <c r="E386" s="665"/>
      <c r="F386" s="665"/>
      <c r="G386" s="666"/>
      <c r="H386" s="460" t="s">
        <v>524</v>
      </c>
      <c r="I386" s="460" t="s">
        <v>3</v>
      </c>
      <c r="J386" s="457"/>
      <c r="K386" s="458"/>
      <c r="L386" s="458"/>
      <c r="M386" s="459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108"/>
      <c r="Y386" s="453"/>
      <c r="Z386" s="36"/>
    </row>
    <row r="387" spans="2:26" s="46" customFormat="1" ht="20.100000000000001" customHeight="1" x14ac:dyDescent="0.25">
      <c r="B387" s="664" t="s">
        <v>530</v>
      </c>
      <c r="C387" s="665"/>
      <c r="D387" s="665"/>
      <c r="E387" s="665"/>
      <c r="F387" s="665"/>
      <c r="G387" s="666"/>
      <c r="H387" s="206" t="s">
        <v>445</v>
      </c>
      <c r="I387" s="460" t="s">
        <v>3</v>
      </c>
      <c r="J387" s="457"/>
      <c r="K387" s="458"/>
      <c r="L387" s="458"/>
      <c r="M387" s="459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108"/>
      <c r="Y387" s="453"/>
      <c r="Z387" s="36"/>
    </row>
    <row r="388" spans="2:26" s="46" customFormat="1" ht="20.100000000000001" customHeight="1" x14ac:dyDescent="0.25">
      <c r="B388" s="664" t="s">
        <v>28</v>
      </c>
      <c r="C388" s="665"/>
      <c r="D388" s="665"/>
      <c r="E388" s="665"/>
      <c r="F388" s="665"/>
      <c r="G388" s="666"/>
      <c r="H388" s="460" t="s">
        <v>29</v>
      </c>
      <c r="I388" s="439" t="s">
        <v>3</v>
      </c>
      <c r="J388" s="787"/>
      <c r="K388" s="788"/>
      <c r="L388" s="788"/>
      <c r="M388" s="789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108"/>
      <c r="Y388" s="451"/>
      <c r="Z388" s="36"/>
    </row>
    <row r="389" spans="2:26" s="46" customFormat="1" ht="20.100000000000001" customHeight="1" x14ac:dyDescent="0.25">
      <c r="B389" s="664" t="s">
        <v>534</v>
      </c>
      <c r="C389" s="665"/>
      <c r="D389" s="665"/>
      <c r="E389" s="665"/>
      <c r="F389" s="665"/>
      <c r="G389" s="666"/>
      <c r="H389" s="460" t="s">
        <v>535</v>
      </c>
      <c r="I389" s="460" t="s">
        <v>3</v>
      </c>
      <c r="J389" s="787"/>
      <c r="K389" s="788"/>
      <c r="L389" s="788"/>
      <c r="M389" s="789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108"/>
      <c r="Y389" s="451"/>
      <c r="Z389" s="36"/>
    </row>
    <row r="390" spans="2:26" s="46" customFormat="1" ht="20.100000000000001" customHeight="1" x14ac:dyDescent="0.25">
      <c r="B390" s="664" t="s">
        <v>537</v>
      </c>
      <c r="C390" s="665"/>
      <c r="D390" s="665"/>
      <c r="E390" s="665"/>
      <c r="F390" s="665"/>
      <c r="G390" s="666"/>
      <c r="H390" s="460" t="s">
        <v>536</v>
      </c>
      <c r="I390" s="460" t="s">
        <v>3</v>
      </c>
      <c r="J390" s="787"/>
      <c r="K390" s="788"/>
      <c r="L390" s="788"/>
      <c r="M390" s="789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108"/>
      <c r="Y390" s="451"/>
      <c r="Z390" s="36"/>
    </row>
    <row r="391" spans="2:26" s="46" customFormat="1" ht="20.100000000000001" customHeight="1" x14ac:dyDescent="0.25">
      <c r="B391" s="664" t="s">
        <v>531</v>
      </c>
      <c r="C391" s="665"/>
      <c r="D391" s="665"/>
      <c r="E391" s="665"/>
      <c r="F391" s="665"/>
      <c r="G391" s="666"/>
      <c r="H391" s="460" t="s">
        <v>532</v>
      </c>
      <c r="I391" s="460" t="s">
        <v>3</v>
      </c>
      <c r="J391" s="787"/>
      <c r="K391" s="788"/>
      <c r="L391" s="788"/>
      <c r="M391" s="789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108"/>
      <c r="Y391" s="451"/>
      <c r="Z391" s="36"/>
    </row>
    <row r="392" spans="2:26" s="46" customFormat="1" ht="20.100000000000001" customHeight="1" x14ac:dyDescent="0.25">
      <c r="B392" s="108"/>
      <c r="C392" s="108"/>
      <c r="D392" s="108"/>
      <c r="E392" s="108"/>
      <c r="F392" s="108"/>
      <c r="G392" s="108"/>
      <c r="H392" s="74"/>
      <c r="I392" s="74"/>
      <c r="J392" s="464"/>
      <c r="K392" s="464"/>
      <c r="L392" s="464"/>
      <c r="M392" s="464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108"/>
      <c r="Y392" s="453"/>
      <c r="Z392" s="36"/>
    </row>
    <row r="393" spans="2:26" s="46" customFormat="1" ht="17.100000000000001" customHeight="1" x14ac:dyDescent="0.25">
      <c r="B393" s="26"/>
      <c r="C393" s="26"/>
      <c r="D393" s="26"/>
      <c r="E393" s="26"/>
      <c r="F393" s="27"/>
      <c r="G393" s="28"/>
      <c r="H393" s="29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108"/>
      <c r="Y393" s="47"/>
      <c r="Z393" s="36"/>
    </row>
    <row r="394" spans="2:26" s="182" customFormat="1" ht="17.100000000000001" customHeight="1" x14ac:dyDescent="0.25">
      <c r="B394" s="174"/>
      <c r="C394" s="174"/>
      <c r="D394" s="174"/>
      <c r="E394" s="174"/>
      <c r="F394" s="175"/>
      <c r="G394" s="176"/>
      <c r="H394" s="177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9"/>
      <c r="Y394" s="180"/>
      <c r="Z394" s="181"/>
    </row>
    <row r="395" spans="2:26" s="191" customFormat="1" ht="17.100000000000001" customHeight="1" x14ac:dyDescent="0.25">
      <c r="B395" s="183"/>
      <c r="C395" s="183"/>
      <c r="D395" s="183"/>
      <c r="E395" s="183"/>
      <c r="F395" s="184"/>
      <c r="G395" s="185"/>
      <c r="H395" s="186"/>
      <c r="I395" s="187"/>
      <c r="J395" s="187"/>
      <c r="K395" s="187"/>
      <c r="L395" s="187"/>
      <c r="M395" s="187"/>
      <c r="N395" s="187"/>
      <c r="O395" s="187"/>
      <c r="P395" s="187"/>
      <c r="Q395" s="187"/>
      <c r="R395" s="187"/>
      <c r="S395" s="187"/>
      <c r="T395" s="187"/>
      <c r="U395" s="187"/>
      <c r="V395" s="187"/>
      <c r="W395" s="187"/>
      <c r="X395" s="188"/>
      <c r="Y395" s="189"/>
      <c r="Z395" s="190"/>
    </row>
    <row r="396" spans="2:26" ht="17.100000000000001" customHeight="1" x14ac:dyDescent="0.25">
      <c r="B396" s="1"/>
      <c r="C396" s="1"/>
      <c r="D396" s="1"/>
      <c r="E396" s="1"/>
      <c r="F396" s="1"/>
      <c r="G396" s="1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4"/>
      <c r="Y396" s="34"/>
    </row>
    <row r="397" spans="2:26" ht="17.100000000000001" customHeight="1" x14ac:dyDescent="0.25">
      <c r="B397" s="1"/>
      <c r="C397" s="1"/>
      <c r="D397" s="1"/>
      <c r="E397" s="1"/>
      <c r="F397" s="1"/>
      <c r="G397" s="1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4"/>
      <c r="Y397" s="34"/>
    </row>
    <row r="398" spans="2:26" ht="17.100000000000001" customHeight="1" x14ac:dyDescent="0.25">
      <c r="B398" s="726" t="s">
        <v>19</v>
      </c>
      <c r="C398" s="726"/>
      <c r="D398" s="726"/>
      <c r="E398" s="726"/>
      <c r="F398" s="5"/>
      <c r="G398" s="5"/>
      <c r="H398" s="5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</row>
    <row r="399" spans="2:26" ht="17.100000000000001" customHeight="1" x14ac:dyDescent="0.25">
      <c r="B399" s="5"/>
      <c r="C399" s="5"/>
      <c r="D399" s="5"/>
      <c r="E399" s="5"/>
      <c r="F399" s="5"/>
      <c r="G399" s="5"/>
      <c r="H399" s="5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</row>
    <row r="400" spans="2:26" ht="17.100000000000001" customHeight="1" x14ac:dyDescent="0.25">
      <c r="B400" s="5" t="s">
        <v>20</v>
      </c>
      <c r="C400" s="697"/>
      <c r="D400" s="697"/>
      <c r="E400" s="697"/>
      <c r="F400" s="697"/>
      <c r="G400" s="697"/>
      <c r="H400" s="697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</row>
    <row r="401" spans="2:25" ht="17.100000000000001" customHeight="1" x14ac:dyDescent="0.25">
      <c r="B401" s="5" t="s">
        <v>21</v>
      </c>
      <c r="C401" s="697"/>
      <c r="D401" s="697"/>
      <c r="E401" s="697"/>
      <c r="F401" s="697"/>
      <c r="G401" s="697"/>
      <c r="H401" s="697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</row>
    <row r="402" spans="2:25" s="5" customFormat="1" ht="17.100000000000001" customHeight="1" x14ac:dyDescent="0.25">
      <c r="B402" s="5" t="s">
        <v>22</v>
      </c>
      <c r="C402" s="966"/>
      <c r="D402" s="966"/>
      <c r="E402" s="966"/>
      <c r="F402" s="966"/>
      <c r="G402" s="966"/>
      <c r="H402" s="966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</row>
    <row r="403" spans="2:25" s="5" customFormat="1" ht="17.100000000000001" customHeight="1" x14ac:dyDescent="0.25">
      <c r="B403" s="5" t="s">
        <v>25</v>
      </c>
      <c r="C403" s="697"/>
      <c r="D403" s="697"/>
      <c r="E403" s="697"/>
      <c r="F403" s="697"/>
      <c r="G403" s="697"/>
      <c r="H403" s="69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</row>
    <row r="404" spans="2:25" s="5" customFormat="1" ht="17.100000000000001" customHeight="1" x14ac:dyDescent="0.25">
      <c r="B404" s="5" t="s">
        <v>31</v>
      </c>
      <c r="C404" s="697"/>
      <c r="D404" s="697"/>
      <c r="E404" s="697"/>
      <c r="F404" s="697"/>
      <c r="G404" s="697"/>
      <c r="H404" s="69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</row>
    <row r="405" spans="2:25" ht="17.100000000000001" customHeight="1" x14ac:dyDescent="0.25">
      <c r="B405" s="5" t="s">
        <v>32</v>
      </c>
      <c r="C405" s="724"/>
      <c r="D405" s="724"/>
      <c r="E405" s="724"/>
      <c r="F405" s="724"/>
      <c r="G405" s="724"/>
      <c r="H405" s="72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</row>
    <row r="406" spans="2:25" ht="17.100000000000001" customHeight="1" x14ac:dyDescent="0.25">
      <c r="B406" s="5" t="s">
        <v>41</v>
      </c>
      <c r="C406" s="966"/>
      <c r="D406" s="966"/>
      <c r="E406" s="966"/>
      <c r="F406" s="966"/>
      <c r="G406" s="966"/>
      <c r="H406" s="966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</row>
    <row r="407" spans="2:25" ht="17.100000000000001" customHeight="1" x14ac:dyDescent="0.25">
      <c r="B407" s="5" t="s">
        <v>50</v>
      </c>
      <c r="C407" s="697"/>
      <c r="D407" s="697"/>
      <c r="E407" s="697"/>
      <c r="F407" s="697"/>
      <c r="G407" s="697"/>
      <c r="H407" s="697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</row>
    <row r="408" spans="2:25" ht="17.100000000000001" customHeight="1" x14ac:dyDescent="0.25">
      <c r="B408" s="5" t="s">
        <v>70</v>
      </c>
      <c r="C408" s="697"/>
      <c r="D408" s="697"/>
      <c r="E408" s="697"/>
      <c r="F408" s="697"/>
      <c r="G408" s="697"/>
      <c r="H408" s="69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4"/>
      <c r="Y408" s="34"/>
    </row>
    <row r="409" spans="2:25" ht="17.100000000000001" customHeight="1" x14ac:dyDescent="0.25">
      <c r="B409" s="5"/>
      <c r="C409" s="5"/>
      <c r="D409" s="5"/>
      <c r="E409" s="5"/>
      <c r="F409" s="5"/>
      <c r="G409" s="5"/>
      <c r="H409" s="5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4"/>
      <c r="Y409" s="34"/>
    </row>
    <row r="410" spans="2:25" ht="17.100000000000001" customHeight="1" x14ac:dyDescent="0.25">
      <c r="B410" s="15" t="s">
        <v>57</v>
      </c>
      <c r="C410" s="15"/>
      <c r="D410" s="15"/>
      <c r="E410" s="5"/>
      <c r="F410" s="5"/>
      <c r="G410" s="5"/>
      <c r="H410" s="5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4"/>
      <c r="Y410" s="34"/>
    </row>
    <row r="411" spans="2:25" ht="17.100000000000001" customHeight="1" x14ac:dyDescent="0.25">
      <c r="B411" s="5" t="s">
        <v>58</v>
      </c>
      <c r="C411" s="5"/>
      <c r="D411" s="5"/>
      <c r="E411" s="5"/>
      <c r="F411" s="5"/>
      <c r="G411" s="5"/>
      <c r="H411" s="5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4"/>
      <c r="Y411" s="34"/>
    </row>
    <row r="412" spans="2:25" ht="17.100000000000001" customHeight="1" x14ac:dyDescent="0.25">
      <c r="B412" s="5" t="s">
        <v>59</v>
      </c>
      <c r="C412" s="5"/>
      <c r="D412" s="5"/>
      <c r="E412" s="5"/>
      <c r="F412" s="5"/>
      <c r="G412" s="5"/>
      <c r="H412" s="5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4"/>
      <c r="Y412" s="34"/>
    </row>
    <row r="413" spans="2:25" ht="17.100000000000001" customHeight="1" x14ac:dyDescent="0.25">
      <c r="B413" s="5"/>
      <c r="C413" s="5"/>
      <c r="D413" s="5"/>
      <c r="E413" s="5"/>
      <c r="F413" s="5"/>
      <c r="G413" s="5"/>
      <c r="H413" s="5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4"/>
      <c r="Y413" s="34"/>
    </row>
    <row r="414" spans="2:25" ht="17.100000000000001" customHeight="1" x14ac:dyDescent="0.25">
      <c r="B414" s="15" t="s">
        <v>60</v>
      </c>
      <c r="C414" s="5"/>
      <c r="D414" s="5"/>
      <c r="E414" s="5"/>
      <c r="F414" s="5"/>
      <c r="G414" s="5"/>
      <c r="H414" s="5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4"/>
      <c r="Y414" s="34"/>
    </row>
    <row r="415" spans="2:25" ht="17.100000000000001" customHeight="1" x14ac:dyDescent="0.25">
      <c r="B415" s="5" t="s">
        <v>621</v>
      </c>
      <c r="C415" s="15"/>
      <c r="D415" s="15"/>
      <c r="E415" s="5"/>
      <c r="F415" s="5"/>
      <c r="G415" s="5"/>
      <c r="H415" s="5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4"/>
      <c r="Y415" s="34"/>
    </row>
    <row r="416" spans="2:25" ht="17.100000000000001" customHeight="1" x14ac:dyDescent="0.25">
      <c r="B416" s="5"/>
      <c r="C416" s="5"/>
      <c r="D416" s="5"/>
      <c r="E416" s="5"/>
      <c r="F416" s="5"/>
      <c r="G416" s="5"/>
      <c r="H416" s="5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4"/>
      <c r="Y416" s="34"/>
    </row>
    <row r="417" spans="2:25" ht="17.100000000000001" customHeight="1" x14ac:dyDescent="0.25">
      <c r="B417" s="28"/>
      <c r="C417" s="28"/>
      <c r="D417" s="28"/>
      <c r="E417" s="28"/>
      <c r="F417" s="28"/>
      <c r="G417" s="28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4"/>
      <c r="Y417" s="34"/>
    </row>
    <row r="418" spans="2:25" ht="17.100000000000001" customHeight="1" x14ac:dyDescent="0.25"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</row>
    <row r="419" spans="2:25" ht="17.100000000000001" customHeight="1" x14ac:dyDescent="0.25"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</row>
    <row r="420" spans="2:25" ht="17.100000000000001" customHeight="1" x14ac:dyDescent="0.25"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</row>
    <row r="421" spans="2:25" ht="17.100000000000001" customHeight="1" x14ac:dyDescent="0.25">
      <c r="B421" s="1"/>
      <c r="C421" s="1"/>
      <c r="D421" s="1"/>
      <c r="E421" s="1"/>
      <c r="F421" s="1"/>
      <c r="G421" s="1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</row>
    <row r="422" spans="2:25" ht="17.100000000000001" customHeight="1" x14ac:dyDescent="0.25">
      <c r="B422" s="7"/>
      <c r="C422" s="7"/>
      <c r="D422" s="7"/>
      <c r="E422" s="7"/>
      <c r="F422" s="7"/>
      <c r="G422" s="7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</row>
    <row r="423" spans="2:25" ht="17.100000000000001" customHeight="1" x14ac:dyDescent="0.25">
      <c r="B423" s="7"/>
      <c r="C423" s="7"/>
      <c r="D423" s="7"/>
      <c r="E423" s="7"/>
      <c r="F423" s="7"/>
      <c r="G423" s="7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</row>
    <row r="424" spans="2:25" ht="17.100000000000001" customHeight="1" x14ac:dyDescent="0.25">
      <c r="B424" s="7"/>
      <c r="C424" s="7"/>
      <c r="D424" s="7"/>
      <c r="E424" s="7"/>
      <c r="F424" s="7"/>
      <c r="G424" s="7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</row>
    <row r="425" spans="2:25" ht="17.100000000000001" customHeight="1" x14ac:dyDescent="0.25">
      <c r="B425" s="7"/>
      <c r="C425" s="7"/>
      <c r="D425" s="7"/>
      <c r="E425" s="7"/>
      <c r="F425" s="7"/>
      <c r="G425" s="7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</row>
    <row r="426" spans="2:25" ht="17.100000000000001" customHeight="1" x14ac:dyDescent="0.25">
      <c r="B426" s="21"/>
      <c r="C426" s="21"/>
      <c r="D426" s="21"/>
      <c r="E426" s="21"/>
      <c r="F426" s="21"/>
      <c r="G426" s="21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</row>
    <row r="427" spans="2:25" ht="17.100000000000001" customHeight="1" x14ac:dyDescent="0.25">
      <c r="B427" s="21"/>
      <c r="C427" s="21"/>
      <c r="D427" s="21"/>
      <c r="E427" s="21"/>
      <c r="F427" s="21"/>
      <c r="G427" s="21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</row>
    <row r="428" spans="2:25" ht="17.100000000000001" customHeight="1" x14ac:dyDescent="0.25">
      <c r="B428" s="21"/>
      <c r="C428" s="21"/>
      <c r="D428" s="21"/>
      <c r="E428" s="21"/>
      <c r="F428" s="21"/>
      <c r="G428" s="21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34"/>
    </row>
    <row r="429" spans="2:25" ht="17.100000000000001" customHeight="1" x14ac:dyDescent="0.25"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</row>
    <row r="430" spans="2:25" ht="17.100000000000001" customHeight="1" x14ac:dyDescent="0.25"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</row>
    <row r="431" spans="2:25" ht="17.100000000000001" customHeight="1" x14ac:dyDescent="0.25"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</row>
    <row r="432" spans="2:25" ht="17.100000000000001" customHeight="1" x14ac:dyDescent="0.25"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</row>
    <row r="433" spans="2:24" ht="17.100000000000001" customHeight="1" x14ac:dyDescent="0.25"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</row>
    <row r="434" spans="2:24" ht="17.100000000000001" customHeight="1" x14ac:dyDescent="0.25"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</row>
    <row r="435" spans="2:24" ht="17.100000000000001" customHeight="1" x14ac:dyDescent="0.25"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</row>
    <row r="436" spans="2:24" ht="17.100000000000001" customHeight="1" x14ac:dyDescent="0.25"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</row>
    <row r="437" spans="2:24" ht="17.100000000000001" customHeight="1" x14ac:dyDescent="0.25"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</row>
    <row r="438" spans="2:24" ht="17.100000000000001" customHeight="1" x14ac:dyDescent="0.25"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</row>
    <row r="439" spans="2:24" ht="17.100000000000001" customHeight="1" x14ac:dyDescent="0.25"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</row>
    <row r="440" spans="2:24" ht="17.100000000000001" customHeight="1" x14ac:dyDescent="0.25"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</row>
    <row r="441" spans="2:24" ht="17.100000000000001" customHeight="1" x14ac:dyDescent="0.25"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</row>
    <row r="442" spans="2:24" ht="17.100000000000001" customHeight="1" x14ac:dyDescent="0.25"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</row>
    <row r="443" spans="2:24" ht="17.100000000000001" customHeight="1" x14ac:dyDescent="0.25"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</row>
    <row r="444" spans="2:24" ht="17.100000000000001" customHeight="1" x14ac:dyDescent="0.25"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</row>
    <row r="445" spans="2:24" ht="17.100000000000001" customHeight="1" x14ac:dyDescent="0.25"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</row>
    <row r="446" spans="2:24" ht="17.100000000000001" customHeight="1" x14ac:dyDescent="0.25"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</row>
    <row r="447" spans="2:24" ht="17.100000000000001" customHeight="1" x14ac:dyDescent="0.25"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</row>
    <row r="448" spans="2:24" ht="17.100000000000001" customHeight="1" x14ac:dyDescent="0.25"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</row>
    <row r="449" spans="2:24" ht="17.100000000000001" customHeight="1" x14ac:dyDescent="0.25"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</row>
    <row r="450" spans="2:24" ht="17.100000000000001" customHeight="1" x14ac:dyDescent="0.25"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</row>
    <row r="451" spans="2:24" ht="17.100000000000001" customHeight="1" x14ac:dyDescent="0.25"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</row>
    <row r="452" spans="2:24" ht="17.100000000000001" customHeight="1" x14ac:dyDescent="0.25"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</row>
    <row r="453" spans="2:24" ht="17.100000000000001" customHeight="1" x14ac:dyDescent="0.25"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</row>
    <row r="454" spans="2:24" ht="17.100000000000001" customHeight="1" x14ac:dyDescent="0.25"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</row>
    <row r="455" spans="2:24" ht="17.100000000000001" customHeight="1" x14ac:dyDescent="0.25"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</row>
    <row r="456" spans="2:24" ht="17.100000000000001" customHeight="1" x14ac:dyDescent="0.25"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</row>
    <row r="457" spans="2:24" ht="17.100000000000001" customHeight="1" x14ac:dyDescent="0.25"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</row>
    <row r="458" spans="2:24" ht="17.100000000000001" customHeight="1" x14ac:dyDescent="0.25"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</row>
    <row r="459" spans="2:24" ht="17.100000000000001" customHeight="1" x14ac:dyDescent="0.25"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</row>
    <row r="460" spans="2:24" ht="17.100000000000001" customHeight="1" x14ac:dyDescent="0.25"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</row>
    <row r="461" spans="2:24" ht="17.100000000000001" customHeight="1" x14ac:dyDescent="0.25"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</row>
    <row r="462" spans="2:24" ht="17.100000000000001" customHeight="1" x14ac:dyDescent="0.25"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</row>
    <row r="463" spans="2:24" ht="17.100000000000001" customHeight="1" x14ac:dyDescent="0.25"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</row>
    <row r="464" spans="2:24" ht="17.100000000000001" customHeight="1" x14ac:dyDescent="0.25"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</row>
    <row r="465" spans="2:24" ht="17.100000000000001" customHeight="1" x14ac:dyDescent="0.25"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</row>
    <row r="466" spans="2:24" ht="17.100000000000001" customHeight="1" x14ac:dyDescent="0.25"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</row>
    <row r="467" spans="2:24" ht="17.100000000000001" customHeight="1" x14ac:dyDescent="0.25"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</row>
    <row r="468" spans="2:24" ht="17.100000000000001" customHeight="1" x14ac:dyDescent="0.25"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</row>
    <row r="469" spans="2:24" ht="17.100000000000001" customHeight="1" x14ac:dyDescent="0.25"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</row>
    <row r="470" spans="2:24" ht="17.100000000000001" customHeight="1" x14ac:dyDescent="0.25"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</row>
    <row r="471" spans="2:24" ht="17.100000000000001" customHeight="1" x14ac:dyDescent="0.25"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</row>
    <row r="472" spans="2:24" ht="17.100000000000001" customHeight="1" x14ac:dyDescent="0.25"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</row>
    <row r="473" spans="2:24" ht="17.100000000000001" customHeight="1" x14ac:dyDescent="0.25"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</row>
  </sheetData>
  <mergeCells count="726">
    <mergeCell ref="B391:G391"/>
    <mergeCell ref="J391:M391"/>
    <mergeCell ref="L99:M107"/>
    <mergeCell ref="O126:O128"/>
    <mergeCell ref="U126:U128"/>
    <mergeCell ref="I106:J106"/>
    <mergeCell ref="I107:J107"/>
    <mergeCell ref="K108:K110"/>
    <mergeCell ref="P117:Q125"/>
    <mergeCell ref="I114:J116"/>
    <mergeCell ref="L114:L116"/>
    <mergeCell ref="M114:N116"/>
    <mergeCell ref="O114:O116"/>
    <mergeCell ref="P114:Q116"/>
    <mergeCell ref="R114:R116"/>
    <mergeCell ref="I99:J99"/>
    <mergeCell ref="I100:J100"/>
    <mergeCell ref="I101:J101"/>
    <mergeCell ref="I102:J102"/>
    <mergeCell ref="I103:J103"/>
    <mergeCell ref="J314:M314"/>
    <mergeCell ref="B315:G316"/>
    <mergeCell ref="O99:Q107"/>
    <mergeCell ref="R113:W113"/>
    <mergeCell ref="V114:W116"/>
    <mergeCell ref="V117:W125"/>
    <mergeCell ref="S114:T116"/>
    <mergeCell ref="S117:T117"/>
    <mergeCell ref="S118:T118"/>
    <mergeCell ref="S119:T119"/>
    <mergeCell ref="S120:T120"/>
    <mergeCell ref="S121:T121"/>
    <mergeCell ref="S122:T122"/>
    <mergeCell ref="S123:T123"/>
    <mergeCell ref="U114:U116"/>
    <mergeCell ref="L113:Q113"/>
    <mergeCell ref="M117:N117"/>
    <mergeCell ref="B297:G297"/>
    <mergeCell ref="J297:M297"/>
    <mergeCell ref="B298:G299"/>
    <mergeCell ref="H298:H299"/>
    <mergeCell ref="I298:I299"/>
    <mergeCell ref="J298:M299"/>
    <mergeCell ref="J295:M296"/>
    <mergeCell ref="Y119:Z119"/>
    <mergeCell ref="M119:N119"/>
    <mergeCell ref="J378:M378"/>
    <mergeCell ref="I158:I159"/>
    <mergeCell ref="J162:M162"/>
    <mergeCell ref="B312:G312"/>
    <mergeCell ref="J312:M312"/>
    <mergeCell ref="B313:G313"/>
    <mergeCell ref="J313:M313"/>
    <mergeCell ref="H178:H179"/>
    <mergeCell ref="B182:G183"/>
    <mergeCell ref="J178:M179"/>
    <mergeCell ref="J158:M159"/>
    <mergeCell ref="B163:G164"/>
    <mergeCell ref="H163:H164"/>
    <mergeCell ref="B160:G161"/>
    <mergeCell ref="H160:H161"/>
    <mergeCell ref="B168:G168"/>
    <mergeCell ref="B165:G165"/>
    <mergeCell ref="I315:I316"/>
    <mergeCell ref="J357:M357"/>
    <mergeCell ref="J315:M316"/>
    <mergeCell ref="B307:G307"/>
    <mergeCell ref="J307:M307"/>
    <mergeCell ref="B308:G309"/>
    <mergeCell ref="H308:H309"/>
    <mergeCell ref="I308:I309"/>
    <mergeCell ref="J300:M301"/>
    <mergeCell ref="H300:H301"/>
    <mergeCell ref="I300:I301"/>
    <mergeCell ref="J330:M331"/>
    <mergeCell ref="B330:G331"/>
    <mergeCell ref="I330:I331"/>
    <mergeCell ref="J322:M322"/>
    <mergeCell ref="J329:M329"/>
    <mergeCell ref="B346:G346"/>
    <mergeCell ref="J350:M350"/>
    <mergeCell ref="B351:G352"/>
    <mergeCell ref="H351:H352"/>
    <mergeCell ref="I351:I352"/>
    <mergeCell ref="I371:I372"/>
    <mergeCell ref="J358:M358"/>
    <mergeCell ref="B359:G359"/>
    <mergeCell ref="J371:M372"/>
    <mergeCell ref="B366:G366"/>
    <mergeCell ref="J366:M366"/>
    <mergeCell ref="B365:G365"/>
    <mergeCell ref="J365:M365"/>
    <mergeCell ref="B358:G358"/>
    <mergeCell ref="DL6:DL7"/>
    <mergeCell ref="DN5:DN7"/>
    <mergeCell ref="B373:G373"/>
    <mergeCell ref="B364:G364"/>
    <mergeCell ref="J364:M364"/>
    <mergeCell ref="B367:G367"/>
    <mergeCell ref="B368:G369"/>
    <mergeCell ref="H368:H369"/>
    <mergeCell ref="I368:I369"/>
    <mergeCell ref="J368:M369"/>
    <mergeCell ref="J367:M367"/>
    <mergeCell ref="CE5:CE7"/>
    <mergeCell ref="CF5:CF7"/>
    <mergeCell ref="CW6:DJ6"/>
    <mergeCell ref="B356:G356"/>
    <mergeCell ref="B357:G357"/>
    <mergeCell ref="J359:M359"/>
    <mergeCell ref="CA5:CA7"/>
    <mergeCell ref="H315:H316"/>
    <mergeCell ref="H182:H183"/>
    <mergeCell ref="N371:N372"/>
    <mergeCell ref="CD58:CO58"/>
    <mergeCell ref="J196:M196"/>
    <mergeCell ref="J215:M215"/>
    <mergeCell ref="J220:M220"/>
    <mergeCell ref="J216:M216"/>
    <mergeCell ref="J171:M171"/>
    <mergeCell ref="J172:M172"/>
    <mergeCell ref="J168:M168"/>
    <mergeCell ref="J225:M225"/>
    <mergeCell ref="J214:M214"/>
    <mergeCell ref="J208:M208"/>
    <mergeCell ref="BX5:BX7"/>
    <mergeCell ref="BY5:BY7"/>
    <mergeCell ref="BZ5:BZ7"/>
    <mergeCell ref="H319:I319"/>
    <mergeCell ref="J308:M309"/>
    <mergeCell ref="I105:J105"/>
    <mergeCell ref="J63:J64"/>
    <mergeCell ref="AA24:AB24"/>
    <mergeCell ref="BT8:CA8"/>
    <mergeCell ref="J152:M152"/>
    <mergeCell ref="J222:M222"/>
    <mergeCell ref="J210:M210"/>
    <mergeCell ref="J212:M212"/>
    <mergeCell ref="I104:J104"/>
    <mergeCell ref="X8:Z8"/>
    <mergeCell ref="X9:Z9"/>
    <mergeCell ref="X10:Z10"/>
    <mergeCell ref="J198:M198"/>
    <mergeCell ref="J177:M177"/>
    <mergeCell ref="N298:N299"/>
    <mergeCell ref="N300:N301"/>
    <mergeCell ref="J149:M149"/>
    <mergeCell ref="J150:M150"/>
    <mergeCell ref="I163:I164"/>
    <mergeCell ref="CD5:CD7"/>
    <mergeCell ref="BT19:CA19"/>
    <mergeCell ref="BT31:CA31"/>
    <mergeCell ref="BT39:CA39"/>
    <mergeCell ref="CG6:CV6"/>
    <mergeCell ref="CG5:DJ5"/>
    <mergeCell ref="X24:Y24"/>
    <mergeCell ref="M118:N118"/>
    <mergeCell ref="CD65:CO65"/>
    <mergeCell ref="CD72:CO72"/>
    <mergeCell ref="X20:Z22"/>
    <mergeCell ref="O95:Q96"/>
    <mergeCell ref="Z31:Z32"/>
    <mergeCell ref="X25:Y25"/>
    <mergeCell ref="X95:X98"/>
    <mergeCell ref="Y95:Y98"/>
    <mergeCell ref="BT77:CA77"/>
    <mergeCell ref="BP5:BP7"/>
    <mergeCell ref="BQ5:BQ7"/>
    <mergeCell ref="AA25:AB25"/>
    <mergeCell ref="BV5:BV7"/>
    <mergeCell ref="BW5:BW7"/>
    <mergeCell ref="BT5:BT7"/>
    <mergeCell ref="BU5:BU7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84:G87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152:G152"/>
    <mergeCell ref="B149:G149"/>
    <mergeCell ref="I160:I161"/>
    <mergeCell ref="J160:M161"/>
    <mergeCell ref="J163:M164"/>
    <mergeCell ref="J155:M155"/>
    <mergeCell ref="H158:H159"/>
    <mergeCell ref="B156:G156"/>
    <mergeCell ref="B150:G150"/>
    <mergeCell ref="B151:G151"/>
    <mergeCell ref="J151:M151"/>
    <mergeCell ref="B10:G10"/>
    <mergeCell ref="B12:G12"/>
    <mergeCell ref="B8:G8"/>
    <mergeCell ref="B9:G9"/>
    <mergeCell ref="X11:Z11"/>
    <mergeCell ref="X12:Z12"/>
    <mergeCell ref="X13:Z13"/>
    <mergeCell ref="X14:Z14"/>
    <mergeCell ref="X15:Z15"/>
    <mergeCell ref="B11:G11"/>
    <mergeCell ref="B15:F15"/>
    <mergeCell ref="G15:H15"/>
    <mergeCell ref="C408:H408"/>
    <mergeCell ref="B398:E398"/>
    <mergeCell ref="C403:H403"/>
    <mergeCell ref="C404:H404"/>
    <mergeCell ref="C405:H405"/>
    <mergeCell ref="C406:H406"/>
    <mergeCell ref="C407:H407"/>
    <mergeCell ref="C400:H400"/>
    <mergeCell ref="C401:H401"/>
    <mergeCell ref="C402:H402"/>
    <mergeCell ref="B75:G75"/>
    <mergeCell ref="B67:B69"/>
    <mergeCell ref="E67:E69"/>
    <mergeCell ref="F67:G69"/>
    <mergeCell ref="G56:H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H64"/>
    <mergeCell ref="F70:G70"/>
    <mergeCell ref="H73:I73"/>
    <mergeCell ref="E95:E98"/>
    <mergeCell ref="F95:F98"/>
    <mergeCell ref="B73:G73"/>
    <mergeCell ref="I135:K143"/>
    <mergeCell ref="B74:G74"/>
    <mergeCell ref="B172:G172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R5:BR7"/>
    <mergeCell ref="BA5:BA7"/>
    <mergeCell ref="BL5:BL7"/>
    <mergeCell ref="BD5:BD7"/>
    <mergeCell ref="BB5:BB7"/>
    <mergeCell ref="X6:AB7"/>
    <mergeCell ref="BF5:BF7"/>
    <mergeCell ref="BG5:BG7"/>
    <mergeCell ref="AV5:AV7"/>
    <mergeCell ref="AG5:AG6"/>
    <mergeCell ref="BH5:BH7"/>
    <mergeCell ref="AW5:AW7"/>
    <mergeCell ref="AI5:AJ7"/>
    <mergeCell ref="AF5:AF6"/>
    <mergeCell ref="BJ5:BJ7"/>
    <mergeCell ref="AL5:AL7"/>
    <mergeCell ref="AQ5:AQ7"/>
    <mergeCell ref="BN5:BN7"/>
    <mergeCell ref="AM5:AM7"/>
    <mergeCell ref="AN5:AN7"/>
    <mergeCell ref="AS5:AS7"/>
    <mergeCell ref="AT5:AT7"/>
    <mergeCell ref="AY5:AY7"/>
    <mergeCell ref="AA31:AA32"/>
    <mergeCell ref="I63:I64"/>
    <mergeCell ref="G27:H27"/>
    <mergeCell ref="F60:F62"/>
    <mergeCell ref="I39:I41"/>
    <mergeCell ref="I60:I62"/>
    <mergeCell ref="G60:H62"/>
    <mergeCell ref="I56:I57"/>
    <mergeCell ref="G53:H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I53:I55"/>
    <mergeCell ref="E53:E55"/>
    <mergeCell ref="G39:G41"/>
    <mergeCell ref="AA26:AB26"/>
    <mergeCell ref="X26:Y26"/>
    <mergeCell ref="AO5:AO7"/>
    <mergeCell ref="AP5:AP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X16:Z16"/>
    <mergeCell ref="X17:Z17"/>
    <mergeCell ref="X18:Z18"/>
    <mergeCell ref="X19:Z19"/>
    <mergeCell ref="B26:F26"/>
    <mergeCell ref="B21:F21"/>
    <mergeCell ref="H131:H134"/>
    <mergeCell ref="I132:J134"/>
    <mergeCell ref="B95:B98"/>
    <mergeCell ref="B113:B116"/>
    <mergeCell ref="C113:C114"/>
    <mergeCell ref="D113:D114"/>
    <mergeCell ref="E113:E116"/>
    <mergeCell ref="F113:F116"/>
    <mergeCell ref="I113:K113"/>
    <mergeCell ref="H113:H116"/>
    <mergeCell ref="I95:J96"/>
    <mergeCell ref="I131:K131"/>
    <mergeCell ref="J247:M247"/>
    <mergeCell ref="I199:I200"/>
    <mergeCell ref="B213:G213"/>
    <mergeCell ref="B227:G228"/>
    <mergeCell ref="B233:G233"/>
    <mergeCell ref="J233:M233"/>
    <mergeCell ref="J234:M235"/>
    <mergeCell ref="J231:M231"/>
    <mergeCell ref="B225:G225"/>
    <mergeCell ref="B199:G200"/>
    <mergeCell ref="H199:H200"/>
    <mergeCell ref="I234:I235"/>
    <mergeCell ref="H234:H235"/>
    <mergeCell ref="I227:I228"/>
    <mergeCell ref="J227:M228"/>
    <mergeCell ref="H227:H228"/>
    <mergeCell ref="B232:G232"/>
    <mergeCell ref="J219:M219"/>
    <mergeCell ref="J226:M226"/>
    <mergeCell ref="J201:M201"/>
    <mergeCell ref="J221:M221"/>
    <mergeCell ref="J213:M213"/>
    <mergeCell ref="P242:Q242"/>
    <mergeCell ref="B234:G235"/>
    <mergeCell ref="J241:M241"/>
    <mergeCell ref="P244:Q244"/>
    <mergeCell ref="P247:Q247"/>
    <mergeCell ref="P248:Q248"/>
    <mergeCell ref="P243:Q243"/>
    <mergeCell ref="B241:G241"/>
    <mergeCell ref="B238:G238"/>
    <mergeCell ref="B239:G239"/>
    <mergeCell ref="I248:I249"/>
    <mergeCell ref="B243:G244"/>
    <mergeCell ref="H243:H244"/>
    <mergeCell ref="I243:I244"/>
    <mergeCell ref="J243:M244"/>
    <mergeCell ref="B248:G249"/>
    <mergeCell ref="J248:M249"/>
    <mergeCell ref="H248:H249"/>
    <mergeCell ref="J245:M246"/>
    <mergeCell ref="J242:M242"/>
    <mergeCell ref="J255:M255"/>
    <mergeCell ref="B250:G250"/>
    <mergeCell ref="B251:G252"/>
    <mergeCell ref="H251:H252"/>
    <mergeCell ref="B255:G255"/>
    <mergeCell ref="J261:M261"/>
    <mergeCell ref="J260:M260"/>
    <mergeCell ref="B265:G265"/>
    <mergeCell ref="J262:M262"/>
    <mergeCell ref="B253:G253"/>
    <mergeCell ref="J282:M282"/>
    <mergeCell ref="B319:G319"/>
    <mergeCell ref="B314:G314"/>
    <mergeCell ref="J323:M323"/>
    <mergeCell ref="J325:M326"/>
    <mergeCell ref="J324:M324"/>
    <mergeCell ref="J268:M268"/>
    <mergeCell ref="J291:M291"/>
    <mergeCell ref="B247:G247"/>
    <mergeCell ref="J256:M257"/>
    <mergeCell ref="I251:I252"/>
    <mergeCell ref="J251:M252"/>
    <mergeCell ref="B254:G254"/>
    <mergeCell ref="B256:G257"/>
    <mergeCell ref="H256:H257"/>
    <mergeCell ref="B261:G261"/>
    <mergeCell ref="B260:G260"/>
    <mergeCell ref="I256:I257"/>
    <mergeCell ref="B280:G280"/>
    <mergeCell ref="B288:G288"/>
    <mergeCell ref="B289:G289"/>
    <mergeCell ref="H283:H284"/>
    <mergeCell ref="H260:I260"/>
    <mergeCell ref="B277:G277"/>
    <mergeCell ref="B278:G278"/>
    <mergeCell ref="B279:G279"/>
    <mergeCell ref="B274:G274"/>
    <mergeCell ref="B271:G273"/>
    <mergeCell ref="I342:I344"/>
    <mergeCell ref="B345:G345"/>
    <mergeCell ref="H338:H339"/>
    <mergeCell ref="I338:I339"/>
    <mergeCell ref="I271:I273"/>
    <mergeCell ref="B268:G268"/>
    <mergeCell ref="B336:G336"/>
    <mergeCell ref="B337:G337"/>
    <mergeCell ref="I266:I267"/>
    <mergeCell ref="B323:G323"/>
    <mergeCell ref="B322:G322"/>
    <mergeCell ref="B282:G282"/>
    <mergeCell ref="B295:H296"/>
    <mergeCell ref="I295:I296"/>
    <mergeCell ref="J351:M352"/>
    <mergeCell ref="B342:G344"/>
    <mergeCell ref="H342:H343"/>
    <mergeCell ref="B347:G347"/>
    <mergeCell ref="BT50:CA50"/>
    <mergeCell ref="BT58:CA58"/>
    <mergeCell ref="BT66:CA66"/>
    <mergeCell ref="B180:G181"/>
    <mergeCell ref="H180:H181"/>
    <mergeCell ref="J180:M181"/>
    <mergeCell ref="I180:I181"/>
    <mergeCell ref="B325:G326"/>
    <mergeCell ref="O298:O299"/>
    <mergeCell ref="B187:G187"/>
    <mergeCell ref="J187:M187"/>
    <mergeCell ref="B80:G80"/>
    <mergeCell ref="B79:G79"/>
    <mergeCell ref="J319:M319"/>
    <mergeCell ref="B320:G320"/>
    <mergeCell ref="B321:G321"/>
    <mergeCell ref="B84:B87"/>
    <mergeCell ref="E84:E87"/>
    <mergeCell ref="F84:F87"/>
    <mergeCell ref="L131:Q131"/>
    <mergeCell ref="B275:G275"/>
    <mergeCell ref="J283:M284"/>
    <mergeCell ref="B306:G306"/>
    <mergeCell ref="J306:M306"/>
    <mergeCell ref="B262:G262"/>
    <mergeCell ref="B263:G263"/>
    <mergeCell ref="B291:G291"/>
    <mergeCell ref="J292:M292"/>
    <mergeCell ref="J266:M267"/>
    <mergeCell ref="I283:I284"/>
    <mergeCell ref="J263:M263"/>
    <mergeCell ref="J264:M264"/>
    <mergeCell ref="J265:M265"/>
    <mergeCell ref="B266:G267"/>
    <mergeCell ref="H266:H267"/>
    <mergeCell ref="J287:M287"/>
    <mergeCell ref="J288:M288"/>
    <mergeCell ref="J289:M289"/>
    <mergeCell ref="J290:M290"/>
    <mergeCell ref="B264:G264"/>
    <mergeCell ref="H271:H272"/>
    <mergeCell ref="J337:M337"/>
    <mergeCell ref="B338:G339"/>
    <mergeCell ref="B324:G324"/>
    <mergeCell ref="B333:G334"/>
    <mergeCell ref="H333:H334"/>
    <mergeCell ref="I333:I334"/>
    <mergeCell ref="J333:M334"/>
    <mergeCell ref="H325:H326"/>
    <mergeCell ref="I325:I326"/>
    <mergeCell ref="H330:H331"/>
    <mergeCell ref="B335:G335"/>
    <mergeCell ref="H327:H328"/>
    <mergeCell ref="I327:I328"/>
    <mergeCell ref="J327:M328"/>
    <mergeCell ref="J338:M339"/>
    <mergeCell ref="L132:L134"/>
    <mergeCell ref="M132:N134"/>
    <mergeCell ref="I245:I246"/>
    <mergeCell ref="J182:M183"/>
    <mergeCell ref="J197:M197"/>
    <mergeCell ref="I204:I205"/>
    <mergeCell ref="J204:M205"/>
    <mergeCell ref="J211:M211"/>
    <mergeCell ref="J199:M200"/>
    <mergeCell ref="N204:N205"/>
    <mergeCell ref="J165:M165"/>
    <mergeCell ref="I166:I167"/>
    <mergeCell ref="J166:M167"/>
    <mergeCell ref="J175:M175"/>
    <mergeCell ref="J176:M176"/>
    <mergeCell ref="J184:M184"/>
    <mergeCell ref="J185:M185"/>
    <mergeCell ref="J194:M194"/>
    <mergeCell ref="J195:M195"/>
    <mergeCell ref="I178:I179"/>
    <mergeCell ref="I182:I183"/>
    <mergeCell ref="J186:M186"/>
    <mergeCell ref="J192:M192"/>
    <mergeCell ref="J202:M203"/>
    <mergeCell ref="B220:G220"/>
    <mergeCell ref="B208:G208"/>
    <mergeCell ref="B202:G203"/>
    <mergeCell ref="H202:H203"/>
    <mergeCell ref="B216:G216"/>
    <mergeCell ref="B212:G212"/>
    <mergeCell ref="J238:M238"/>
    <mergeCell ref="B245:G246"/>
    <mergeCell ref="B242:G242"/>
    <mergeCell ref="H245:H246"/>
    <mergeCell ref="H238:I238"/>
    <mergeCell ref="B221:G221"/>
    <mergeCell ref="B231:G231"/>
    <mergeCell ref="J232:M232"/>
    <mergeCell ref="B226:G226"/>
    <mergeCell ref="I202:I203"/>
    <mergeCell ref="L95:M96"/>
    <mergeCell ref="N97:N98"/>
    <mergeCell ref="M121:N121"/>
    <mergeCell ref="M122:N122"/>
    <mergeCell ref="M123:N123"/>
    <mergeCell ref="M124:N124"/>
    <mergeCell ref="M125:N125"/>
    <mergeCell ref="I117:K125"/>
    <mergeCell ref="K97:K98"/>
    <mergeCell ref="M120:N120"/>
    <mergeCell ref="N108:N110"/>
    <mergeCell ref="R132:R134"/>
    <mergeCell ref="O144:O146"/>
    <mergeCell ref="U144:U146"/>
    <mergeCell ref="P135:Q143"/>
    <mergeCell ref="M136:N136"/>
    <mergeCell ref="M137:N137"/>
    <mergeCell ref="M138:N138"/>
    <mergeCell ref="M139:N139"/>
    <mergeCell ref="M140:N140"/>
    <mergeCell ref="M141:N141"/>
    <mergeCell ref="M142:N142"/>
    <mergeCell ref="M143:N143"/>
    <mergeCell ref="S137:T137"/>
    <mergeCell ref="S138:T138"/>
    <mergeCell ref="S139:T139"/>
    <mergeCell ref="S140:T140"/>
    <mergeCell ref="S141:T141"/>
    <mergeCell ref="S142:T142"/>
    <mergeCell ref="S143:T143"/>
    <mergeCell ref="P132:Q134"/>
    <mergeCell ref="U132:U134"/>
    <mergeCell ref="O132:O134"/>
    <mergeCell ref="M135:N135"/>
    <mergeCell ref="V329:Y329"/>
    <mergeCell ref="U330:U331"/>
    <mergeCell ref="V330:Y331"/>
    <mergeCell ref="U333:U334"/>
    <mergeCell ref="V333:Y334"/>
    <mergeCell ref="O327:R328"/>
    <mergeCell ref="O325:R326"/>
    <mergeCell ref="U327:U328"/>
    <mergeCell ref="V327:Y328"/>
    <mergeCell ref="O306:R306"/>
    <mergeCell ref="O307:R307"/>
    <mergeCell ref="O308:R309"/>
    <mergeCell ref="O312:R312"/>
    <mergeCell ref="O313:R313"/>
    <mergeCell ref="O314:R314"/>
    <mergeCell ref="O315:R316"/>
    <mergeCell ref="O319:R319"/>
    <mergeCell ref="O320:R320"/>
    <mergeCell ref="O321:R321"/>
    <mergeCell ref="O322:R322"/>
    <mergeCell ref="O323:R323"/>
    <mergeCell ref="O324:R324"/>
    <mergeCell ref="O329:R329"/>
    <mergeCell ref="O335:R335"/>
    <mergeCell ref="O336:R336"/>
    <mergeCell ref="O337:R337"/>
    <mergeCell ref="O338:R339"/>
    <mergeCell ref="V337:Y337"/>
    <mergeCell ref="U338:U339"/>
    <mergeCell ref="V338:Y339"/>
    <mergeCell ref="S338:S339"/>
    <mergeCell ref="T338:T339"/>
    <mergeCell ref="O330:R331"/>
    <mergeCell ref="O332:R332"/>
    <mergeCell ref="O333:R334"/>
    <mergeCell ref="S124:T124"/>
    <mergeCell ref="S125:T125"/>
    <mergeCell ref="S315:S316"/>
    <mergeCell ref="T315:T316"/>
    <mergeCell ref="S327:S328"/>
    <mergeCell ref="T327:T328"/>
    <mergeCell ref="S330:S331"/>
    <mergeCell ref="T330:T331"/>
    <mergeCell ref="S333:S334"/>
    <mergeCell ref="T333:T334"/>
    <mergeCell ref="R131:W131"/>
    <mergeCell ref="V135:W143"/>
    <mergeCell ref="V132:W134"/>
    <mergeCell ref="S132:T134"/>
    <mergeCell ref="S135:T135"/>
    <mergeCell ref="S136:T136"/>
    <mergeCell ref="V306:Y306"/>
    <mergeCell ref="V307:Y307"/>
    <mergeCell ref="S308:S309"/>
    <mergeCell ref="T308:T309"/>
    <mergeCell ref="U308:U309"/>
    <mergeCell ref="V308:Y309"/>
    <mergeCell ref="V312:Y312"/>
    <mergeCell ref="V313:Y313"/>
    <mergeCell ref="V314:Y314"/>
    <mergeCell ref="U315:U316"/>
    <mergeCell ref="V315:Y316"/>
    <mergeCell ref="S319:U319"/>
    <mergeCell ref="V319:Y319"/>
    <mergeCell ref="V322:Y322"/>
    <mergeCell ref="V323:Y323"/>
    <mergeCell ref="V324:Y324"/>
    <mergeCell ref="S325:S326"/>
    <mergeCell ref="T325:T326"/>
    <mergeCell ref="U325:U326"/>
    <mergeCell ref="V325:Y326"/>
    <mergeCell ref="V357:Y357"/>
    <mergeCell ref="V358:Y358"/>
    <mergeCell ref="V359:Y359"/>
    <mergeCell ref="U342:U344"/>
    <mergeCell ref="V360:Y360"/>
    <mergeCell ref="O342:R344"/>
    <mergeCell ref="J383:M383"/>
    <mergeCell ref="J384:M384"/>
    <mergeCell ref="O357:R357"/>
    <mergeCell ref="O358:R358"/>
    <mergeCell ref="O359:R359"/>
    <mergeCell ref="O360:R360"/>
    <mergeCell ref="O350:R350"/>
    <mergeCell ref="O351:R352"/>
    <mergeCell ref="O355:R355"/>
    <mergeCell ref="O356:R356"/>
    <mergeCell ref="V350:Y350"/>
    <mergeCell ref="S351:S352"/>
    <mergeCell ref="T351:T352"/>
    <mergeCell ref="U351:U352"/>
    <mergeCell ref="V351:Y352"/>
    <mergeCell ref="V355:Y355"/>
    <mergeCell ref="V356:Y356"/>
    <mergeCell ref="S342:S343"/>
    <mergeCell ref="T342:T344"/>
    <mergeCell ref="J370:M370"/>
    <mergeCell ref="J377:M377"/>
    <mergeCell ref="J379:M379"/>
    <mergeCell ref="J388:M388"/>
    <mergeCell ref="J389:M389"/>
    <mergeCell ref="J390:M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J355:M355"/>
    <mergeCell ref="J360:M360"/>
    <mergeCell ref="J356:M356"/>
    <mergeCell ref="J373:M373"/>
    <mergeCell ref="J374:M374"/>
    <mergeCell ref="H371:H372"/>
  </mergeCells>
  <conditionalFormatting sqref="B28:H28 A27:I27">
    <cfRule type="expression" dxfId="1" priority="38">
      <formula>$G$15=$AA$8</formula>
    </cfRule>
  </conditionalFormatting>
  <conditionalFormatting sqref="B26:H26">
    <cfRule type="expression" dxfId="0" priority="41">
      <formula>$G$15=$AA$8</formula>
    </cfRule>
  </conditionalFormatting>
  <dataValidations xWindow="372" yWindow="492" count="24">
    <dataValidation type="list" allowBlank="1" showInputMessage="1" showErrorMessage="1" error="Seleccione un tipo de filtro" sqref="G15:H15" xr:uid="{00000000-0002-0000-0400-000006000000}">
      <formula1>$Z$8:$AB$8</formula1>
    </dataValidation>
    <dataValidation type="list" allowBlank="1" showInputMessage="1" showErrorMessage="1" error="Seleccione el sistema de drenaje del filtro" sqref="G18:H18" xr:uid="{00000000-0002-0000-0400-000007000000}">
      <formula1>$AA$20:$AA$22</formula1>
    </dataValidation>
    <dataValidation type="list" allowBlank="1" showInputMessage="1" showErrorMessage="1" sqref="CK29:CL29" xr:uid="{00000000-0002-0000-0400-00000D000000}">
      <formula1>$CI$28:$CI$36</formula1>
    </dataValidation>
    <dataValidation type="list" allowBlank="1" showInputMessage="1" showErrorMessage="1" sqref="B155:G155" xr:uid="{00000000-0002-0000-0400-000012000000}">
      <formula1>$AI$8:$AI$10</formula1>
    </dataValidation>
    <dataValidation type="list" allowBlank="1" showInputMessage="1" showErrorMessage="1" error="Seleccione una válvula en la tubería de lavado" prompt="Seleccione una válvula en la tubería de lavado" sqref="B274:G274 O345:R345 B345:G345" xr:uid="{00000000-0002-0000-0400-000013000000}">
      <formula1>$CD$8:$CD$9</formula1>
    </dataValidation>
    <dataValidation type="list" allowBlank="1" showDropDown="1" showInputMessage="1" showErrorMessage="1" error="Seleccione material de tubería" sqref="S319:U319 H319:I319" xr:uid="{00000000-0002-0000-0400-000014000000}">
      <formula1>$BP$8:$BP$16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$CD$10:$CD$12</formula1>
    </dataValidation>
    <dataValidation type="list" allowBlank="1" showInputMessage="1" showErrorMessage="1" error="Seleccione un accesorio en la tubería de lavado" prompt="Seleccione un accesorio en la tubería de lavado" sqref="B276:G276 O346:R346 B346:G346" xr:uid="{00000000-0002-0000-0400-000016000000}">
      <formula1>$CD$13:$CD$14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$CD$15:$CD$16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$CD$17:$CD$18</formula1>
    </dataValidation>
    <dataValidation type="list" allowBlank="1" showInputMessage="1" showErrorMessage="1" error="Seleccione un accesorio en la tubería de lavado" prompt="Seleccione un accesorio en la tubería de lavado" sqref="B279:G279 O347:R347 B347:G347" xr:uid="{00000000-0002-0000-0400-000019000000}">
      <formula1>$CD$19:$CD$21</formula1>
    </dataValidation>
    <dataValidation type="list" allowBlank="1" showInputMessage="1" showErrorMessage="1" error="Seleccione un accesorio en la tubería de lavado" prompt="Seleccione un accesorio en la tubería de lavado" sqref="B280:G280 O348:R348 B348:G348" xr:uid="{00000000-0002-0000-0400-00001A000000}">
      <formula1>$CD$22:$CD$23</formula1>
    </dataValidation>
    <dataValidation type="list" allowBlank="1" showInputMessage="1" showErrorMessage="1" sqref="B290:G290" xr:uid="{00000000-0002-0000-0400-00001C000000}">
      <formula1>$DL$8:$DL$10</formula1>
    </dataValidation>
    <dataValidation type="list" allowBlank="1" showInputMessage="1" showErrorMessage="1" sqref="H73" xr:uid="{00000000-0002-0000-0400-00001F000000}">
      <formula1>$AL$8:$AL$13</formula1>
    </dataValidation>
    <dataValidation type="whole" allowBlank="1" showInputMessage="1" showErrorMessage="1" error="Cantidad de Tee es 1 en tubería del efluente" sqref="T346" xr:uid="{00000000-0002-0000-0400-000024000000}">
      <formula1>1</formula1>
      <formula2>1</formula2>
    </dataValidation>
    <dataValidation type="whole" allowBlank="1" showInputMessage="1" showErrorMessage="1" error="Cantidad de entradas a tubo es 1" sqref="T347" xr:uid="{00000000-0002-0000-0400-000025000000}">
      <formula1>1</formula1>
      <formula2>1</formula2>
    </dataValidation>
    <dataValidation type="whole" allowBlank="1" showInputMessage="1" showErrorMessage="1" error="Cantidad de salidas del tubo es 1" sqref="T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T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allowBlank="1" showInputMessage="1" showErrorMessage="1" prompt="Coeficiente es 0.6 para orificios concéntricos de bordes afilados" sqref="T313" xr:uid="{00000000-0002-0000-0400-00002A000000}"/>
    <dataValidation allowBlank="1" showInputMessage="1" showErrorMessage="1" error="Ingrese un valor entre 1,5 y 2,5 teniendo en cuenta las dimensiones de los accesorios según DN de tubería del efluente" prompt="Introduzca un valor de longitud entre 5 y 50 m" sqref="T321" xr:uid="{00000000-0002-0000-0400-00002E000000}"/>
    <dataValidation type="decimal" allowBlank="1" showInputMessage="1" showErrorMessage="1" sqref="T332" xr:uid="{00000000-0002-0000-0400-00002F000000}">
      <formula1>0.00001</formula1>
      <formula2>0.1</formula2>
    </dataValidation>
    <dataValidation type="list" allowBlank="1" showInputMessage="1" showErrorMessage="1" sqref="H238:I238" xr:uid="{00000000-0002-0000-0400-00000E000000}">
      <formula1>$BP$8:$BP$16</formula1>
    </dataValidation>
    <dataValidation type="list" allowBlank="1" showDropDown="1" showInputMessage="1" showErrorMessage="1" sqref="H260:I260" xr:uid="{00000000-0002-0000-0400-000022000000}">
      <formula1>$BP$8:$BP$16</formula1>
    </dataValidation>
  </dataValidations>
  <pageMargins left="0.7" right="0.7" top="0.75" bottom="0.75" header="0.3" footer="0.3"/>
  <pageSetup orientation="portrait" r:id="rId1"/>
  <colBreaks count="1" manualBreakCount="1">
    <brk id="9" max="472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97A6B-587B-4A3F-924B-9699D21A53A9}">
  <dimension ref="D6:M26"/>
  <sheetViews>
    <sheetView topLeftCell="A7" zoomScale="90" zoomScaleNormal="90" workbookViewId="0">
      <selection activeCell="D12" sqref="D12:G13"/>
    </sheetView>
  </sheetViews>
  <sheetFormatPr baseColWidth="10" defaultRowHeight="15" x14ac:dyDescent="0.25"/>
  <cols>
    <col min="7" max="7" width="13" customWidth="1"/>
    <col min="13" max="13" width="13.5703125" customWidth="1"/>
  </cols>
  <sheetData>
    <row r="6" spans="4:13" x14ac:dyDescent="0.25">
      <c r="D6" s="679" t="s">
        <v>690</v>
      </c>
      <c r="E6" s="679"/>
      <c r="F6" s="679"/>
      <c r="G6" s="679"/>
      <c r="H6" s="679"/>
      <c r="I6" s="679"/>
      <c r="J6" s="680"/>
      <c r="K6" s="7"/>
      <c r="L6" s="7"/>
      <c r="M6" s="7"/>
    </row>
    <row r="7" spans="4:13" ht="17.25" x14ac:dyDescent="0.25">
      <c r="D7" s="718" t="s">
        <v>759</v>
      </c>
      <c r="E7" s="719"/>
      <c r="F7" s="719"/>
      <c r="G7" s="720"/>
      <c r="H7" s="647" t="s">
        <v>138</v>
      </c>
      <c r="I7" s="646" t="s">
        <v>3</v>
      </c>
      <c r="J7" s="764"/>
      <c r="K7" s="764"/>
      <c r="L7" s="764"/>
      <c r="M7" s="764"/>
    </row>
    <row r="8" spans="4:13" x14ac:dyDescent="0.25">
      <c r="D8" s="718" t="s">
        <v>760</v>
      </c>
      <c r="E8" s="719"/>
      <c r="F8" s="719"/>
      <c r="G8" s="720"/>
      <c r="H8" s="645" t="s">
        <v>11</v>
      </c>
      <c r="I8" s="646" t="s">
        <v>3</v>
      </c>
      <c r="J8" s="764"/>
      <c r="K8" s="764"/>
      <c r="L8" s="764"/>
      <c r="M8" s="764"/>
    </row>
    <row r="9" spans="4:13" x14ac:dyDescent="0.25">
      <c r="D9" s="718" t="s">
        <v>697</v>
      </c>
      <c r="E9" s="719"/>
      <c r="F9" s="719"/>
      <c r="G9" s="720"/>
      <c r="H9" s="641" t="s">
        <v>9</v>
      </c>
      <c r="I9" s="643" t="s">
        <v>3</v>
      </c>
      <c r="J9" s="638"/>
      <c r="K9" s="639"/>
      <c r="L9" s="639"/>
      <c r="M9" s="640"/>
    </row>
    <row r="10" spans="4:13" x14ac:dyDescent="0.25">
      <c r="D10" s="738" t="s">
        <v>48</v>
      </c>
      <c r="E10" s="739"/>
      <c r="F10" s="739"/>
      <c r="G10" s="740"/>
      <c r="H10" s="744" t="s">
        <v>49</v>
      </c>
      <c r="I10" s="746" t="s">
        <v>692</v>
      </c>
      <c r="J10" s="729"/>
      <c r="K10" s="730"/>
      <c r="L10" s="730"/>
      <c r="M10" s="731"/>
    </row>
    <row r="11" spans="4:13" ht="27.75" customHeight="1" x14ac:dyDescent="0.25">
      <c r="D11" s="741"/>
      <c r="E11" s="742"/>
      <c r="F11" s="742"/>
      <c r="G11" s="743"/>
      <c r="H11" s="745"/>
      <c r="I11" s="747"/>
      <c r="J11" s="732"/>
      <c r="K11" s="733"/>
      <c r="L11" s="733"/>
      <c r="M11" s="734"/>
    </row>
    <row r="12" spans="4:13" ht="29.25" customHeight="1" x14ac:dyDescent="0.25">
      <c r="D12" s="738" t="s">
        <v>761</v>
      </c>
      <c r="E12" s="739"/>
      <c r="F12" s="739"/>
      <c r="G12" s="740"/>
      <c r="H12" s="744" t="s">
        <v>14</v>
      </c>
      <c r="I12" s="746" t="s">
        <v>15</v>
      </c>
      <c r="J12" s="729"/>
      <c r="K12" s="730"/>
      <c r="L12" s="730"/>
      <c r="M12" s="731"/>
    </row>
    <row r="13" spans="4:13" x14ac:dyDescent="0.25">
      <c r="D13" s="741"/>
      <c r="E13" s="742"/>
      <c r="F13" s="742"/>
      <c r="G13" s="743"/>
      <c r="H13" s="745"/>
      <c r="I13" s="747"/>
      <c r="J13" s="732"/>
      <c r="K13" s="733"/>
      <c r="L13" s="733"/>
      <c r="M13" s="734"/>
    </row>
    <row r="14" spans="4:13" x14ac:dyDescent="0.25">
      <c r="D14" s="738" t="s">
        <v>762</v>
      </c>
      <c r="E14" s="739"/>
      <c r="F14" s="739"/>
      <c r="G14" s="740"/>
      <c r="H14" s="744" t="s">
        <v>696</v>
      </c>
      <c r="I14" s="746" t="s">
        <v>5</v>
      </c>
      <c r="J14" s="729"/>
      <c r="K14" s="730"/>
      <c r="L14" s="730"/>
      <c r="M14" s="731"/>
    </row>
    <row r="15" spans="4:13" x14ac:dyDescent="0.25">
      <c r="D15" s="741"/>
      <c r="E15" s="742"/>
      <c r="F15" s="742"/>
      <c r="G15" s="743"/>
      <c r="H15" s="745"/>
      <c r="I15" s="747"/>
      <c r="J15" s="732"/>
      <c r="K15" s="733"/>
      <c r="L15" s="733"/>
      <c r="M15" s="734"/>
    </row>
    <row r="16" spans="4:13" x14ac:dyDescent="0.25">
      <c r="D16" s="738" t="s">
        <v>51</v>
      </c>
      <c r="E16" s="739"/>
      <c r="F16" s="739"/>
      <c r="G16" s="740"/>
      <c r="H16" s="744" t="s">
        <v>46</v>
      </c>
      <c r="I16" s="746"/>
      <c r="J16" s="729"/>
      <c r="K16" s="730"/>
      <c r="L16" s="730"/>
      <c r="M16" s="731"/>
    </row>
    <row r="17" spans="4:13" ht="24" customHeight="1" x14ac:dyDescent="0.25">
      <c r="D17" s="741"/>
      <c r="E17" s="742"/>
      <c r="F17" s="742"/>
      <c r="G17" s="743"/>
      <c r="H17" s="745"/>
      <c r="I17" s="747"/>
      <c r="J17" s="732"/>
      <c r="K17" s="733"/>
      <c r="L17" s="733"/>
      <c r="M17" s="734"/>
    </row>
    <row r="18" spans="4:13" ht="25.5" customHeight="1" x14ac:dyDescent="0.25">
      <c r="D18" s="738" t="s">
        <v>698</v>
      </c>
      <c r="E18" s="739"/>
      <c r="F18" s="739"/>
      <c r="G18" s="740"/>
      <c r="H18" s="744" t="s">
        <v>700</v>
      </c>
      <c r="I18" s="746"/>
      <c r="J18" s="729"/>
      <c r="K18" s="730"/>
      <c r="L18" s="730"/>
      <c r="M18" s="731"/>
    </row>
    <row r="19" spans="4:13" x14ac:dyDescent="0.25">
      <c r="D19" s="741"/>
      <c r="E19" s="742"/>
      <c r="F19" s="742"/>
      <c r="G19" s="743"/>
      <c r="H19" s="745"/>
      <c r="I19" s="747"/>
      <c r="J19" s="732"/>
      <c r="K19" s="733"/>
      <c r="L19" s="733"/>
      <c r="M19" s="734"/>
    </row>
    <row r="20" spans="4:13" ht="17.25" x14ac:dyDescent="0.25">
      <c r="D20" s="717" t="s">
        <v>699</v>
      </c>
      <c r="E20" s="717"/>
      <c r="F20" s="717"/>
      <c r="G20" s="717"/>
      <c r="H20" s="642" t="s">
        <v>701</v>
      </c>
      <c r="I20" s="644"/>
      <c r="J20" s="773"/>
      <c r="K20" s="774"/>
      <c r="L20" s="774"/>
      <c r="M20" s="775"/>
    </row>
    <row r="21" spans="4:13" x14ac:dyDescent="0.25">
      <c r="D21" s="738" t="s">
        <v>52</v>
      </c>
      <c r="E21" s="739"/>
      <c r="F21" s="739"/>
      <c r="G21" s="740"/>
      <c r="H21" s="744" t="s">
        <v>702</v>
      </c>
      <c r="I21" s="746" t="s">
        <v>4</v>
      </c>
      <c r="J21" s="729"/>
      <c r="K21" s="730"/>
      <c r="L21" s="730"/>
      <c r="M21" s="731"/>
    </row>
    <row r="22" spans="4:13" ht="23.25" customHeight="1" x14ac:dyDescent="0.25">
      <c r="D22" s="741"/>
      <c r="E22" s="742"/>
      <c r="F22" s="742"/>
      <c r="G22" s="743"/>
      <c r="H22" s="745"/>
      <c r="I22" s="747"/>
      <c r="J22" s="732"/>
      <c r="K22" s="733"/>
      <c r="L22" s="733"/>
      <c r="M22" s="734"/>
    </row>
    <row r="23" spans="4:13" x14ac:dyDescent="0.25">
      <c r="D23" s="738" t="s">
        <v>53</v>
      </c>
      <c r="E23" s="739"/>
      <c r="F23" s="739"/>
      <c r="G23" s="740"/>
      <c r="H23" s="744" t="s">
        <v>1</v>
      </c>
      <c r="I23" s="746"/>
      <c r="J23" s="729"/>
      <c r="K23" s="730"/>
      <c r="L23" s="730"/>
      <c r="M23" s="731"/>
    </row>
    <row r="24" spans="4:13" ht="20.25" customHeight="1" x14ac:dyDescent="0.25">
      <c r="D24" s="741"/>
      <c r="E24" s="742"/>
      <c r="F24" s="742"/>
      <c r="G24" s="743"/>
      <c r="H24" s="745"/>
      <c r="I24" s="747"/>
      <c r="J24" s="732"/>
      <c r="K24" s="733"/>
      <c r="L24" s="733"/>
      <c r="M24" s="734"/>
    </row>
    <row r="25" spans="4:13" ht="20.25" customHeight="1" x14ac:dyDescent="0.25">
      <c r="D25" s="717" t="s">
        <v>763</v>
      </c>
      <c r="E25" s="717"/>
      <c r="F25" s="717"/>
      <c r="G25" s="717"/>
      <c r="H25" s="776" t="s">
        <v>703</v>
      </c>
      <c r="I25" s="777" t="s">
        <v>38</v>
      </c>
      <c r="J25" s="764"/>
      <c r="K25" s="764"/>
      <c r="L25" s="764"/>
      <c r="M25" s="764"/>
    </row>
    <row r="26" spans="4:13" x14ac:dyDescent="0.25">
      <c r="D26" s="717"/>
      <c r="E26" s="717"/>
      <c r="F26" s="717"/>
      <c r="G26" s="717"/>
      <c r="H26" s="776"/>
      <c r="I26" s="777"/>
      <c r="J26" s="764"/>
      <c r="K26" s="764"/>
      <c r="L26" s="764"/>
      <c r="M26" s="764"/>
    </row>
  </sheetData>
  <mergeCells count="40">
    <mergeCell ref="D25:G26"/>
    <mergeCell ref="H25:H26"/>
    <mergeCell ref="I25:I26"/>
    <mergeCell ref="J25:M26"/>
    <mergeCell ref="D21:G22"/>
    <mergeCell ref="H21:H22"/>
    <mergeCell ref="I21:I22"/>
    <mergeCell ref="J21:M22"/>
    <mergeCell ref="D23:G24"/>
    <mergeCell ref="H23:H24"/>
    <mergeCell ref="I23:I24"/>
    <mergeCell ref="J23:M24"/>
    <mergeCell ref="D18:G19"/>
    <mergeCell ref="H18:H19"/>
    <mergeCell ref="I18:I19"/>
    <mergeCell ref="J18:M19"/>
    <mergeCell ref="D20:G20"/>
    <mergeCell ref="J20:M20"/>
    <mergeCell ref="D14:G15"/>
    <mergeCell ref="H14:H15"/>
    <mergeCell ref="I14:I15"/>
    <mergeCell ref="J14:M15"/>
    <mergeCell ref="D16:G17"/>
    <mergeCell ref="H16:H17"/>
    <mergeCell ref="I16:I17"/>
    <mergeCell ref="J16:M17"/>
    <mergeCell ref="D10:G11"/>
    <mergeCell ref="H10:H11"/>
    <mergeCell ref="I10:I11"/>
    <mergeCell ref="J10:M11"/>
    <mergeCell ref="D12:G13"/>
    <mergeCell ref="H12:H13"/>
    <mergeCell ref="I12:I13"/>
    <mergeCell ref="J12:M13"/>
    <mergeCell ref="D6:J6"/>
    <mergeCell ref="D7:G7"/>
    <mergeCell ref="J7:M7"/>
    <mergeCell ref="D8:G8"/>
    <mergeCell ref="J8:M8"/>
    <mergeCell ref="D9:G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Floculador Alabama</vt:lpstr>
      <vt:lpstr>Sedimentador alta tasa</vt:lpstr>
      <vt:lpstr>Filtro rápido</vt:lpstr>
      <vt:lpstr>EdiciónEC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2022-05-23T05:26:29Z</dcterms:modified>
</cp:coreProperties>
</file>